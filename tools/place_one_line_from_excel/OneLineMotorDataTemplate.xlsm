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1stellar-my.sharepoint.com/personal/klevasseur_stellar_net/Documents/Desktop/ChrisTrainingDocs/"/>
    </mc:Choice>
  </mc:AlternateContent>
  <xr:revisionPtr revIDLastSave="0" documentId="8_{D5A8BB36-4DDC-4082-8494-36C68C180688}" xr6:coauthVersionLast="47" xr6:coauthVersionMax="47" xr10:uidLastSave="{00000000-0000-0000-0000-000000000000}"/>
  <bookViews>
    <workbookView xWindow="28680" yWindow="-120" windowWidth="29040" windowHeight="15720" firstSheet="1" activeTab="1" xr2:uid="{56F1FBA8-77E1-4DCD-B189-DD2252086F14}"/>
  </bookViews>
  <sheets>
    <sheet name="I-O" sheetId="4" r:id="rId1"/>
    <sheet name="MCC Info" sheetId="21" r:id="rId2"/>
    <sheet name="PNL-DVC" sheetId="19" r:id="rId3"/>
    <sheet name="Prog Over Time" sheetId="20" r:id="rId4"/>
    <sheet name="Progress" sheetId="5" r:id="rId5"/>
    <sheet name="Helper" sheetId="23" r:id="rId6"/>
    <sheet name="MCC Elevs" sheetId="24" r:id="rId7"/>
    <sheet name="Past MCC Data" sheetId="25" r:id="rId8"/>
  </sheets>
  <definedNames>
    <definedName name="_xlnm._FilterDatabase" localSheetId="0" hidden="1">'I-O'!$A$1:$Y$285</definedName>
    <definedName name="_xlnm._FilterDatabase" localSheetId="2" hidden="1">'PNL-DVC'!$B$1:$Q$121</definedName>
    <definedName name="_xlpm.current_section" hidden="1" xlm="1">#NAME?</definedName>
    <definedName name="_xlpm.current_unit_index" hidden="1" xlm="1">#NAME?</definedName>
    <definedName name="_xlpm.matching_items" hidden="1" xlm="1">#NAME?</definedName>
    <definedName name="_xlpm.next_row_index" hidden="1" xlm="1">#NAME?</definedName>
    <definedName name="_xlpm.next_section" hidden="1" xlm="1">#NAME?</definedName>
    <definedName name="_xlpm.next_start_index" hidden="1" xlm="1">#NAME?</definedName>
    <definedName name="_xlpm.selected_mcc" hidden="1" xlm="1">#NAME?</definedName>
    <definedName name="ColorCode" comment="Pulls Color Code" localSheetId="7">GET.CELLS(38,'I-O'!#REF!)</definedName>
    <definedName name="ColorCode" comment="Pulls Color Code">GET.CELLS(38,'I-O'!#REF!)</definedName>
    <definedName name="_xlnm.Print_Area" localSheetId="0">'I-O'!$A$1:$Y$285</definedName>
    <definedName name="_xlnm.Print_Area" localSheetId="1">'MCC Info'!$A$1:$AI$47</definedName>
    <definedName name="_xlnm.Print_Area" localSheetId="7">'Past MCC Data'!$A$1:$AG$431</definedName>
    <definedName name="_xlnm.Print_Area" localSheetId="3">'Prog Over Time'!$A$1:$L$20</definedName>
    <definedName name="_xlnm.Print_Area" localSheetId="4">Progress!$A$1:$K$36</definedName>
    <definedName name="_xlnm.Print_Titles" localSheetId="0">'I-O'!$1:$1</definedName>
    <definedName name="_xlnm.Print_Titles" localSheetId="1">'MCC Info'!$1:$1</definedName>
    <definedName name="_xlnm.Print_Titles" localSheetId="7">'Past MCC Data'!$1:$1</definedName>
    <definedName name="_xlnm.Print_Titles" localSheetId="2">'PNL-DVC'!$1:$1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1" i="21" l="1"/>
  <c r="T41" i="21" s="1"/>
  <c r="R41" i="21"/>
  <c r="Q430" i="25"/>
  <c r="R430" i="25" s="1"/>
  <c r="P430" i="25"/>
  <c r="S430" i="25" s="1" a="1"/>
  <c r="S430" i="25" s="1"/>
  <c r="T430" i="25" s="1"/>
  <c r="Q429" i="25"/>
  <c r="R429" i="25" s="1"/>
  <c r="P429" i="25"/>
  <c r="Q428" i="25"/>
  <c r="R428" i="25" s="1"/>
  <c r="P428" i="25"/>
  <c r="Q427" i="25"/>
  <c r="R427" i="25" s="1"/>
  <c r="P427" i="25"/>
  <c r="Q426" i="25"/>
  <c r="R426" i="25" s="1"/>
  <c r="P426" i="25"/>
  <c r="Q425" i="25"/>
  <c r="R425" i="25" s="1"/>
  <c r="P425" i="25"/>
  <c r="S425" i="25" s="1" a="1"/>
  <c r="S425" i="25" s="1"/>
  <c r="Q424" i="25"/>
  <c r="R424" i="25" s="1"/>
  <c r="P424" i="25"/>
  <c r="Q423" i="25"/>
  <c r="R423" i="25" s="1"/>
  <c r="P423" i="25"/>
  <c r="Q422" i="25"/>
  <c r="R422" i="25" s="1"/>
  <c r="P422" i="25"/>
  <c r="Q421" i="25"/>
  <c r="R421" i="25" s="1"/>
  <c r="P421" i="25"/>
  <c r="Q420" i="25"/>
  <c r="R420" i="25" s="1"/>
  <c r="P420" i="25"/>
  <c r="Q419" i="25"/>
  <c r="R419" i="25" s="1"/>
  <c r="P419" i="25"/>
  <c r="Q418" i="25"/>
  <c r="R418" i="25" s="1"/>
  <c r="P418" i="25"/>
  <c r="Q417" i="25"/>
  <c r="R417" i="25" s="1"/>
  <c r="P417" i="25"/>
  <c r="Q416" i="25"/>
  <c r="R416" i="25" s="1"/>
  <c r="P416" i="25"/>
  <c r="Q415" i="25"/>
  <c r="R415" i="25" s="1"/>
  <c r="P415" i="25"/>
  <c r="Q414" i="25"/>
  <c r="R414" i="25" s="1"/>
  <c r="P414" i="25"/>
  <c r="Q413" i="25"/>
  <c r="R413" i="25" s="1"/>
  <c r="P413" i="25"/>
  <c r="Q412" i="25"/>
  <c r="R412" i="25" s="1"/>
  <c r="P412" i="25"/>
  <c r="Q411" i="25"/>
  <c r="R411" i="25" s="1"/>
  <c r="P411" i="25"/>
  <c r="Q410" i="25"/>
  <c r="R410" i="25" s="1"/>
  <c r="P410" i="25"/>
  <c r="Q409" i="25"/>
  <c r="R409" i="25" s="1"/>
  <c r="P409" i="25"/>
  <c r="S409" i="25" s="1" a="1"/>
  <c r="S409" i="25" s="1"/>
  <c r="Q408" i="25"/>
  <c r="R408" i="25" s="1"/>
  <c r="P408" i="25"/>
  <c r="Q407" i="25"/>
  <c r="R407" i="25" s="1"/>
  <c r="P407" i="25"/>
  <c r="Q406" i="25"/>
  <c r="R406" i="25" s="1"/>
  <c r="P406" i="25"/>
  <c r="Q405" i="25"/>
  <c r="R405" i="25" s="1"/>
  <c r="P405" i="25"/>
  <c r="Q404" i="25"/>
  <c r="R404" i="25" s="1"/>
  <c r="P404" i="25"/>
  <c r="Q403" i="25"/>
  <c r="R403" i="25" s="1"/>
  <c r="P403" i="25"/>
  <c r="Q402" i="25"/>
  <c r="R402" i="25" s="1"/>
  <c r="P402" i="25"/>
  <c r="Q401" i="25"/>
  <c r="R401" i="25" s="1"/>
  <c r="P401" i="25"/>
  <c r="Q400" i="25"/>
  <c r="R400" i="25" s="1"/>
  <c r="P400" i="25"/>
  <c r="Q399" i="25"/>
  <c r="R399" i="25" s="1"/>
  <c r="P399" i="25"/>
  <c r="Q398" i="25"/>
  <c r="R398" i="25" s="1"/>
  <c r="P398" i="25"/>
  <c r="Q397" i="25"/>
  <c r="R397" i="25" s="1"/>
  <c r="P397" i="25"/>
  <c r="Q396" i="25"/>
  <c r="R396" i="25" s="1"/>
  <c r="P396" i="25"/>
  <c r="Q395" i="25"/>
  <c r="R395" i="25" s="1"/>
  <c r="P395" i="25"/>
  <c r="Q394" i="25"/>
  <c r="R394" i="25" s="1"/>
  <c r="P394" i="25"/>
  <c r="Q393" i="25"/>
  <c r="R393" i="25" s="1"/>
  <c r="P393" i="25"/>
  <c r="S393" i="25" s="1" a="1"/>
  <c r="S393" i="25" s="1"/>
  <c r="Q392" i="25"/>
  <c r="R392" i="25" s="1"/>
  <c r="P392" i="25"/>
  <c r="Q391" i="25"/>
  <c r="R391" i="25" s="1"/>
  <c r="P391" i="25"/>
  <c r="Q390" i="25"/>
  <c r="R390" i="25" s="1"/>
  <c r="P390" i="25"/>
  <c r="Q389" i="25"/>
  <c r="R389" i="25" s="1"/>
  <c r="P389" i="25"/>
  <c r="Q388" i="25"/>
  <c r="R388" i="25" s="1"/>
  <c r="P388" i="25"/>
  <c r="Q387" i="25"/>
  <c r="R387" i="25" s="1"/>
  <c r="P387" i="25"/>
  <c r="Q386" i="25"/>
  <c r="R386" i="25" s="1"/>
  <c r="P386" i="25"/>
  <c r="Q385" i="25"/>
  <c r="R385" i="25" s="1"/>
  <c r="P385" i="25"/>
  <c r="Q384" i="25"/>
  <c r="R384" i="25" s="1"/>
  <c r="P384" i="25"/>
  <c r="Q383" i="25"/>
  <c r="R383" i="25" s="1"/>
  <c r="P383" i="25"/>
  <c r="Q382" i="25"/>
  <c r="R382" i="25" s="1"/>
  <c r="P382" i="25"/>
  <c r="Q381" i="25"/>
  <c r="R381" i="25" s="1"/>
  <c r="P381" i="25"/>
  <c r="Q380" i="25"/>
  <c r="R380" i="25" s="1"/>
  <c r="P380" i="25"/>
  <c r="Q379" i="25"/>
  <c r="R379" i="25" s="1"/>
  <c r="P379" i="25"/>
  <c r="Q378" i="25"/>
  <c r="R378" i="25" s="1"/>
  <c r="P378" i="25"/>
  <c r="Q377" i="25"/>
  <c r="R377" i="25" s="1"/>
  <c r="P377" i="25"/>
  <c r="Q376" i="25"/>
  <c r="R376" i="25" s="1"/>
  <c r="P376" i="25"/>
  <c r="Q375" i="25"/>
  <c r="R375" i="25" s="1"/>
  <c r="P375" i="25"/>
  <c r="Q374" i="25"/>
  <c r="R374" i="25" s="1"/>
  <c r="P374" i="25"/>
  <c r="Q373" i="25"/>
  <c r="R373" i="25" s="1"/>
  <c r="P373" i="25"/>
  <c r="Q372" i="25"/>
  <c r="R372" i="25" s="1"/>
  <c r="P372" i="25"/>
  <c r="S372" i="25" s="1" a="1"/>
  <c r="S372" i="25" s="1"/>
  <c r="Q371" i="25"/>
  <c r="R371" i="25" s="1"/>
  <c r="P371" i="25"/>
  <c r="Q370" i="25"/>
  <c r="R370" i="25" s="1"/>
  <c r="P370" i="25"/>
  <c r="Q369" i="25"/>
  <c r="R369" i="25" s="1"/>
  <c r="P369" i="25"/>
  <c r="Q368" i="25"/>
  <c r="R368" i="25" s="1"/>
  <c r="P368" i="25"/>
  <c r="Q367" i="25"/>
  <c r="R367" i="25" s="1"/>
  <c r="P367" i="25"/>
  <c r="Q366" i="25"/>
  <c r="R366" i="25" s="1"/>
  <c r="P366" i="25"/>
  <c r="Q365" i="25"/>
  <c r="R365" i="25" s="1"/>
  <c r="P365" i="25"/>
  <c r="Q364" i="25"/>
  <c r="R364" i="25" s="1"/>
  <c r="P364" i="25"/>
  <c r="Q363" i="25"/>
  <c r="R363" i="25" s="1"/>
  <c r="P363" i="25"/>
  <c r="Q362" i="25"/>
  <c r="R362" i="25" s="1"/>
  <c r="P362" i="25"/>
  <c r="Q361" i="25"/>
  <c r="R361" i="25" s="1"/>
  <c r="P361" i="25"/>
  <c r="Q360" i="25"/>
  <c r="R360" i="25" s="1"/>
  <c r="P360" i="25"/>
  <c r="Q359" i="25"/>
  <c r="R359" i="25" s="1"/>
  <c r="P359" i="25"/>
  <c r="Q358" i="25"/>
  <c r="R358" i="25" s="1"/>
  <c r="P358" i="25"/>
  <c r="Q357" i="25"/>
  <c r="R357" i="25" s="1"/>
  <c r="P357" i="25"/>
  <c r="Q356" i="25"/>
  <c r="R356" i="25" s="1"/>
  <c r="P356" i="25"/>
  <c r="Q355" i="25"/>
  <c r="R355" i="25" s="1"/>
  <c r="P355" i="25"/>
  <c r="Q354" i="25"/>
  <c r="R354" i="25" s="1"/>
  <c r="P354" i="25"/>
  <c r="Q353" i="25"/>
  <c r="R353" i="25" s="1"/>
  <c r="P353" i="25"/>
  <c r="Q352" i="25"/>
  <c r="R352" i="25" s="1"/>
  <c r="P352" i="25"/>
  <c r="Q351" i="25"/>
  <c r="R351" i="25" s="1"/>
  <c r="P351" i="25"/>
  <c r="Q350" i="25"/>
  <c r="R350" i="25" s="1"/>
  <c r="P350" i="25"/>
  <c r="Q349" i="25"/>
  <c r="R349" i="25" s="1"/>
  <c r="P349" i="25"/>
  <c r="Q348" i="25"/>
  <c r="R348" i="25" s="1"/>
  <c r="P348" i="25"/>
  <c r="S348" i="25" s="1" a="1"/>
  <c r="S348" i="25" s="1"/>
  <c r="Q347" i="25"/>
  <c r="R347" i="25" s="1"/>
  <c r="P347" i="25"/>
  <c r="Q346" i="25"/>
  <c r="R346" i="25" s="1"/>
  <c r="P346" i="25"/>
  <c r="Q345" i="25"/>
  <c r="R345" i="25" s="1"/>
  <c r="P345" i="25"/>
  <c r="Q344" i="25"/>
  <c r="R344" i="25" s="1"/>
  <c r="P344" i="25"/>
  <c r="Q343" i="25"/>
  <c r="R343" i="25" s="1"/>
  <c r="P343" i="25"/>
  <c r="Q342" i="25"/>
  <c r="R342" i="25" s="1"/>
  <c r="P342" i="25"/>
  <c r="Q341" i="25"/>
  <c r="R341" i="25" s="1"/>
  <c r="P341" i="25"/>
  <c r="Q340" i="25"/>
  <c r="R340" i="25" s="1"/>
  <c r="P340" i="25"/>
  <c r="Q339" i="25"/>
  <c r="R339" i="25" s="1"/>
  <c r="P339" i="25"/>
  <c r="Q338" i="25"/>
  <c r="R338" i="25" s="1"/>
  <c r="P338" i="25"/>
  <c r="Q337" i="25"/>
  <c r="R337" i="25" s="1"/>
  <c r="P337" i="25"/>
  <c r="Q336" i="25"/>
  <c r="R336" i="25" s="1"/>
  <c r="P336" i="25"/>
  <c r="Q335" i="25"/>
  <c r="R335" i="25" s="1"/>
  <c r="P335" i="25"/>
  <c r="Q334" i="25"/>
  <c r="R334" i="25" s="1"/>
  <c r="P334" i="25"/>
  <c r="Q333" i="25"/>
  <c r="R333" i="25" s="1"/>
  <c r="P333" i="25"/>
  <c r="Q332" i="25"/>
  <c r="R332" i="25" s="1"/>
  <c r="P332" i="25"/>
  <c r="Q331" i="25"/>
  <c r="R331" i="25" s="1"/>
  <c r="P331" i="25"/>
  <c r="Q330" i="25"/>
  <c r="R330" i="25" s="1"/>
  <c r="P330" i="25"/>
  <c r="Q329" i="25"/>
  <c r="R329" i="25" s="1"/>
  <c r="P329" i="25"/>
  <c r="Q328" i="25"/>
  <c r="R328" i="25" s="1"/>
  <c r="P328" i="25"/>
  <c r="Q327" i="25"/>
  <c r="R327" i="25" s="1"/>
  <c r="P327" i="25"/>
  <c r="Q326" i="25"/>
  <c r="R326" i="25" s="1"/>
  <c r="P326" i="25"/>
  <c r="Q325" i="25"/>
  <c r="R325" i="25" s="1"/>
  <c r="P325" i="25"/>
  <c r="Q324" i="25"/>
  <c r="R324" i="25" s="1"/>
  <c r="P324" i="25"/>
  <c r="Q323" i="25"/>
  <c r="R323" i="25" s="1"/>
  <c r="P323" i="25"/>
  <c r="Q322" i="25"/>
  <c r="R322" i="25" s="1"/>
  <c r="P322" i="25"/>
  <c r="Q321" i="25"/>
  <c r="R321" i="25" s="1"/>
  <c r="P321" i="25"/>
  <c r="Q320" i="25"/>
  <c r="R320" i="25" s="1"/>
  <c r="P320" i="25"/>
  <c r="Q319" i="25"/>
  <c r="R319" i="25" s="1"/>
  <c r="P319" i="25"/>
  <c r="Q318" i="25"/>
  <c r="R318" i="25" s="1"/>
  <c r="P318" i="25"/>
  <c r="Q317" i="25"/>
  <c r="R317" i="25" s="1"/>
  <c r="P317" i="25"/>
  <c r="Q316" i="25"/>
  <c r="R316" i="25" s="1"/>
  <c r="P316" i="25"/>
  <c r="Q315" i="25"/>
  <c r="R315" i="25" s="1"/>
  <c r="P315" i="25"/>
  <c r="Q314" i="25"/>
  <c r="R314" i="25" s="1"/>
  <c r="P314" i="25"/>
  <c r="Q313" i="25"/>
  <c r="R313" i="25" s="1"/>
  <c r="P313" i="25"/>
  <c r="Q312" i="25"/>
  <c r="R312" i="25" s="1"/>
  <c r="P312" i="25"/>
  <c r="Q311" i="25"/>
  <c r="R311" i="25" s="1"/>
  <c r="P311" i="25"/>
  <c r="Q310" i="25"/>
  <c r="R310" i="25" s="1"/>
  <c r="P310" i="25"/>
  <c r="Q309" i="25"/>
  <c r="R309" i="25" s="1"/>
  <c r="P309" i="25"/>
  <c r="Q308" i="25"/>
  <c r="R308" i="25" s="1"/>
  <c r="P308" i="25"/>
  <c r="Q307" i="25"/>
  <c r="R307" i="25" s="1"/>
  <c r="P307" i="25"/>
  <c r="Q306" i="25"/>
  <c r="R306" i="25" s="1"/>
  <c r="P306" i="25"/>
  <c r="Q305" i="25"/>
  <c r="R305" i="25" s="1"/>
  <c r="P305" i="25"/>
  <c r="Q304" i="25"/>
  <c r="R304" i="25" s="1"/>
  <c r="P304" i="25"/>
  <c r="Q303" i="25"/>
  <c r="R303" i="25" s="1"/>
  <c r="P303" i="25"/>
  <c r="Q302" i="25"/>
  <c r="R302" i="25" s="1"/>
  <c r="P302" i="25"/>
  <c r="Q301" i="25"/>
  <c r="R301" i="25" s="1"/>
  <c r="P301" i="25"/>
  <c r="Q300" i="25"/>
  <c r="R300" i="25" s="1"/>
  <c r="P300" i="25"/>
  <c r="Q299" i="25"/>
  <c r="R299" i="25" s="1"/>
  <c r="P299" i="25"/>
  <c r="Q298" i="25"/>
  <c r="R298" i="25" s="1"/>
  <c r="P298" i="25"/>
  <c r="Q297" i="25"/>
  <c r="R297" i="25" s="1"/>
  <c r="P297" i="25"/>
  <c r="Q296" i="25"/>
  <c r="R296" i="25" s="1"/>
  <c r="P296" i="25"/>
  <c r="Q295" i="25"/>
  <c r="R295" i="25" s="1"/>
  <c r="P295" i="25"/>
  <c r="Q294" i="25"/>
  <c r="R294" i="25" s="1"/>
  <c r="P294" i="25"/>
  <c r="Q293" i="25"/>
  <c r="R293" i="25" s="1"/>
  <c r="P293" i="25"/>
  <c r="Q292" i="25"/>
  <c r="R292" i="25" s="1"/>
  <c r="P292" i="25"/>
  <c r="Q291" i="25"/>
  <c r="R291" i="25" s="1"/>
  <c r="P291" i="25"/>
  <c r="Q290" i="25"/>
  <c r="R290" i="25" s="1"/>
  <c r="P290" i="25"/>
  <c r="Q289" i="25"/>
  <c r="R289" i="25" s="1"/>
  <c r="P289" i="25"/>
  <c r="S289" i="25" s="1" a="1"/>
  <c r="S289" i="25" s="1"/>
  <c r="T289" i="25" s="1"/>
  <c r="Q288" i="25"/>
  <c r="R288" i="25" s="1"/>
  <c r="P288" i="25"/>
  <c r="Q287" i="25"/>
  <c r="R287" i="25" s="1"/>
  <c r="P287" i="25"/>
  <c r="Q286" i="25"/>
  <c r="R286" i="25" s="1"/>
  <c r="P286" i="25"/>
  <c r="Q285" i="25"/>
  <c r="R285" i="25" s="1"/>
  <c r="P285" i="25"/>
  <c r="Q284" i="25"/>
  <c r="R284" i="25" s="1"/>
  <c r="P284" i="25"/>
  <c r="Q283" i="25"/>
  <c r="R283" i="25" s="1"/>
  <c r="P283" i="25"/>
  <c r="Q282" i="25"/>
  <c r="R282" i="25" s="1"/>
  <c r="P282" i="25"/>
  <c r="Q281" i="25"/>
  <c r="R281" i="25" s="1"/>
  <c r="P281" i="25"/>
  <c r="Q280" i="25"/>
  <c r="R280" i="25" s="1"/>
  <c r="P280" i="25"/>
  <c r="Q279" i="25"/>
  <c r="R279" i="25" s="1"/>
  <c r="P279" i="25"/>
  <c r="Q278" i="25"/>
  <c r="R278" i="25" s="1"/>
  <c r="P278" i="25"/>
  <c r="Q277" i="25"/>
  <c r="R277" i="25" s="1"/>
  <c r="P277" i="25"/>
  <c r="Q276" i="25"/>
  <c r="R276" i="25" s="1"/>
  <c r="P276" i="25"/>
  <c r="Q275" i="25"/>
  <c r="R275" i="25" s="1"/>
  <c r="P275" i="25"/>
  <c r="Q274" i="25"/>
  <c r="R274" i="25" s="1"/>
  <c r="P274" i="25"/>
  <c r="Q273" i="25"/>
  <c r="R273" i="25" s="1"/>
  <c r="P273" i="25"/>
  <c r="S273" i="25" s="1" a="1"/>
  <c r="S273" i="25" s="1"/>
  <c r="T273" i="25" s="1"/>
  <c r="Q272" i="25"/>
  <c r="R272" i="25" s="1"/>
  <c r="P272" i="25"/>
  <c r="Q271" i="25"/>
  <c r="R271" i="25" s="1"/>
  <c r="P271" i="25"/>
  <c r="Q270" i="25"/>
  <c r="R270" i="25" s="1"/>
  <c r="P270" i="25"/>
  <c r="Q269" i="25"/>
  <c r="R269" i="25" s="1"/>
  <c r="P269" i="25"/>
  <c r="Q268" i="25"/>
  <c r="R268" i="25" s="1"/>
  <c r="P268" i="25"/>
  <c r="Q267" i="25"/>
  <c r="R267" i="25" s="1"/>
  <c r="P267" i="25"/>
  <c r="Q266" i="25"/>
  <c r="R266" i="25" s="1"/>
  <c r="P266" i="25"/>
  <c r="Q265" i="25"/>
  <c r="R265" i="25" s="1"/>
  <c r="P265" i="25"/>
  <c r="S265" i="25" s="1" a="1"/>
  <c r="S265" i="25" s="1"/>
  <c r="Q264" i="25"/>
  <c r="R264" i="25" s="1"/>
  <c r="P264" i="25"/>
  <c r="Q263" i="25"/>
  <c r="R263" i="25" s="1"/>
  <c r="P263" i="25"/>
  <c r="Q262" i="25"/>
  <c r="R262" i="25" s="1"/>
  <c r="P262" i="25"/>
  <c r="Q261" i="25"/>
  <c r="R261" i="25" s="1"/>
  <c r="P261" i="25"/>
  <c r="Q260" i="25"/>
  <c r="R260" i="25" s="1"/>
  <c r="P260" i="25"/>
  <c r="Q259" i="25"/>
  <c r="R259" i="25" s="1"/>
  <c r="P259" i="25"/>
  <c r="Q258" i="25"/>
  <c r="R258" i="25" s="1"/>
  <c r="P258" i="25"/>
  <c r="Q257" i="25"/>
  <c r="R257" i="25" s="1"/>
  <c r="P257" i="25"/>
  <c r="Q256" i="25"/>
  <c r="R256" i="25" s="1"/>
  <c r="P256" i="25"/>
  <c r="Q255" i="25"/>
  <c r="R255" i="25" s="1"/>
  <c r="P255" i="25"/>
  <c r="Q254" i="25"/>
  <c r="R254" i="25" s="1"/>
  <c r="P254" i="25"/>
  <c r="Q253" i="25"/>
  <c r="R253" i="25" s="1"/>
  <c r="P253" i="25"/>
  <c r="Q252" i="25"/>
  <c r="R252" i="25" s="1"/>
  <c r="P252" i="25"/>
  <c r="Q251" i="25"/>
  <c r="R251" i="25" s="1"/>
  <c r="P251" i="25"/>
  <c r="Q250" i="25"/>
  <c r="R250" i="25" s="1"/>
  <c r="P250" i="25"/>
  <c r="Q249" i="25"/>
  <c r="R249" i="25" s="1"/>
  <c r="P249" i="25"/>
  <c r="S249" i="25" s="1" a="1"/>
  <c r="S249" i="25" s="1"/>
  <c r="Q248" i="25"/>
  <c r="R248" i="25" s="1"/>
  <c r="P248" i="25"/>
  <c r="Q247" i="25"/>
  <c r="R247" i="25" s="1"/>
  <c r="P247" i="25"/>
  <c r="Q246" i="25"/>
  <c r="R246" i="25" s="1"/>
  <c r="P246" i="25"/>
  <c r="Q245" i="25"/>
  <c r="R245" i="25" s="1"/>
  <c r="P245" i="25"/>
  <c r="Q244" i="25"/>
  <c r="R244" i="25" s="1"/>
  <c r="P244" i="25"/>
  <c r="Q243" i="25"/>
  <c r="R243" i="25" s="1"/>
  <c r="P243" i="25"/>
  <c r="Q242" i="25"/>
  <c r="R242" i="25" s="1"/>
  <c r="P242" i="25"/>
  <c r="Q241" i="25"/>
  <c r="R241" i="25" s="1"/>
  <c r="P241" i="25"/>
  <c r="Q240" i="25"/>
  <c r="R240" i="25" s="1"/>
  <c r="P240" i="25"/>
  <c r="Q239" i="25"/>
  <c r="R239" i="25" s="1"/>
  <c r="P239" i="25"/>
  <c r="Q238" i="25"/>
  <c r="R238" i="25" s="1"/>
  <c r="P238" i="25"/>
  <c r="Q237" i="25"/>
  <c r="R237" i="25" s="1"/>
  <c r="P237" i="25"/>
  <c r="Q236" i="25"/>
  <c r="R236" i="25" s="1"/>
  <c r="P236" i="25"/>
  <c r="Q235" i="25"/>
  <c r="R235" i="25" s="1"/>
  <c r="P235" i="25"/>
  <c r="Q234" i="25"/>
  <c r="R234" i="25" s="1"/>
  <c r="P234" i="25"/>
  <c r="Q233" i="25"/>
  <c r="R233" i="25" s="1"/>
  <c r="P233" i="25"/>
  <c r="Q232" i="25"/>
  <c r="R232" i="25" s="1"/>
  <c r="P232" i="25"/>
  <c r="Q231" i="25"/>
  <c r="R231" i="25" s="1"/>
  <c r="P231" i="25"/>
  <c r="Q230" i="25"/>
  <c r="R230" i="25" s="1"/>
  <c r="P230" i="25"/>
  <c r="Q229" i="25"/>
  <c r="R229" i="25" s="1"/>
  <c r="P229" i="25"/>
  <c r="Q228" i="25"/>
  <c r="R228" i="25" s="1"/>
  <c r="P228" i="25"/>
  <c r="Q227" i="25"/>
  <c r="R227" i="25" s="1"/>
  <c r="P227" i="25"/>
  <c r="Q226" i="25"/>
  <c r="R226" i="25" s="1"/>
  <c r="P226" i="25"/>
  <c r="Q225" i="25"/>
  <c r="R225" i="25" s="1"/>
  <c r="P225" i="25"/>
  <c r="Q224" i="25"/>
  <c r="R224" i="25" s="1"/>
  <c r="P224" i="25"/>
  <c r="Q223" i="25"/>
  <c r="R223" i="25" s="1"/>
  <c r="P223" i="25"/>
  <c r="Q222" i="25"/>
  <c r="R222" i="25" s="1"/>
  <c r="P222" i="25"/>
  <c r="Q221" i="25"/>
  <c r="R221" i="25" s="1"/>
  <c r="P221" i="25"/>
  <c r="Q220" i="25"/>
  <c r="R220" i="25" s="1"/>
  <c r="P220" i="25"/>
  <c r="Q219" i="25"/>
  <c r="R219" i="25" s="1"/>
  <c r="P219" i="25"/>
  <c r="Q218" i="25"/>
  <c r="R218" i="25" s="1"/>
  <c r="P218" i="25"/>
  <c r="Q217" i="25"/>
  <c r="R217" i="25" s="1"/>
  <c r="P217" i="25"/>
  <c r="Q216" i="25"/>
  <c r="R216" i="25" s="1"/>
  <c r="P216" i="25"/>
  <c r="Q215" i="25"/>
  <c r="R215" i="25" s="1"/>
  <c r="P215" i="25"/>
  <c r="Q214" i="25"/>
  <c r="R214" i="25" s="1"/>
  <c r="P214" i="25"/>
  <c r="Q213" i="25"/>
  <c r="R213" i="25" s="1"/>
  <c r="P213" i="25"/>
  <c r="Q212" i="25"/>
  <c r="R212" i="25" s="1"/>
  <c r="P212" i="25"/>
  <c r="Q211" i="25"/>
  <c r="R211" i="25" s="1"/>
  <c r="P211" i="25"/>
  <c r="Q210" i="25"/>
  <c r="R210" i="25" s="1"/>
  <c r="P210" i="25"/>
  <c r="Q209" i="25"/>
  <c r="R209" i="25" s="1"/>
  <c r="P209" i="25"/>
  <c r="Q208" i="25"/>
  <c r="R208" i="25" s="1"/>
  <c r="P208" i="25"/>
  <c r="Q207" i="25"/>
  <c r="R207" i="25" s="1"/>
  <c r="P207" i="25"/>
  <c r="Q206" i="25"/>
  <c r="R206" i="25" s="1"/>
  <c r="P206" i="25"/>
  <c r="Q205" i="25"/>
  <c r="R205" i="25" s="1"/>
  <c r="P205" i="25"/>
  <c r="Q204" i="25"/>
  <c r="R204" i="25" s="1"/>
  <c r="P204" i="25"/>
  <c r="Q203" i="25"/>
  <c r="R203" i="25" s="1"/>
  <c r="P203" i="25"/>
  <c r="Q202" i="25"/>
  <c r="R202" i="25" s="1"/>
  <c r="P202" i="25"/>
  <c r="Q201" i="25"/>
  <c r="R201" i="25" s="1"/>
  <c r="P201" i="25"/>
  <c r="Q200" i="25"/>
  <c r="R200" i="25" s="1"/>
  <c r="P200" i="25"/>
  <c r="Q199" i="25"/>
  <c r="R199" i="25" s="1"/>
  <c r="P199" i="25"/>
  <c r="Q198" i="25"/>
  <c r="R198" i="25" s="1"/>
  <c r="P198" i="25"/>
  <c r="Q197" i="25"/>
  <c r="R197" i="25" s="1"/>
  <c r="P197" i="25"/>
  <c r="Q196" i="25"/>
  <c r="R196" i="25" s="1"/>
  <c r="P196" i="25"/>
  <c r="Q195" i="25"/>
  <c r="R195" i="25" s="1"/>
  <c r="P195" i="25"/>
  <c r="Q194" i="25"/>
  <c r="R194" i="25" s="1"/>
  <c r="P194" i="25"/>
  <c r="Q193" i="25"/>
  <c r="R193" i="25" s="1"/>
  <c r="P193" i="25"/>
  <c r="Q192" i="25"/>
  <c r="R192" i="25" s="1"/>
  <c r="P192" i="25"/>
  <c r="Q191" i="25"/>
  <c r="R191" i="25" s="1"/>
  <c r="P191" i="25"/>
  <c r="Q190" i="25"/>
  <c r="R190" i="25" s="1"/>
  <c r="P190" i="25"/>
  <c r="Q189" i="25"/>
  <c r="R189" i="25" s="1"/>
  <c r="P189" i="25"/>
  <c r="Q188" i="25"/>
  <c r="R188" i="25" s="1"/>
  <c r="P188" i="25"/>
  <c r="Q187" i="25"/>
  <c r="R187" i="25" s="1"/>
  <c r="P187" i="25"/>
  <c r="Q186" i="25"/>
  <c r="R186" i="25" s="1"/>
  <c r="P186" i="25"/>
  <c r="Q185" i="25"/>
  <c r="R185" i="25" s="1"/>
  <c r="P185" i="25"/>
  <c r="Q184" i="25"/>
  <c r="R184" i="25" s="1"/>
  <c r="P184" i="25"/>
  <c r="Q183" i="25"/>
  <c r="R183" i="25" s="1"/>
  <c r="P183" i="25"/>
  <c r="Q182" i="25"/>
  <c r="R182" i="25" s="1"/>
  <c r="P182" i="25"/>
  <c r="Q181" i="25"/>
  <c r="R181" i="25" s="1"/>
  <c r="P181" i="25"/>
  <c r="Q180" i="25"/>
  <c r="R180" i="25" s="1"/>
  <c r="P180" i="25"/>
  <c r="Q179" i="25"/>
  <c r="R179" i="25" s="1"/>
  <c r="P179" i="25"/>
  <c r="Q178" i="25"/>
  <c r="R178" i="25" s="1"/>
  <c r="P178" i="25"/>
  <c r="Q177" i="25"/>
  <c r="R177" i="25" s="1"/>
  <c r="P177" i="25"/>
  <c r="Q176" i="25"/>
  <c r="R176" i="25" s="1"/>
  <c r="P176" i="25"/>
  <c r="Q175" i="25"/>
  <c r="R175" i="25" s="1"/>
  <c r="P175" i="25"/>
  <c r="Q174" i="25"/>
  <c r="R174" i="25" s="1"/>
  <c r="P174" i="25"/>
  <c r="Q173" i="25"/>
  <c r="R173" i="25" s="1"/>
  <c r="P173" i="25"/>
  <c r="Q172" i="25"/>
  <c r="R172" i="25" s="1"/>
  <c r="P172" i="25"/>
  <c r="Q171" i="25"/>
  <c r="R171" i="25" s="1"/>
  <c r="P171" i="25"/>
  <c r="Q170" i="25"/>
  <c r="R170" i="25" s="1"/>
  <c r="P170" i="25"/>
  <c r="Q169" i="25"/>
  <c r="R169" i="25" s="1"/>
  <c r="P169" i="25"/>
  <c r="Q168" i="25"/>
  <c r="R168" i="25" s="1"/>
  <c r="P168" i="25"/>
  <c r="Q167" i="25"/>
  <c r="R167" i="25" s="1"/>
  <c r="P167" i="25"/>
  <c r="Q166" i="25"/>
  <c r="R166" i="25" s="1"/>
  <c r="P166" i="25"/>
  <c r="Q165" i="25"/>
  <c r="R165" i="25" s="1"/>
  <c r="P165" i="25"/>
  <c r="Q164" i="25"/>
  <c r="R164" i="25" s="1"/>
  <c r="P164" i="25"/>
  <c r="Q163" i="25"/>
  <c r="R163" i="25" s="1"/>
  <c r="P163" i="25"/>
  <c r="Q162" i="25"/>
  <c r="R162" i="25" s="1"/>
  <c r="P162" i="25"/>
  <c r="Q161" i="25"/>
  <c r="R161" i="25" s="1"/>
  <c r="P161" i="25"/>
  <c r="Q160" i="25"/>
  <c r="R160" i="25" s="1"/>
  <c r="P160" i="25"/>
  <c r="Q159" i="25"/>
  <c r="R159" i="25" s="1"/>
  <c r="P159" i="25"/>
  <c r="Q158" i="25"/>
  <c r="R158" i="25" s="1"/>
  <c r="P158" i="25"/>
  <c r="Q157" i="25"/>
  <c r="R157" i="25" s="1"/>
  <c r="P157" i="25"/>
  <c r="Q156" i="25"/>
  <c r="R156" i="25" s="1"/>
  <c r="P156" i="25"/>
  <c r="Q155" i="25"/>
  <c r="R155" i="25" s="1"/>
  <c r="P155" i="25"/>
  <c r="Q154" i="25"/>
  <c r="R154" i="25" s="1"/>
  <c r="P154" i="25"/>
  <c r="Q153" i="25"/>
  <c r="R153" i="25" s="1"/>
  <c r="P153" i="25"/>
  <c r="S153" i="25" s="1" a="1"/>
  <c r="S153" i="25" s="1"/>
  <c r="Q152" i="25"/>
  <c r="R152" i="25" s="1"/>
  <c r="P152" i="25"/>
  <c r="Q151" i="25"/>
  <c r="R151" i="25" s="1"/>
  <c r="P151" i="25"/>
  <c r="Q150" i="25"/>
  <c r="R150" i="25" s="1"/>
  <c r="P150" i="25"/>
  <c r="Q149" i="25"/>
  <c r="R149" i="25" s="1"/>
  <c r="P149" i="25"/>
  <c r="Q148" i="25"/>
  <c r="R148" i="25" s="1"/>
  <c r="P148" i="25"/>
  <c r="Q147" i="25"/>
  <c r="R147" i="25" s="1"/>
  <c r="P147" i="25"/>
  <c r="Q146" i="25"/>
  <c r="R146" i="25" s="1"/>
  <c r="P146" i="25"/>
  <c r="Q145" i="25"/>
  <c r="R145" i="25" s="1"/>
  <c r="P145" i="25"/>
  <c r="S145" i="25" s="1" a="1"/>
  <c r="S145" i="25" s="1"/>
  <c r="Q144" i="25"/>
  <c r="R144" i="25" s="1"/>
  <c r="P144" i="25"/>
  <c r="Q143" i="25"/>
  <c r="R143" i="25" s="1"/>
  <c r="P143" i="25"/>
  <c r="Q142" i="25"/>
  <c r="R142" i="25" s="1"/>
  <c r="P142" i="25"/>
  <c r="Q141" i="25"/>
  <c r="R141" i="25" s="1"/>
  <c r="P141" i="25"/>
  <c r="Q140" i="25"/>
  <c r="R140" i="25" s="1"/>
  <c r="P140" i="25"/>
  <c r="Q139" i="25"/>
  <c r="R139" i="25" s="1"/>
  <c r="P139" i="25"/>
  <c r="Q138" i="25"/>
  <c r="R138" i="25" s="1"/>
  <c r="P138" i="25"/>
  <c r="Q137" i="25"/>
  <c r="R137" i="25" s="1"/>
  <c r="P137" i="25"/>
  <c r="Q136" i="25"/>
  <c r="R136" i="25" s="1"/>
  <c r="P136" i="25"/>
  <c r="Q135" i="25"/>
  <c r="R135" i="25" s="1"/>
  <c r="P135" i="25"/>
  <c r="Q134" i="25"/>
  <c r="R134" i="25" s="1"/>
  <c r="P134" i="25"/>
  <c r="Q133" i="25"/>
  <c r="R133" i="25" s="1"/>
  <c r="P133" i="25"/>
  <c r="Q132" i="25"/>
  <c r="R132" i="25" s="1"/>
  <c r="P132" i="25"/>
  <c r="Q131" i="25"/>
  <c r="R131" i="25" s="1"/>
  <c r="P131" i="25"/>
  <c r="Q130" i="25"/>
  <c r="R130" i="25" s="1"/>
  <c r="P130" i="25"/>
  <c r="Q129" i="25"/>
  <c r="R129" i="25" s="1"/>
  <c r="P129" i="25"/>
  <c r="Q128" i="25"/>
  <c r="R128" i="25" s="1"/>
  <c r="P128" i="25"/>
  <c r="Q127" i="25"/>
  <c r="R127" i="25" s="1"/>
  <c r="P127" i="25"/>
  <c r="Q126" i="25"/>
  <c r="R126" i="25" s="1"/>
  <c r="P126" i="25"/>
  <c r="Q125" i="25"/>
  <c r="R125" i="25" s="1"/>
  <c r="P125" i="25"/>
  <c r="Q124" i="25"/>
  <c r="R124" i="25" s="1"/>
  <c r="P124" i="25"/>
  <c r="Q123" i="25"/>
  <c r="R123" i="25" s="1"/>
  <c r="P123" i="25"/>
  <c r="Q122" i="25"/>
  <c r="R122" i="25" s="1"/>
  <c r="P122" i="25"/>
  <c r="Q121" i="25"/>
  <c r="R121" i="25" s="1"/>
  <c r="P121" i="25"/>
  <c r="Q120" i="25"/>
  <c r="R120" i="25" s="1"/>
  <c r="P120" i="25"/>
  <c r="Q119" i="25"/>
  <c r="R119" i="25" s="1"/>
  <c r="P119" i="25"/>
  <c r="Q118" i="25"/>
  <c r="R118" i="25" s="1"/>
  <c r="P118" i="25"/>
  <c r="Q117" i="25"/>
  <c r="R117" i="25" s="1"/>
  <c r="P117" i="25"/>
  <c r="Q116" i="25"/>
  <c r="R116" i="25" s="1"/>
  <c r="P116" i="25"/>
  <c r="Q115" i="25"/>
  <c r="R115" i="25" s="1"/>
  <c r="P115" i="25"/>
  <c r="Q114" i="25"/>
  <c r="R114" i="25" s="1"/>
  <c r="P114" i="25"/>
  <c r="Q113" i="25"/>
  <c r="R113" i="25" s="1"/>
  <c r="P113" i="25"/>
  <c r="Q112" i="25"/>
  <c r="R112" i="25" s="1"/>
  <c r="P112" i="25"/>
  <c r="Q111" i="25"/>
  <c r="R111" i="25" s="1"/>
  <c r="P111" i="25"/>
  <c r="Q110" i="25"/>
  <c r="R110" i="25" s="1"/>
  <c r="P110" i="25"/>
  <c r="Q109" i="25"/>
  <c r="R109" i="25" s="1"/>
  <c r="P109" i="25"/>
  <c r="Q108" i="25"/>
  <c r="R108" i="25" s="1"/>
  <c r="P108" i="25"/>
  <c r="Q107" i="25"/>
  <c r="R107" i="25" s="1"/>
  <c r="P107" i="25"/>
  <c r="Q106" i="25"/>
  <c r="R106" i="25" s="1"/>
  <c r="P106" i="25"/>
  <c r="Q105" i="25"/>
  <c r="R105" i="25" s="1"/>
  <c r="P105" i="25"/>
  <c r="S105" i="25" s="1" a="1"/>
  <c r="S105" i="25" s="1"/>
  <c r="Q104" i="25"/>
  <c r="R104" i="25" s="1"/>
  <c r="P104" i="25"/>
  <c r="Q103" i="25"/>
  <c r="R103" i="25" s="1"/>
  <c r="P103" i="25"/>
  <c r="Q102" i="25"/>
  <c r="R102" i="25" s="1"/>
  <c r="P102" i="25"/>
  <c r="Q101" i="25"/>
  <c r="R101" i="25" s="1"/>
  <c r="P101" i="25"/>
  <c r="Q100" i="25"/>
  <c r="R100" i="25" s="1"/>
  <c r="P100" i="25"/>
  <c r="Q99" i="25"/>
  <c r="R99" i="25" s="1"/>
  <c r="P99" i="25"/>
  <c r="Q98" i="25"/>
  <c r="R98" i="25" s="1"/>
  <c r="P98" i="25"/>
  <c r="Q97" i="25"/>
  <c r="R97" i="25" s="1"/>
  <c r="P97" i="25"/>
  <c r="Q96" i="25"/>
  <c r="R96" i="25" s="1"/>
  <c r="P96" i="25"/>
  <c r="Q95" i="25"/>
  <c r="R95" i="25" s="1"/>
  <c r="P95" i="25"/>
  <c r="Q94" i="25"/>
  <c r="R94" i="25" s="1"/>
  <c r="P94" i="25"/>
  <c r="Q93" i="25"/>
  <c r="R93" i="25" s="1"/>
  <c r="P93" i="25"/>
  <c r="Q92" i="25"/>
  <c r="R92" i="25" s="1"/>
  <c r="P92" i="25"/>
  <c r="Q91" i="25"/>
  <c r="R91" i="25" s="1"/>
  <c r="P91" i="25"/>
  <c r="Q90" i="25"/>
  <c r="R90" i="25" s="1"/>
  <c r="P90" i="25"/>
  <c r="Q89" i="25"/>
  <c r="R89" i="25" s="1"/>
  <c r="P89" i="25"/>
  <c r="Q88" i="25"/>
  <c r="R88" i="25" s="1"/>
  <c r="P88" i="25"/>
  <c r="Q87" i="25"/>
  <c r="R87" i="25" s="1"/>
  <c r="P87" i="25"/>
  <c r="Q86" i="25"/>
  <c r="R86" i="25" s="1"/>
  <c r="P86" i="25"/>
  <c r="Q85" i="25"/>
  <c r="R85" i="25" s="1"/>
  <c r="P85" i="25"/>
  <c r="Q84" i="25"/>
  <c r="R84" i="25" s="1"/>
  <c r="P84" i="25"/>
  <c r="Q83" i="25"/>
  <c r="R83" i="25" s="1"/>
  <c r="P83" i="25"/>
  <c r="Q82" i="25"/>
  <c r="R82" i="25" s="1"/>
  <c r="P82" i="25"/>
  <c r="Q81" i="25"/>
  <c r="R81" i="25" s="1"/>
  <c r="P81" i="25"/>
  <c r="S81" i="25" s="1" a="1"/>
  <c r="S81" i="25" s="1"/>
  <c r="T81" i="25" s="1"/>
  <c r="U81" i="25" s="1"/>
  <c r="Q80" i="25"/>
  <c r="R80" i="25" s="1"/>
  <c r="P80" i="25"/>
  <c r="Q79" i="25"/>
  <c r="R79" i="25" s="1"/>
  <c r="P79" i="25"/>
  <c r="Q78" i="25"/>
  <c r="R78" i="25" s="1"/>
  <c r="P78" i="25"/>
  <c r="Q77" i="25"/>
  <c r="R77" i="25" s="1"/>
  <c r="P77" i="25"/>
  <c r="Q76" i="25"/>
  <c r="R76" i="25" s="1"/>
  <c r="P76" i="25"/>
  <c r="Q75" i="25"/>
  <c r="R75" i="25" s="1"/>
  <c r="P75" i="25"/>
  <c r="Q74" i="25"/>
  <c r="R74" i="25" s="1"/>
  <c r="P74" i="25"/>
  <c r="Q73" i="25"/>
  <c r="R73" i="25" s="1"/>
  <c r="P73" i="25"/>
  <c r="Q72" i="25"/>
  <c r="R72" i="25" s="1"/>
  <c r="P72" i="25"/>
  <c r="Q71" i="25"/>
  <c r="R71" i="25" s="1"/>
  <c r="P71" i="25"/>
  <c r="Q70" i="25"/>
  <c r="R70" i="25" s="1"/>
  <c r="P70" i="25"/>
  <c r="Q69" i="25"/>
  <c r="R69" i="25" s="1"/>
  <c r="P69" i="25"/>
  <c r="Q68" i="25"/>
  <c r="R68" i="25" s="1"/>
  <c r="P68" i="25"/>
  <c r="Q67" i="25"/>
  <c r="R67" i="25" s="1"/>
  <c r="P67" i="25"/>
  <c r="Q66" i="25"/>
  <c r="R66" i="25" s="1"/>
  <c r="P66" i="25"/>
  <c r="Q65" i="25"/>
  <c r="R65" i="25" s="1"/>
  <c r="P65" i="25"/>
  <c r="Q64" i="25"/>
  <c r="R64" i="25" s="1"/>
  <c r="P64" i="25"/>
  <c r="Q63" i="25"/>
  <c r="R63" i="25" s="1"/>
  <c r="P63" i="25"/>
  <c r="Q62" i="25"/>
  <c r="R62" i="25" s="1"/>
  <c r="P62" i="25"/>
  <c r="Q61" i="25"/>
  <c r="R61" i="25" s="1"/>
  <c r="P61" i="25"/>
  <c r="Q60" i="25"/>
  <c r="R60" i="25" s="1"/>
  <c r="P60" i="25"/>
  <c r="Q59" i="25"/>
  <c r="R59" i="25" s="1"/>
  <c r="P59" i="25"/>
  <c r="Q58" i="25"/>
  <c r="R58" i="25" s="1"/>
  <c r="P58" i="25"/>
  <c r="Q57" i="25"/>
  <c r="R57" i="25" s="1"/>
  <c r="P57" i="25"/>
  <c r="Q56" i="25"/>
  <c r="R56" i="25" s="1"/>
  <c r="P56" i="25"/>
  <c r="Q55" i="25"/>
  <c r="R55" i="25" s="1"/>
  <c r="P55" i="25"/>
  <c r="Q54" i="25"/>
  <c r="R54" i="25" s="1"/>
  <c r="P54" i="25"/>
  <c r="Q53" i="25"/>
  <c r="R53" i="25" s="1"/>
  <c r="P53" i="25"/>
  <c r="Q52" i="25"/>
  <c r="R52" i="25" s="1"/>
  <c r="P52" i="25"/>
  <c r="Q51" i="25"/>
  <c r="R51" i="25" s="1"/>
  <c r="P51" i="25"/>
  <c r="Q50" i="25"/>
  <c r="R50" i="25" s="1"/>
  <c r="P50" i="25"/>
  <c r="Q49" i="25"/>
  <c r="R49" i="25" s="1"/>
  <c r="P49" i="25"/>
  <c r="Q48" i="25"/>
  <c r="R48" i="25" s="1"/>
  <c r="P48" i="25"/>
  <c r="Q47" i="25"/>
  <c r="R47" i="25" s="1"/>
  <c r="P47" i="25"/>
  <c r="Q46" i="25"/>
  <c r="R46" i="25" s="1"/>
  <c r="P46" i="25"/>
  <c r="Q45" i="25"/>
  <c r="R45" i="25" s="1"/>
  <c r="P45" i="25"/>
  <c r="Q44" i="25"/>
  <c r="R44" i="25" s="1"/>
  <c r="P44" i="25"/>
  <c r="Q43" i="25"/>
  <c r="R43" i="25" s="1"/>
  <c r="P43" i="25"/>
  <c r="Q42" i="25"/>
  <c r="R42" i="25" s="1"/>
  <c r="P42" i="25"/>
  <c r="Q41" i="25"/>
  <c r="R41" i="25" s="1"/>
  <c r="P41" i="25"/>
  <c r="Q40" i="25"/>
  <c r="R40" i="25" s="1"/>
  <c r="P40" i="25"/>
  <c r="Q39" i="25"/>
  <c r="R39" i="25" s="1"/>
  <c r="P39" i="25"/>
  <c r="Q38" i="25"/>
  <c r="R38" i="25" s="1"/>
  <c r="P38" i="25"/>
  <c r="Q37" i="25"/>
  <c r="R37" i="25" s="1"/>
  <c r="P37" i="25"/>
  <c r="Q36" i="25"/>
  <c r="R36" i="25" s="1"/>
  <c r="P36" i="25"/>
  <c r="Q35" i="25"/>
  <c r="R35" i="25" s="1"/>
  <c r="P35" i="25"/>
  <c r="Q34" i="25"/>
  <c r="R34" i="25" s="1"/>
  <c r="P34" i="25"/>
  <c r="Q33" i="25"/>
  <c r="R33" i="25" s="1"/>
  <c r="P33" i="25"/>
  <c r="Q32" i="25"/>
  <c r="R32" i="25" s="1"/>
  <c r="P32" i="25"/>
  <c r="Q31" i="25"/>
  <c r="R31" i="25" s="1"/>
  <c r="P31" i="25"/>
  <c r="Q30" i="25"/>
  <c r="R30" i="25" s="1"/>
  <c r="P30" i="25"/>
  <c r="Q29" i="25"/>
  <c r="R29" i="25" s="1"/>
  <c r="P29" i="25"/>
  <c r="Q28" i="25"/>
  <c r="R28" i="25" s="1"/>
  <c r="P28" i="25"/>
  <c r="Q27" i="25"/>
  <c r="R27" i="25" s="1"/>
  <c r="P27" i="25"/>
  <c r="Q26" i="25"/>
  <c r="R26" i="25" s="1"/>
  <c r="P26" i="25"/>
  <c r="Q25" i="25"/>
  <c r="R25" i="25" s="1"/>
  <c r="P25" i="25"/>
  <c r="Q24" i="25"/>
  <c r="R24" i="25" s="1"/>
  <c r="P24" i="25"/>
  <c r="Q23" i="25"/>
  <c r="R23" i="25" s="1"/>
  <c r="P23" i="25"/>
  <c r="Q22" i="25"/>
  <c r="R22" i="25" s="1"/>
  <c r="P22" i="25"/>
  <c r="Q21" i="25"/>
  <c r="R21" i="25" s="1"/>
  <c r="P21" i="25"/>
  <c r="Q20" i="25"/>
  <c r="R20" i="25" s="1"/>
  <c r="P20" i="25"/>
  <c r="Q19" i="25"/>
  <c r="R19" i="25" s="1"/>
  <c r="P19" i="25"/>
  <c r="Q18" i="25"/>
  <c r="R18" i="25" s="1"/>
  <c r="P18" i="25"/>
  <c r="Q17" i="25"/>
  <c r="R17" i="25" s="1"/>
  <c r="P17" i="25"/>
  <c r="Q16" i="25"/>
  <c r="R16" i="25" s="1"/>
  <c r="P16" i="25"/>
  <c r="Q15" i="25"/>
  <c r="R15" i="25" s="1"/>
  <c r="P15" i="25"/>
  <c r="Q14" i="25"/>
  <c r="R14" i="25" s="1"/>
  <c r="P14" i="25"/>
  <c r="Q13" i="25"/>
  <c r="R13" i="25" s="1"/>
  <c r="P13" i="25"/>
  <c r="Q12" i="25"/>
  <c r="R12" i="25" s="1"/>
  <c r="P12" i="25"/>
  <c r="Q11" i="25"/>
  <c r="R11" i="25" s="1"/>
  <c r="P11" i="25"/>
  <c r="Q10" i="25"/>
  <c r="R10" i="25" s="1"/>
  <c r="P10" i="25"/>
  <c r="Q9" i="25"/>
  <c r="R9" i="25" s="1"/>
  <c r="P9" i="25"/>
  <c r="Q8" i="25"/>
  <c r="R8" i="25" s="1"/>
  <c r="P8" i="25"/>
  <c r="Q7" i="25"/>
  <c r="R7" i="25" s="1"/>
  <c r="P7" i="25"/>
  <c r="Q6" i="25"/>
  <c r="R6" i="25" s="1"/>
  <c r="P6" i="25"/>
  <c r="Q5" i="25"/>
  <c r="R5" i="25" s="1"/>
  <c r="P5" i="25"/>
  <c r="Q4" i="25"/>
  <c r="R4" i="25" s="1"/>
  <c r="P4" i="25"/>
  <c r="Q3" i="25"/>
  <c r="R3" i="25" s="1"/>
  <c r="P3" i="25"/>
  <c r="Q2" i="25"/>
  <c r="R2" i="25" s="1"/>
  <c r="P2" i="25"/>
  <c r="S2" i="21"/>
  <c r="T2" i="21" s="1"/>
  <c r="R2" i="21"/>
  <c r="R42" i="21"/>
  <c r="R43" i="21"/>
  <c r="R44" i="21"/>
  <c r="S42" i="21"/>
  <c r="T42" i="21" s="1"/>
  <c r="S43" i="21"/>
  <c r="T43" i="21" s="1"/>
  <c r="S44" i="21"/>
  <c r="T44" i="21" s="1"/>
  <c r="R45" i="21"/>
  <c r="S45" i="21"/>
  <c r="T45" i="21" s="1"/>
  <c r="R46" i="21"/>
  <c r="U46" i="21" s="1" a="1"/>
  <c r="U46" i="21" s="1"/>
  <c r="V46" i="21" s="1"/>
  <c r="S46" i="21"/>
  <c r="T46" i="21" s="1"/>
  <c r="O292" i="4"/>
  <c r="C297" i="4"/>
  <c r="C291" i="4"/>
  <c r="C292" i="4"/>
  <c r="C293" i="4"/>
  <c r="C294" i="4"/>
  <c r="C295" i="4"/>
  <c r="C296" i="4"/>
  <c r="W322" i="4"/>
  <c r="V322" i="4"/>
  <c r="U322" i="4"/>
  <c r="T322" i="4"/>
  <c r="S322" i="4"/>
  <c r="R322" i="4"/>
  <c r="P322" i="4"/>
  <c r="O322" i="4"/>
  <c r="W316" i="4"/>
  <c r="V316" i="4"/>
  <c r="U316" i="4"/>
  <c r="T316" i="4"/>
  <c r="S316" i="4"/>
  <c r="R316" i="4"/>
  <c r="Q316" i="4"/>
  <c r="P316" i="4"/>
  <c r="O316" i="4"/>
  <c r="W310" i="4"/>
  <c r="V310" i="4"/>
  <c r="U310" i="4"/>
  <c r="T310" i="4"/>
  <c r="S310" i="4"/>
  <c r="R310" i="4"/>
  <c r="Q310" i="4"/>
  <c r="P310" i="4"/>
  <c r="O310" i="4"/>
  <c r="W304" i="4"/>
  <c r="V304" i="4"/>
  <c r="U304" i="4"/>
  <c r="T304" i="4"/>
  <c r="S304" i="4"/>
  <c r="R304" i="4"/>
  <c r="Q304" i="4"/>
  <c r="P304" i="4"/>
  <c r="O304" i="4"/>
  <c r="W298" i="4"/>
  <c r="V298" i="4"/>
  <c r="U298" i="4"/>
  <c r="T298" i="4"/>
  <c r="S298" i="4"/>
  <c r="R298" i="4"/>
  <c r="Q298" i="4"/>
  <c r="P298" i="4"/>
  <c r="O298" i="4"/>
  <c r="X292" i="4"/>
  <c r="W292" i="4"/>
  <c r="V292" i="4"/>
  <c r="U292" i="4"/>
  <c r="T292" i="4"/>
  <c r="S292" i="4"/>
  <c r="R292" i="4"/>
  <c r="Q292" i="4"/>
  <c r="P292" i="4"/>
  <c r="X291" i="4"/>
  <c r="W291" i="4"/>
  <c r="V291" i="4"/>
  <c r="U291" i="4"/>
  <c r="T291" i="4"/>
  <c r="S291" i="4"/>
  <c r="R291" i="4"/>
  <c r="Q291" i="4"/>
  <c r="P291" i="4"/>
  <c r="O291" i="4"/>
  <c r="S3" i="21"/>
  <c r="T3" i="21" s="1"/>
  <c r="S4" i="21"/>
  <c r="T4" i="21" s="1"/>
  <c r="S5" i="21"/>
  <c r="T5" i="21" s="1"/>
  <c r="S6" i="21"/>
  <c r="T6" i="21" s="1"/>
  <c r="S7" i="21"/>
  <c r="T7" i="21" s="1"/>
  <c r="S8" i="21"/>
  <c r="T8" i="21" s="1"/>
  <c r="S9" i="21"/>
  <c r="T9" i="21" s="1"/>
  <c r="S10" i="21"/>
  <c r="T10" i="21" s="1"/>
  <c r="S11" i="21"/>
  <c r="T11" i="21" s="1"/>
  <c r="S12" i="21"/>
  <c r="T12" i="21" s="1"/>
  <c r="S13" i="21"/>
  <c r="T13" i="21" s="1"/>
  <c r="S14" i="21"/>
  <c r="T14" i="21" s="1"/>
  <c r="S15" i="21"/>
  <c r="T15" i="21" s="1"/>
  <c r="S16" i="21"/>
  <c r="T16" i="21" s="1"/>
  <c r="S17" i="21"/>
  <c r="T17" i="21" s="1"/>
  <c r="S18" i="21"/>
  <c r="T18" i="21" s="1"/>
  <c r="S19" i="21"/>
  <c r="T19" i="21" s="1"/>
  <c r="S20" i="21"/>
  <c r="T20" i="21" s="1"/>
  <c r="S21" i="21"/>
  <c r="T21" i="21" s="1"/>
  <c r="S22" i="21"/>
  <c r="T22" i="21" s="1"/>
  <c r="S23" i="21"/>
  <c r="T23" i="21" s="1"/>
  <c r="S24" i="21"/>
  <c r="T24" i="21" s="1"/>
  <c r="S25" i="21"/>
  <c r="T25" i="21" s="1"/>
  <c r="S26" i="21"/>
  <c r="T26" i="21" s="1"/>
  <c r="S27" i="21"/>
  <c r="T27" i="21" s="1"/>
  <c r="S28" i="21"/>
  <c r="T28" i="21" s="1"/>
  <c r="S29" i="21"/>
  <c r="T29" i="21" s="1"/>
  <c r="S30" i="21"/>
  <c r="T30" i="21" s="1"/>
  <c r="S31" i="21"/>
  <c r="T31" i="21" s="1"/>
  <c r="S32" i="21"/>
  <c r="T32" i="21" s="1"/>
  <c r="S33" i="21"/>
  <c r="T33" i="21" s="1"/>
  <c r="S34" i="21"/>
  <c r="T34" i="21" s="1"/>
  <c r="S35" i="21"/>
  <c r="T35" i="21" s="1"/>
  <c r="S36" i="21"/>
  <c r="T36" i="21" s="1"/>
  <c r="S37" i="21"/>
  <c r="T37" i="21" s="1"/>
  <c r="S38" i="21"/>
  <c r="T38" i="21" s="1"/>
  <c r="S39" i="21"/>
  <c r="T39" i="21" s="1"/>
  <c r="S40" i="21"/>
  <c r="T40" i="21" s="1"/>
  <c r="R3" i="21"/>
  <c r="R4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A197" i="4"/>
  <c r="F273" i="25" l="1"/>
  <c r="S334" i="25" a="1"/>
  <c r="S334" i="25" s="1"/>
  <c r="S2" i="25" a="1"/>
  <c r="S2" i="25" s="1"/>
  <c r="F2" i="25" s="1"/>
  <c r="S18" i="25" a="1"/>
  <c r="S18" i="25" s="1"/>
  <c r="T18" i="25" s="1"/>
  <c r="U18" i="25" s="1"/>
  <c r="S50" i="25" a="1"/>
  <c r="S50" i="25" s="1"/>
  <c r="F50" i="25" s="1"/>
  <c r="S130" i="25" a="1"/>
  <c r="S130" i="25" s="1"/>
  <c r="F130" i="25" s="1"/>
  <c r="S218" i="25" a="1"/>
  <c r="S218" i="25" s="1"/>
  <c r="F218" i="25" s="1"/>
  <c r="S3" i="25" a="1"/>
  <c r="S3" i="25" s="1"/>
  <c r="T3" i="25" s="1"/>
  <c r="U3" i="25" s="1"/>
  <c r="S91" i="25" a="1"/>
  <c r="S91" i="25" s="1"/>
  <c r="F91" i="25" s="1"/>
  <c r="S115" i="25" a="1"/>
  <c r="S115" i="25" s="1"/>
  <c r="F115" i="25" s="1"/>
  <c r="S131" i="25" a="1"/>
  <c r="S131" i="25" s="1"/>
  <c r="F131" i="25" s="1"/>
  <c r="S147" i="25" a="1"/>
  <c r="S147" i="25" s="1"/>
  <c r="F147" i="25" s="1"/>
  <c r="S155" i="25" a="1"/>
  <c r="S155" i="25" s="1"/>
  <c r="F155" i="25" s="1"/>
  <c r="S163" i="25" a="1"/>
  <c r="S163" i="25" s="1"/>
  <c r="F163" i="25" s="1"/>
  <c r="S187" i="25" a="1"/>
  <c r="S187" i="25" s="1"/>
  <c r="T187" i="25" s="1"/>
  <c r="U187" i="25" s="1"/>
  <c r="S259" i="25" a="1"/>
  <c r="S259" i="25" s="1"/>
  <c r="F259" i="25" s="1"/>
  <c r="S379" i="25" a="1"/>
  <c r="S379" i="25" s="1"/>
  <c r="T379" i="25" s="1"/>
  <c r="U379" i="25" s="1"/>
  <c r="S395" i="25" a="1"/>
  <c r="S395" i="25" s="1"/>
  <c r="T395" i="25" s="1"/>
  <c r="U395" i="25" s="1"/>
  <c r="S411" i="25" a="1"/>
  <c r="S411" i="25" s="1"/>
  <c r="S92" i="25" a="1"/>
  <c r="S92" i="25" s="1"/>
  <c r="F92" i="25" s="1"/>
  <c r="S228" i="25" a="1"/>
  <c r="S228" i="25" s="1"/>
  <c r="F228" i="25" s="1"/>
  <c r="S236" i="25" a="1"/>
  <c r="S236" i="25" s="1"/>
  <c r="F236" i="25" s="1"/>
  <c r="S244" i="25" a="1"/>
  <c r="S244" i="25" s="1"/>
  <c r="T244" i="25" s="1"/>
  <c r="U244" i="25" s="1"/>
  <c r="S45" i="25" a="1"/>
  <c r="S45" i="25" s="1"/>
  <c r="F45" i="25" s="1"/>
  <c r="S85" i="25" a="1"/>
  <c r="S85" i="25" s="1"/>
  <c r="T85" i="25" s="1"/>
  <c r="S93" i="25" a="1"/>
  <c r="S93" i="25" s="1"/>
  <c r="F93" i="25" s="1"/>
  <c r="S261" i="25" a="1"/>
  <c r="S261" i="25" s="1"/>
  <c r="F261" i="25" s="1"/>
  <c r="S269" i="25" a="1"/>
  <c r="S269" i="25" s="1"/>
  <c r="T269" i="25" s="1"/>
  <c r="U269" i="25" s="1"/>
  <c r="S350" i="25" a="1"/>
  <c r="S350" i="25" s="1"/>
  <c r="T350" i="25" s="1"/>
  <c r="U350" i="25" s="1"/>
  <c r="S55" i="25" a="1"/>
  <c r="S55" i="25" s="1"/>
  <c r="T55" i="25" s="1"/>
  <c r="U55" i="25" s="1"/>
  <c r="S71" i="25" a="1"/>
  <c r="S71" i="25" s="1"/>
  <c r="F71" i="25" s="1"/>
  <c r="S87" i="25" a="1"/>
  <c r="S87" i="25" s="1"/>
  <c r="T87" i="25" s="1"/>
  <c r="U87" i="25" s="1"/>
  <c r="S127" i="25" a="1"/>
  <c r="S127" i="25" s="1"/>
  <c r="T127" i="25" s="1"/>
  <c r="U127" i="25" s="1"/>
  <c r="S263" i="25" a="1"/>
  <c r="S263" i="25" s="1"/>
  <c r="T263" i="25" s="1"/>
  <c r="U263" i="25" s="1"/>
  <c r="S271" i="25" a="1"/>
  <c r="S271" i="25" s="1"/>
  <c r="S278" i="25" a="1"/>
  <c r="S278" i="25" s="1"/>
  <c r="T278" i="25" s="1"/>
  <c r="U278" i="25" s="1"/>
  <c r="S326" i="25" a="1"/>
  <c r="S326" i="25" s="1"/>
  <c r="T326" i="25" s="1"/>
  <c r="U326" i="25" s="1"/>
  <c r="S303" i="25" a="1"/>
  <c r="S303" i="25" s="1"/>
  <c r="T303" i="25" s="1"/>
  <c r="U303" i="25" s="1"/>
  <c r="S32" i="25" a="1"/>
  <c r="S32" i="25" s="1"/>
  <c r="F32" i="25" s="1"/>
  <c r="S112" i="25" a="1"/>
  <c r="S112" i="25" s="1"/>
  <c r="F112" i="25" s="1"/>
  <c r="S192" i="25" a="1"/>
  <c r="S192" i="25" s="1"/>
  <c r="F192" i="25" s="1"/>
  <c r="S224" i="25" a="1"/>
  <c r="S224" i="25" s="1"/>
  <c r="F224" i="25" s="1"/>
  <c r="S256" i="25" a="1"/>
  <c r="S256" i="25" s="1"/>
  <c r="F256" i="25" s="1"/>
  <c r="S327" i="25" a="1"/>
  <c r="S327" i="25" s="1"/>
  <c r="S335" i="25" a="1"/>
  <c r="S335" i="25" s="1"/>
  <c r="T335" i="25" s="1"/>
  <c r="U335" i="25" s="1"/>
  <c r="S391" i="25" a="1"/>
  <c r="S391" i="25" s="1"/>
  <c r="T391" i="25" s="1"/>
  <c r="U391" i="25" s="1"/>
  <c r="S407" i="25" a="1"/>
  <c r="S407" i="25" s="1"/>
  <c r="T407" i="25" s="1"/>
  <c r="U407" i="25" s="1"/>
  <c r="U41" i="21" a="1"/>
  <c r="U41" i="21" s="1"/>
  <c r="S17" i="25" a="1"/>
  <c r="S17" i="25" s="1"/>
  <c r="F17" i="25" s="1"/>
  <c r="S19" i="25" a="1"/>
  <c r="S19" i="25" s="1"/>
  <c r="F19" i="25" s="1"/>
  <c r="S22" i="25" a="1"/>
  <c r="S22" i="25" s="1"/>
  <c r="F22" i="25" s="1"/>
  <c r="S23" i="25" a="1"/>
  <c r="S23" i="25" s="1"/>
  <c r="S37" i="25" a="1"/>
  <c r="S37" i="25" s="1"/>
  <c r="F37" i="25" s="1"/>
  <c r="S39" i="25" a="1"/>
  <c r="S39" i="25" s="1"/>
  <c r="T39" i="25" s="1"/>
  <c r="U39" i="25" s="1"/>
  <c r="S54" i="25" a="1"/>
  <c r="S54" i="25" s="1"/>
  <c r="F54" i="25" s="1"/>
  <c r="S60" i="25" a="1"/>
  <c r="S60" i="25" s="1"/>
  <c r="F60" i="25" s="1"/>
  <c r="S67" i="25" a="1"/>
  <c r="S67" i="25" s="1"/>
  <c r="S72" i="25" a="1"/>
  <c r="S72" i="25" s="1"/>
  <c r="F72" i="25" s="1"/>
  <c r="S73" i="25" a="1"/>
  <c r="S73" i="25" s="1"/>
  <c r="S75" i="25" a="1"/>
  <c r="S75" i="25" s="1"/>
  <c r="F75" i="25" s="1"/>
  <c r="S78" i="25" a="1"/>
  <c r="S78" i="25" s="1"/>
  <c r="F78" i="25" s="1"/>
  <c r="S79" i="25" a="1"/>
  <c r="S79" i="25" s="1"/>
  <c r="T79" i="25" s="1"/>
  <c r="U79" i="25" s="1"/>
  <c r="S97" i="25" a="1"/>
  <c r="S97" i="25" s="1"/>
  <c r="F97" i="25" s="1"/>
  <c r="S98" i="25" a="1"/>
  <c r="S98" i="25" s="1"/>
  <c r="T98" i="25" s="1"/>
  <c r="U98" i="25" s="1"/>
  <c r="S106" i="25" a="1"/>
  <c r="S106" i="25" s="1"/>
  <c r="F106" i="25" s="1"/>
  <c r="S108" i="25" a="1"/>
  <c r="S108" i="25" s="1"/>
  <c r="S109" i="25" a="1"/>
  <c r="S109" i="25" s="1"/>
  <c r="T109" i="25" s="1"/>
  <c r="U109" i="25" s="1"/>
  <c r="S117" i="25" a="1"/>
  <c r="S117" i="25" s="1"/>
  <c r="S118" i="25" a="1"/>
  <c r="S118" i="25" s="1"/>
  <c r="S121" i="25" a="1"/>
  <c r="S121" i="25" s="1"/>
  <c r="S124" i="25" a="1"/>
  <c r="S124" i="25" s="1"/>
  <c r="T124" i="25" s="1"/>
  <c r="U124" i="25" s="1"/>
  <c r="S132" i="25" a="1"/>
  <c r="S132" i="25" s="1"/>
  <c r="S133" i="25" a="1"/>
  <c r="S133" i="25" s="1"/>
  <c r="F133" i="25" s="1"/>
  <c r="S136" i="25" a="1"/>
  <c r="S136" i="25" s="1"/>
  <c r="T136" i="25" s="1"/>
  <c r="U136" i="25" s="1"/>
  <c r="S137" i="25" a="1"/>
  <c r="S137" i="25" s="1"/>
  <c r="F137" i="25" s="1"/>
  <c r="S139" i="25" a="1"/>
  <c r="S139" i="25" s="1"/>
  <c r="F139" i="25" s="1"/>
  <c r="S142" i="25" a="1"/>
  <c r="S142" i="25" s="1"/>
  <c r="T142" i="25" s="1"/>
  <c r="U142" i="25" s="1"/>
  <c r="S148" i="25" a="1"/>
  <c r="S148" i="25" s="1"/>
  <c r="F148" i="25" s="1"/>
  <c r="S156" i="25" a="1"/>
  <c r="S156" i="25" s="1"/>
  <c r="T156" i="25" s="1"/>
  <c r="U156" i="25" s="1"/>
  <c r="S157" i="25" a="1"/>
  <c r="S157" i="25" s="1"/>
  <c r="F157" i="25" s="1"/>
  <c r="S158" i="25" a="1"/>
  <c r="S158" i="25" s="1"/>
  <c r="F158" i="25" s="1"/>
  <c r="S164" i="25" a="1"/>
  <c r="S164" i="25" s="1"/>
  <c r="F164" i="25" s="1"/>
  <c r="S166" i="25" a="1"/>
  <c r="S166" i="25" s="1"/>
  <c r="T166" i="25" s="1"/>
  <c r="U166" i="25" s="1"/>
  <c r="S172" i="25" a="1"/>
  <c r="S172" i="25" s="1"/>
  <c r="T172" i="25" s="1"/>
  <c r="U172" i="25" s="1"/>
  <c r="S176" i="25" a="1"/>
  <c r="S176" i="25" s="1"/>
  <c r="F176" i="25" s="1"/>
  <c r="S177" i="25" a="1"/>
  <c r="S177" i="25" s="1"/>
  <c r="T177" i="25" s="1"/>
  <c r="U177" i="25" s="1"/>
  <c r="S182" i="25" a="1"/>
  <c r="S182" i="25" s="1"/>
  <c r="T182" i="25" s="1"/>
  <c r="U182" i="25" s="1"/>
  <c r="S184" i="25" a="1"/>
  <c r="S184" i="25" s="1"/>
  <c r="F184" i="25" s="1"/>
  <c r="S188" i="25" a="1"/>
  <c r="S188" i="25" s="1"/>
  <c r="T188" i="25" s="1"/>
  <c r="U188" i="25" s="1"/>
  <c r="S189" i="25" a="1"/>
  <c r="S189" i="25" s="1"/>
  <c r="T189" i="25" s="1"/>
  <c r="U189" i="25" s="1"/>
  <c r="S200" i="25" a="1"/>
  <c r="S200" i="25" s="1"/>
  <c r="T200" i="25" s="1"/>
  <c r="U200" i="25" s="1"/>
  <c r="S203" i="25" a="1"/>
  <c r="S203" i="25" s="1"/>
  <c r="T203" i="25" s="1"/>
  <c r="U203" i="25" s="1"/>
  <c r="S205" i="25" a="1"/>
  <c r="S205" i="25" s="1"/>
  <c r="F205" i="25" s="1"/>
  <c r="S219" i="25" a="1"/>
  <c r="S219" i="25" s="1"/>
  <c r="T219" i="25" s="1"/>
  <c r="U219" i="25" s="1"/>
  <c r="S233" i="25" a="1"/>
  <c r="S233" i="25" s="1"/>
  <c r="F233" i="25" s="1"/>
  <c r="S241" i="25" a="1"/>
  <c r="S241" i="25" s="1"/>
  <c r="T241" i="25" s="1"/>
  <c r="U241" i="25" s="1"/>
  <c r="S254" i="25" a="1"/>
  <c r="S254" i="25" s="1"/>
  <c r="F254" i="25" s="1"/>
  <c r="S266" i="25" a="1"/>
  <c r="S266" i="25" s="1"/>
  <c r="T266" i="25" s="1"/>
  <c r="U266" i="25" s="1"/>
  <c r="S274" i="25" a="1"/>
  <c r="S274" i="25" s="1"/>
  <c r="T274" i="25" s="1"/>
  <c r="U274" i="25" s="1"/>
  <c r="S281" i="25" a="1"/>
  <c r="S281" i="25" s="1"/>
  <c r="T281" i="25" s="1"/>
  <c r="U281" i="25" s="1"/>
  <c r="S292" i="25" a="1"/>
  <c r="S292" i="25" s="1"/>
  <c r="F292" i="25" s="1"/>
  <c r="S295" i="25" a="1"/>
  <c r="S295" i="25" s="1"/>
  <c r="T295" i="25" s="1"/>
  <c r="U295" i="25" s="1"/>
  <c r="S297" i="25" a="1"/>
  <c r="S297" i="25" s="1"/>
  <c r="T297" i="25" s="1"/>
  <c r="U297" i="25" s="1"/>
  <c r="S308" i="25" a="1"/>
  <c r="S308" i="25" s="1"/>
  <c r="T308" i="25" s="1"/>
  <c r="U308" i="25" s="1"/>
  <c r="S310" i="25" a="1"/>
  <c r="S310" i="25" s="1"/>
  <c r="S311" i="25" a="1"/>
  <c r="S311" i="25" s="1"/>
  <c r="T311" i="25" s="1"/>
  <c r="U311" i="25" s="1"/>
  <c r="S312" i="25" a="1"/>
  <c r="S312" i="25" s="1"/>
  <c r="T312" i="25" s="1"/>
  <c r="U312" i="25" s="1"/>
  <c r="S314" i="25" a="1"/>
  <c r="S314" i="25" s="1"/>
  <c r="T314" i="25" s="1"/>
  <c r="U314" i="25" s="1"/>
  <c r="S354" i="25" a="1"/>
  <c r="S354" i="25" s="1"/>
  <c r="T354" i="25" s="1"/>
  <c r="U354" i="25" s="1"/>
  <c r="S359" i="25" a="1"/>
  <c r="S359" i="25" s="1"/>
  <c r="S361" i="25" a="1"/>
  <c r="S361" i="25" s="1"/>
  <c r="T361" i="25" s="1"/>
  <c r="U361" i="25" s="1"/>
  <c r="S367" i="25" a="1"/>
  <c r="S367" i="25" s="1"/>
  <c r="F367" i="25" s="1"/>
  <c r="S373" i="25" a="1"/>
  <c r="S373" i="25" s="1"/>
  <c r="T373" i="25" s="1"/>
  <c r="U373" i="25" s="1"/>
  <c r="S374" i="25" a="1"/>
  <c r="S374" i="25" s="1"/>
  <c r="T374" i="25" s="1"/>
  <c r="U374" i="25" s="1"/>
  <c r="S375" i="25" a="1"/>
  <c r="S375" i="25" s="1"/>
  <c r="T375" i="25" s="1"/>
  <c r="U375" i="25" s="1"/>
  <c r="S377" i="25" a="1"/>
  <c r="S377" i="25" s="1"/>
  <c r="F377" i="25" s="1"/>
  <c r="S383" i="25" a="1"/>
  <c r="S383" i="25" s="1"/>
  <c r="F383" i="25" s="1"/>
  <c r="S384" i="25" a="1"/>
  <c r="S384" i="25" s="1"/>
  <c r="T384" i="25" s="1"/>
  <c r="U384" i="25" s="1"/>
  <c r="S386" i="25" a="1"/>
  <c r="S386" i="25" s="1"/>
  <c r="T386" i="25" s="1"/>
  <c r="U386" i="25" s="1"/>
  <c r="S388" i="25" a="1"/>
  <c r="S388" i="25" s="1"/>
  <c r="F388" i="25" s="1"/>
  <c r="S400" i="25" a="1"/>
  <c r="S400" i="25" s="1"/>
  <c r="T400" i="25" s="1"/>
  <c r="U400" i="25" s="1"/>
  <c r="S402" i="25" a="1"/>
  <c r="S402" i="25" s="1"/>
  <c r="T402" i="25" s="1"/>
  <c r="U402" i="25" s="1"/>
  <c r="S403" i="25" a="1"/>
  <c r="S403" i="25" s="1"/>
  <c r="T403" i="25" s="1"/>
  <c r="U403" i="25" s="1"/>
  <c r="S405" i="25" a="1"/>
  <c r="S405" i="25" s="1"/>
  <c r="F405" i="25" s="1"/>
  <c r="S414" i="25" a="1"/>
  <c r="S414" i="25" s="1"/>
  <c r="S419" i="25" a="1"/>
  <c r="S419" i="25" s="1"/>
  <c r="T419" i="25" s="1"/>
  <c r="U419" i="25" s="1"/>
  <c r="S421" i="25" a="1"/>
  <c r="S421" i="25" s="1"/>
  <c r="F421" i="25" s="1"/>
  <c r="S427" i="25" a="1"/>
  <c r="S427" i="25" s="1"/>
  <c r="T427" i="25" s="1"/>
  <c r="U427" i="25" s="1"/>
  <c r="S26" i="25" a="1"/>
  <c r="S26" i="25" s="1"/>
  <c r="S14" i="25" a="1"/>
  <c r="S14" i="25" s="1"/>
  <c r="S29" i="25" a="1"/>
  <c r="S29" i="25" s="1"/>
  <c r="S30" i="25" a="1"/>
  <c r="S30" i="25" s="1"/>
  <c r="S185" i="25" a="1"/>
  <c r="S185" i="25" s="1"/>
  <c r="S186" i="25" a="1"/>
  <c r="S186" i="25" s="1"/>
  <c r="S304" i="25" a="1"/>
  <c r="S304" i="25" s="1"/>
  <c r="S305" i="25" a="1"/>
  <c r="S305" i="25" s="1"/>
  <c r="S48" i="25" a="1"/>
  <c r="S48" i="25" s="1"/>
  <c r="S52" i="25" a="1"/>
  <c r="S52" i="25" s="1"/>
  <c r="T228" i="25"/>
  <c r="U228" i="25" s="1"/>
  <c r="S35" i="25" a="1"/>
  <c r="S35" i="25" s="1"/>
  <c r="S42" i="25" a="1"/>
  <c r="S42" i="25" s="1"/>
  <c r="S13" i="25" a="1"/>
  <c r="S13" i="25" s="1"/>
  <c r="S69" i="25" a="1"/>
  <c r="S69" i="25" s="1"/>
  <c r="S70" i="25" a="1"/>
  <c r="S70" i="25" s="1"/>
  <c r="S25" i="25" a="1"/>
  <c r="S25" i="25" s="1"/>
  <c r="S65" i="25" a="1"/>
  <c r="S65" i="25" s="1"/>
  <c r="S66" i="25" a="1"/>
  <c r="S66" i="25" s="1"/>
  <c r="S201" i="25" a="1"/>
  <c r="S201" i="25" s="1"/>
  <c r="S202" i="25" a="1"/>
  <c r="S202" i="25" s="1"/>
  <c r="T411" i="25"/>
  <c r="U411" i="25" s="1"/>
  <c r="F411" i="25"/>
  <c r="F18" i="25"/>
  <c r="S43" i="25" a="1"/>
  <c r="S43" i="25" s="1"/>
  <c r="S44" i="25" a="1"/>
  <c r="S44" i="25" s="1"/>
  <c r="S49" i="25" a="1"/>
  <c r="S49" i="25" s="1"/>
  <c r="S61" i="25" a="1"/>
  <c r="S61" i="25" s="1"/>
  <c r="S143" i="25" a="1"/>
  <c r="S143" i="25" s="1"/>
  <c r="S190" i="25" a="1"/>
  <c r="S190" i="25" s="1"/>
  <c r="S191" i="25" a="1"/>
  <c r="S191" i="25" s="1"/>
  <c r="S196" i="25" a="1"/>
  <c r="S196" i="25" s="1"/>
  <c r="S213" i="25" a="1"/>
  <c r="S213" i="25" s="1"/>
  <c r="S260" i="25" a="1"/>
  <c r="S260" i="25" s="1"/>
  <c r="T425" i="25"/>
  <c r="U425" i="25" s="1"/>
  <c r="F425" i="25"/>
  <c r="S24" i="25" a="1"/>
  <c r="S24" i="25" s="1"/>
  <c r="F105" i="25"/>
  <c r="T105" i="25"/>
  <c r="U105" i="25" s="1"/>
  <c r="S291" i="25" a="1"/>
  <c r="S291" i="25" s="1"/>
  <c r="S56" i="25" a="1"/>
  <c r="S56" i="25" s="1"/>
  <c r="S9" i="25" a="1"/>
  <c r="S9" i="25" s="1"/>
  <c r="S31" i="25" a="1"/>
  <c r="S31" i="25" s="1"/>
  <c r="S86" i="25" a="1"/>
  <c r="S86" i="25" s="1"/>
  <c r="S214" i="25" a="1"/>
  <c r="S214" i="25" s="1"/>
  <c r="S267" i="25" a="1"/>
  <c r="S267" i="25" s="1"/>
  <c r="S286" i="25" a="1"/>
  <c r="S286" i="25" s="1"/>
  <c r="S318" i="25" a="1"/>
  <c r="S318" i="25" s="1"/>
  <c r="S319" i="25" a="1"/>
  <c r="S319" i="25" s="1"/>
  <c r="T393" i="25"/>
  <c r="U393" i="25" s="1"/>
  <c r="F393" i="25"/>
  <c r="S38" i="25" a="1"/>
  <c r="S38" i="25" s="1"/>
  <c r="S128" i="25" a="1"/>
  <c r="S128" i="25" s="1"/>
  <c r="S129" i="25" a="1"/>
  <c r="S129" i="25" s="1"/>
  <c r="F244" i="25"/>
  <c r="S125" i="25" a="1"/>
  <c r="S125" i="25" s="1"/>
  <c r="S126" i="25" a="1"/>
  <c r="S126" i="25" s="1"/>
  <c r="S180" i="25" a="1"/>
  <c r="S180" i="25" s="1"/>
  <c r="S10" i="25" a="1"/>
  <c r="S10" i="25" s="1"/>
  <c r="S62" i="25" a="1"/>
  <c r="S62" i="25" s="1"/>
  <c r="S181" i="25" a="1"/>
  <c r="S181" i="25" s="1"/>
  <c r="S63" i="25" a="1"/>
  <c r="S63" i="25" s="1"/>
  <c r="T145" i="25"/>
  <c r="U145" i="25" s="1"/>
  <c r="F145" i="25"/>
  <c r="S320" i="25" a="1"/>
  <c r="S320" i="25" s="1"/>
  <c r="S321" i="25" a="1"/>
  <c r="S321" i="25" s="1"/>
  <c r="S140" i="25" a="1"/>
  <c r="S140" i="25" s="1"/>
  <c r="S11" i="25" a="1"/>
  <c r="S11" i="25" s="1"/>
  <c r="S68" i="25" a="1"/>
  <c r="S68" i="25" s="1"/>
  <c r="S83" i="25" a="1"/>
  <c r="S83" i="25" s="1"/>
  <c r="S237" i="25" a="1"/>
  <c r="S237" i="25" s="1"/>
  <c r="S342" i="25" a="1"/>
  <c r="S342" i="25" s="1"/>
  <c r="S88" i="25" a="1"/>
  <c r="S88" i="25" s="1"/>
  <c r="S122" i="25" a="1"/>
  <c r="S122" i="25" s="1"/>
  <c r="S123" i="25" a="1"/>
  <c r="S123" i="25" s="1"/>
  <c r="T409" i="25"/>
  <c r="U409" i="25" s="1"/>
  <c r="F409" i="25"/>
  <c r="S16" i="25" a="1"/>
  <c r="S16" i="25" s="1"/>
  <c r="S47" i="25" a="1"/>
  <c r="S47" i="25" s="1"/>
  <c r="S329" i="25" a="1"/>
  <c r="S329" i="25" s="1"/>
  <c r="S53" i="25" a="1"/>
  <c r="S53" i="25" s="1"/>
  <c r="S77" i="25" a="1"/>
  <c r="S77" i="25" s="1"/>
  <c r="S76" i="25" a="1"/>
  <c r="S76" i="25" s="1"/>
  <c r="S174" i="25" a="1"/>
  <c r="S174" i="25" s="1"/>
  <c r="S15" i="25" a="1"/>
  <c r="S15" i="25" s="1"/>
  <c r="S58" i="25" a="1"/>
  <c r="S58" i="25" s="1"/>
  <c r="S101" i="25" a="1"/>
  <c r="S101" i="25" s="1"/>
  <c r="S175" i="25" a="1"/>
  <c r="S175" i="25" s="1"/>
  <c r="S307" i="25" a="1"/>
  <c r="S307" i="25" s="1"/>
  <c r="S28" i="25" a="1"/>
  <c r="S28" i="25" s="1"/>
  <c r="S59" i="25" a="1"/>
  <c r="S59" i="25" s="1"/>
  <c r="S102" i="25" a="1"/>
  <c r="S102" i="25" s="1"/>
  <c r="S160" i="25" a="1"/>
  <c r="S160" i="25" s="1"/>
  <c r="S161" i="25" a="1"/>
  <c r="S161" i="25" s="1"/>
  <c r="T348" i="25"/>
  <c r="U348" i="25" s="1"/>
  <c r="F348" i="25"/>
  <c r="S6" i="25" a="1"/>
  <c r="S6" i="25" s="1"/>
  <c r="S247" i="25" a="1"/>
  <c r="S247" i="25" s="1"/>
  <c r="S248" i="25" a="1"/>
  <c r="S248" i="25" s="1"/>
  <c r="S64" i="25" a="1"/>
  <c r="S64" i="25" s="1"/>
  <c r="S257" i="25" a="1"/>
  <c r="S257" i="25" s="1"/>
  <c r="S46" i="25" a="1"/>
  <c r="S46" i="25" s="1"/>
  <c r="S103" i="25" a="1"/>
  <c r="S103" i="25" s="1"/>
  <c r="S104" i="25" a="1"/>
  <c r="S104" i="25" s="1"/>
  <c r="S114" i="25" a="1"/>
  <c r="S114" i="25" s="1"/>
  <c r="S113" i="25" a="1"/>
  <c r="S113" i="25" s="1"/>
  <c r="S193" i="25" a="1"/>
  <c r="S193" i="25" s="1"/>
  <c r="S227" i="25" a="1"/>
  <c r="S227" i="25" s="1"/>
  <c r="S36" i="25" a="1"/>
  <c r="S36" i="25" s="1"/>
  <c r="F81" i="25"/>
  <c r="S111" i="25" a="1"/>
  <c r="S111" i="25" s="1"/>
  <c r="S110" i="25" a="1"/>
  <c r="S110" i="25" s="1"/>
  <c r="S167" i="25" a="1"/>
  <c r="S167" i="25" s="1"/>
  <c r="S204" i="25" a="1"/>
  <c r="S204" i="25" s="1"/>
  <c r="S323" i="25" a="1"/>
  <c r="S323" i="25" s="1"/>
  <c r="S4" i="25" a="1"/>
  <c r="S4" i="25" s="1"/>
  <c r="S7" i="25" a="1"/>
  <c r="S7" i="25" s="1"/>
  <c r="S74" i="25" a="1"/>
  <c r="S74" i="25" s="1"/>
  <c r="S80" i="25" a="1"/>
  <c r="S80" i="25" s="1"/>
  <c r="S151" i="25" a="1"/>
  <c r="S151" i="25" s="1"/>
  <c r="S229" i="25" a="1"/>
  <c r="S229" i="25" s="1"/>
  <c r="S262" i="25" a="1"/>
  <c r="S262" i="25" s="1"/>
  <c r="S324" i="25" a="1"/>
  <c r="S324" i="25" s="1"/>
  <c r="S225" i="25" a="1"/>
  <c r="S225" i="25" s="1"/>
  <c r="S239" i="25" a="1"/>
  <c r="S239" i="25" s="1"/>
  <c r="S301" i="25" a="1"/>
  <c r="S301" i="25" s="1"/>
  <c r="S337" i="25" a="1"/>
  <c r="S337" i="25" s="1"/>
  <c r="S336" i="25" a="1"/>
  <c r="S336" i="25" s="1"/>
  <c r="S141" i="25" a="1"/>
  <c r="S141" i="25" s="1"/>
  <c r="T164" i="25"/>
  <c r="U164" i="25" s="1"/>
  <c r="S206" i="25" a="1"/>
  <c r="S206" i="25" s="1"/>
  <c r="S207" i="25" a="1"/>
  <c r="S207" i="25" s="1"/>
  <c r="S240" i="25" a="1"/>
  <c r="S240" i="25" s="1"/>
  <c r="S275" i="25" a="1"/>
  <c r="S275" i="25" s="1"/>
  <c r="S20" i="25" a="1"/>
  <c r="S20" i="25" s="1"/>
  <c r="S5" i="25" a="1"/>
  <c r="S5" i="25" s="1"/>
  <c r="S57" i="25" a="1"/>
  <c r="S57" i="25" s="1"/>
  <c r="S119" i="25" a="1"/>
  <c r="S119" i="25" s="1"/>
  <c r="F153" i="25"/>
  <c r="T153" i="25"/>
  <c r="U153" i="25" s="1"/>
  <c r="S169" i="25" a="1"/>
  <c r="S169" i="25" s="1"/>
  <c r="S216" i="25" a="1"/>
  <c r="S216" i="25" s="1"/>
  <c r="S235" i="25" a="1"/>
  <c r="S235" i="25" s="1"/>
  <c r="S276" i="25" a="1"/>
  <c r="S276" i="25" s="1"/>
  <c r="S364" i="25" a="1"/>
  <c r="S364" i="25" s="1"/>
  <c r="S371" i="25" a="1"/>
  <c r="S371" i="25" s="1"/>
  <c r="T92" i="25"/>
  <c r="U92" i="25" s="1"/>
  <c r="S12" i="25" a="1"/>
  <c r="S12" i="25" s="1"/>
  <c r="S40" i="25" a="1"/>
  <c r="S40" i="25" s="1"/>
  <c r="S89" i="25" a="1"/>
  <c r="S89" i="25" s="1"/>
  <c r="S197" i="25" a="1"/>
  <c r="S197" i="25" s="1"/>
  <c r="S302" i="25" a="1"/>
  <c r="S302" i="25" s="1"/>
  <c r="T372" i="25"/>
  <c r="U372" i="25" s="1"/>
  <c r="F372" i="25"/>
  <c r="S284" i="25" a="1"/>
  <c r="S284" i="25" s="1"/>
  <c r="S332" i="25" a="1"/>
  <c r="S332" i="25" s="1"/>
  <c r="S333" i="25" a="1"/>
  <c r="S333" i="25" s="1"/>
  <c r="S27" i="25" a="1"/>
  <c r="S27" i="25" s="1"/>
  <c r="S33" i="25" a="1"/>
  <c r="S33" i="25" s="1"/>
  <c r="S8" i="25" a="1"/>
  <c r="S8" i="25" s="1"/>
  <c r="S100" i="25" a="1"/>
  <c r="S100" i="25" s="1"/>
  <c r="S21" i="25" a="1"/>
  <c r="S21" i="25" s="1"/>
  <c r="S90" i="25" a="1"/>
  <c r="S90" i="25" s="1"/>
  <c r="S212" i="25" a="1"/>
  <c r="S212" i="25" s="1"/>
  <c r="S222" i="25" a="1"/>
  <c r="S222" i="25" s="1"/>
  <c r="T265" i="25"/>
  <c r="U265" i="25" s="1"/>
  <c r="F265" i="25"/>
  <c r="T271" i="25"/>
  <c r="U271" i="25" s="1"/>
  <c r="F271" i="25"/>
  <c r="S34" i="25" a="1"/>
  <c r="S34" i="25" s="1"/>
  <c r="S41" i="25" a="1"/>
  <c r="S41" i="25" s="1"/>
  <c r="S51" i="25" a="1"/>
  <c r="S51" i="25" s="1"/>
  <c r="S134" i="25" a="1"/>
  <c r="S134" i="25" s="1"/>
  <c r="S217" i="25" a="1"/>
  <c r="S217" i="25" s="1"/>
  <c r="S232" i="25" a="1"/>
  <c r="S232" i="25" s="1"/>
  <c r="S231" i="25" a="1"/>
  <c r="S231" i="25" s="1"/>
  <c r="T249" i="25"/>
  <c r="U249" i="25" s="1"/>
  <c r="F249" i="25"/>
  <c r="S84" i="25" a="1"/>
  <c r="S84" i="25" s="1"/>
  <c r="S120" i="25" a="1"/>
  <c r="S120" i="25" s="1"/>
  <c r="S208" i="25" a="1"/>
  <c r="S208" i="25" s="1"/>
  <c r="S253" i="25" a="1"/>
  <c r="S253" i="25" s="1"/>
  <c r="S355" i="25" a="1"/>
  <c r="S355" i="25" s="1"/>
  <c r="S252" i="25" a="1"/>
  <c r="S252" i="25" s="1"/>
  <c r="U85" i="25"/>
  <c r="S95" i="25" a="1"/>
  <c r="S95" i="25" s="1"/>
  <c r="S152" i="25" a="1"/>
  <c r="S152" i="25" s="1"/>
  <c r="S209" i="25" a="1"/>
  <c r="S209" i="25" s="1"/>
  <c r="S221" i="25" a="1"/>
  <c r="S221" i="25" s="1"/>
  <c r="S245" i="25" a="1"/>
  <c r="S245" i="25" s="1"/>
  <c r="F289" i="25"/>
  <c r="S293" i="25" a="1"/>
  <c r="S293" i="25" s="1"/>
  <c r="S356" i="25" a="1"/>
  <c r="S356" i="25" s="1"/>
  <c r="S368" i="25" a="1"/>
  <c r="S368" i="25" s="1"/>
  <c r="S149" i="25" a="1"/>
  <c r="S149" i="25" s="1"/>
  <c r="S168" i="25" a="1"/>
  <c r="S168" i="25" s="1"/>
  <c r="S179" i="25" a="1"/>
  <c r="S179" i="25" s="1"/>
  <c r="S210" i="25" a="1"/>
  <c r="S210" i="25" s="1"/>
  <c r="S234" i="25" a="1"/>
  <c r="S234" i="25" s="1"/>
  <c r="S246" i="25" a="1"/>
  <c r="S246" i="25" s="1"/>
  <c r="S299" i="25" a="1"/>
  <c r="S299" i="25" s="1"/>
  <c r="S250" i="25" a="1"/>
  <c r="S250" i="25" s="1"/>
  <c r="S107" i="25" a="1"/>
  <c r="S107" i="25" s="1"/>
  <c r="S82" i="25" a="1"/>
  <c r="S82" i="25" s="1"/>
  <c r="S94" i="25" a="1"/>
  <c r="S94" i="25" s="1"/>
  <c r="S226" i="25" a="1"/>
  <c r="S226" i="25" s="1"/>
  <c r="S316" i="25" a="1"/>
  <c r="S316" i="25" s="1"/>
  <c r="S317" i="25" a="1"/>
  <c r="S317" i="25" s="1"/>
  <c r="S339" i="25" a="1"/>
  <c r="S339" i="25" s="1"/>
  <c r="S345" i="25" a="1"/>
  <c r="S345" i="25" s="1"/>
  <c r="S242" i="25" a="1"/>
  <c r="S242" i="25" s="1"/>
  <c r="S99" i="25" a="1"/>
  <c r="S99" i="25" s="1"/>
  <c r="S144" i="25" a="1"/>
  <c r="S144" i="25" s="1"/>
  <c r="S223" i="25" a="1"/>
  <c r="S223" i="25" s="1"/>
  <c r="S243" i="25" a="1"/>
  <c r="S243" i="25" s="1"/>
  <c r="S251" i="25" a="1"/>
  <c r="S251" i="25" s="1"/>
  <c r="S300" i="25" a="1"/>
  <c r="S300" i="25" s="1"/>
  <c r="T334" i="25"/>
  <c r="U334" i="25" s="1"/>
  <c r="F334" i="25"/>
  <c r="S340" i="25" a="1"/>
  <c r="S340" i="25" s="1"/>
  <c r="S351" i="25" a="1"/>
  <c r="S351" i="25" s="1"/>
  <c r="S96" i="25" a="1"/>
  <c r="S96" i="25" s="1"/>
  <c r="S116" i="25" a="1"/>
  <c r="S116" i="25" s="1"/>
  <c r="S135" i="25" a="1"/>
  <c r="S135" i="25" s="1"/>
  <c r="S159" i="25" a="1"/>
  <c r="S159" i="25" s="1"/>
  <c r="S255" i="25" a="1"/>
  <c r="S255" i="25" s="1"/>
  <c r="S416" i="25" a="1"/>
  <c r="S416" i="25" s="1"/>
  <c r="S417" i="25" a="1"/>
  <c r="S417" i="25" s="1"/>
  <c r="U273" i="25"/>
  <c r="S272" i="25" a="1"/>
  <c r="S272" i="25" s="1"/>
  <c r="S150" i="25" a="1"/>
  <c r="S150" i="25" s="1"/>
  <c r="S165" i="25" a="1"/>
  <c r="S165" i="25" s="1"/>
  <c r="S195" i="25" a="1"/>
  <c r="S195" i="25" s="1"/>
  <c r="S198" i="25" a="1"/>
  <c r="S198" i="25" s="1"/>
  <c r="S353" i="25" a="1"/>
  <c r="S353" i="25" s="1"/>
  <c r="S352" i="25" a="1"/>
  <c r="S352" i="25" s="1"/>
  <c r="S398" i="25" a="1"/>
  <c r="S398" i="25" s="1"/>
  <c r="S171" i="25" a="1"/>
  <c r="S171" i="25" s="1"/>
  <c r="S282" i="25" a="1"/>
  <c r="S282" i="25" s="1"/>
  <c r="S287" i="25" a="1"/>
  <c r="S287" i="25" s="1"/>
  <c r="S346" i="25" a="1"/>
  <c r="S346" i="25" s="1"/>
  <c r="S357" i="25" a="1"/>
  <c r="S357" i="25" s="1"/>
  <c r="S146" i="25" a="1"/>
  <c r="S146" i="25" s="1"/>
  <c r="S162" i="25" a="1"/>
  <c r="S162" i="25" s="1"/>
  <c r="S178" i="25" a="1"/>
  <c r="S178" i="25" s="1"/>
  <c r="S194" i="25" a="1"/>
  <c r="S194" i="25" s="1"/>
  <c r="S230" i="25" a="1"/>
  <c r="S230" i="25" s="1"/>
  <c r="S268" i="25" a="1"/>
  <c r="S268" i="25" s="1"/>
  <c r="S277" i="25" a="1"/>
  <c r="S277" i="25" s="1"/>
  <c r="S330" i="25" a="1"/>
  <c r="S330" i="25" s="1"/>
  <c r="S389" i="25" a="1"/>
  <c r="S389" i="25" s="1"/>
  <c r="S399" i="25" a="1"/>
  <c r="S399" i="25" s="1"/>
  <c r="S211" i="25" a="1"/>
  <c r="S211" i="25" s="1"/>
  <c r="S220" i="25" a="1"/>
  <c r="S220" i="25" s="1"/>
  <c r="S283" i="25" a="1"/>
  <c r="S283" i="25" s="1"/>
  <c r="S288" i="25" a="1"/>
  <c r="S288" i="25" s="1"/>
  <c r="S306" i="25" a="1"/>
  <c r="S306" i="25" s="1"/>
  <c r="S358" i="25" a="1"/>
  <c r="S358" i="25" s="1"/>
  <c r="S279" i="25" a="1"/>
  <c r="S279" i="25" s="1"/>
  <c r="S365" i="25" a="1"/>
  <c r="S365" i="25" s="1"/>
  <c r="S385" i="25" a="1"/>
  <c r="S385" i="25" s="1"/>
  <c r="S428" i="25" a="1"/>
  <c r="S428" i="25" s="1"/>
  <c r="S429" i="25" a="1"/>
  <c r="S429" i="25" s="1"/>
  <c r="S173" i="25" a="1"/>
  <c r="S173" i="25" s="1"/>
  <c r="S215" i="25" a="1"/>
  <c r="S215" i="25" s="1"/>
  <c r="S238" i="25" a="1"/>
  <c r="S238" i="25" s="1"/>
  <c r="S298" i="25" a="1"/>
  <c r="S298" i="25" s="1"/>
  <c r="S343" i="25" a="1"/>
  <c r="S343" i="25" s="1"/>
  <c r="S380" i="25" a="1"/>
  <c r="S380" i="25" s="1"/>
  <c r="S381" i="25" a="1"/>
  <c r="S381" i="25" s="1"/>
  <c r="S423" i="25" a="1"/>
  <c r="S423" i="25" s="1"/>
  <c r="S138" i="25" a="1"/>
  <c r="S138" i="25" s="1"/>
  <c r="S154" i="25" a="1"/>
  <c r="S154" i="25" s="1"/>
  <c r="S170" i="25" a="1"/>
  <c r="S170" i="25" s="1"/>
  <c r="S270" i="25" a="1"/>
  <c r="S270" i="25" s="1"/>
  <c r="S294" i="25" a="1"/>
  <c r="S294" i="25" s="1"/>
  <c r="S322" i="25" a="1"/>
  <c r="S322" i="25" s="1"/>
  <c r="S360" i="25" a="1"/>
  <c r="S360" i="25" s="1"/>
  <c r="S366" i="25" a="1"/>
  <c r="S366" i="25" s="1"/>
  <c r="S412" i="25" a="1"/>
  <c r="S412" i="25" s="1"/>
  <c r="S413" i="25" a="1"/>
  <c r="S413" i="25" s="1"/>
  <c r="S183" i="25" a="1"/>
  <c r="S183" i="25" s="1"/>
  <c r="S199" i="25" a="1"/>
  <c r="S199" i="25" s="1"/>
  <c r="S258" i="25" a="1"/>
  <c r="S258" i="25" s="1"/>
  <c r="S280" i="25" a="1"/>
  <c r="S280" i="25" s="1"/>
  <c r="S285" i="25" a="1"/>
  <c r="S285" i="25" s="1"/>
  <c r="S313" i="25" a="1"/>
  <c r="S313" i="25" s="1"/>
  <c r="S328" i="25" a="1"/>
  <c r="S328" i="25" s="1"/>
  <c r="S338" i="25" a="1"/>
  <c r="S338" i="25" s="1"/>
  <c r="S344" i="25" a="1"/>
  <c r="S344" i="25" s="1"/>
  <c r="S349" i="25" a="1"/>
  <c r="S349" i="25" s="1"/>
  <c r="S290" i="25" a="1"/>
  <c r="S290" i="25" s="1"/>
  <c r="S309" i="25" a="1"/>
  <c r="S309" i="25" s="1"/>
  <c r="S325" i="25" a="1"/>
  <c r="S325" i="25" s="1"/>
  <c r="S264" i="25" a="1"/>
  <c r="S264" i="25" s="1"/>
  <c r="S341" i="25" a="1"/>
  <c r="S341" i="25" s="1"/>
  <c r="S369" i="25" a="1"/>
  <c r="S369" i="25" s="1"/>
  <c r="S315" i="25" a="1"/>
  <c r="S315" i="25" s="1"/>
  <c r="S362" i="25" a="1"/>
  <c r="S362" i="25" s="1"/>
  <c r="S370" i="25" a="1"/>
  <c r="S370" i="25" s="1"/>
  <c r="S331" i="25" a="1"/>
  <c r="S331" i="25" s="1"/>
  <c r="S382" i="25" a="1"/>
  <c r="S382" i="25" s="1"/>
  <c r="S387" i="25" a="1"/>
  <c r="S387" i="25" s="1"/>
  <c r="S396" i="25" a="1"/>
  <c r="S396" i="25" s="1"/>
  <c r="S397" i="25" a="1"/>
  <c r="S397" i="25" s="1"/>
  <c r="S401" i="25" a="1"/>
  <c r="S401" i="25" s="1"/>
  <c r="S347" i="25" a="1"/>
  <c r="S347" i="25" s="1"/>
  <c r="S406" i="25" a="1"/>
  <c r="S406" i="25" s="1"/>
  <c r="S420" i="25" a="1"/>
  <c r="S420" i="25" s="1"/>
  <c r="U289" i="25"/>
  <c r="S296" i="25" a="1"/>
  <c r="S296" i="25" s="1"/>
  <c r="S363" i="25" a="1"/>
  <c r="S363" i="25" s="1"/>
  <c r="S415" i="25" a="1"/>
  <c r="S415" i="25" s="1"/>
  <c r="S392" i="25" a="1"/>
  <c r="S392" i="25" s="1"/>
  <c r="S424" i="25" a="1"/>
  <c r="S424" i="25" s="1"/>
  <c r="S378" i="25" a="1"/>
  <c r="S378" i="25" s="1"/>
  <c r="S410" i="25" a="1"/>
  <c r="S410" i="25" s="1"/>
  <c r="S418" i="25" a="1"/>
  <c r="S418" i="25" s="1"/>
  <c r="S404" i="25" a="1"/>
  <c r="S404" i="25" s="1"/>
  <c r="S390" i="25" a="1"/>
  <c r="S390" i="25" s="1"/>
  <c r="S422" i="25" a="1"/>
  <c r="S422" i="25" s="1"/>
  <c r="F430" i="25"/>
  <c r="S376" i="25" a="1"/>
  <c r="S376" i="25" s="1"/>
  <c r="S408" i="25" a="1"/>
  <c r="S408" i="25" s="1"/>
  <c r="S394" i="25" a="1"/>
  <c r="S394" i="25" s="1"/>
  <c r="S426" i="25" a="1"/>
  <c r="S426" i="25" s="1"/>
  <c r="U430" i="25"/>
  <c r="U2" i="21" a="1"/>
  <c r="U2" i="21" s="1"/>
  <c r="H2" i="21" s="1"/>
  <c r="U44" i="21" a="1"/>
  <c r="U44" i="21" s="1"/>
  <c r="V44" i="21" s="1"/>
  <c r="W44" i="21" s="1"/>
  <c r="U42" i="21" a="1"/>
  <c r="U42" i="21" s="1"/>
  <c r="H42" i="21" s="1"/>
  <c r="U43" i="21" a="1"/>
  <c r="U43" i="21" s="1"/>
  <c r="U45" i="21" a="1"/>
  <c r="U45" i="21" s="1"/>
  <c r="V45" i="21" s="1"/>
  <c r="W45" i="21" s="1"/>
  <c r="W46" i="21"/>
  <c r="H46" i="21"/>
  <c r="C299" i="4"/>
  <c r="U38" i="21" a="1"/>
  <c r="U38" i="21" s="1"/>
  <c r="H38" i="21" s="1"/>
  <c r="U22" i="21" a="1"/>
  <c r="U22" i="21" s="1"/>
  <c r="H22" i="21" s="1"/>
  <c r="U6" i="21" a="1"/>
  <c r="U6" i="21" s="1"/>
  <c r="H6" i="21" s="1"/>
  <c r="U28" i="21" a="1"/>
  <c r="U28" i="21" s="1"/>
  <c r="H28" i="21" s="1"/>
  <c r="U12" i="21" a="1"/>
  <c r="U12" i="21" s="1"/>
  <c r="H12" i="21" s="1"/>
  <c r="U27" i="21" a="1"/>
  <c r="U27" i="21" s="1"/>
  <c r="H27" i="21" s="1"/>
  <c r="U11" i="21" a="1"/>
  <c r="U11" i="21" s="1"/>
  <c r="H11" i="21" s="1"/>
  <c r="U21" i="21" a="1"/>
  <c r="U21" i="21" s="1"/>
  <c r="H21" i="21" s="1"/>
  <c r="U37" i="21" a="1"/>
  <c r="U37" i="21" s="1"/>
  <c r="H37" i="21" s="1"/>
  <c r="U36" i="21" a="1"/>
  <c r="U36" i="21" s="1"/>
  <c r="H36" i="21" s="1"/>
  <c r="U20" i="21" a="1"/>
  <c r="U20" i="21" s="1"/>
  <c r="H20" i="21" s="1"/>
  <c r="U4" i="21" a="1"/>
  <c r="U4" i="21" s="1"/>
  <c r="H4" i="21" s="1"/>
  <c r="U17" i="21" a="1"/>
  <c r="U17" i="21" s="1"/>
  <c r="H17" i="21" s="1"/>
  <c r="U32" i="21" a="1"/>
  <c r="U32" i="21" s="1"/>
  <c r="H32" i="21" s="1"/>
  <c r="U16" i="21" a="1"/>
  <c r="U16" i="21" s="1"/>
  <c r="H16" i="21" s="1"/>
  <c r="U29" i="21" a="1"/>
  <c r="U29" i="21" s="1"/>
  <c r="H29" i="21" s="1"/>
  <c r="U13" i="21" a="1"/>
  <c r="U13" i="21" s="1"/>
  <c r="H13" i="21" s="1"/>
  <c r="U39" i="21" a="1"/>
  <c r="U39" i="21" s="1"/>
  <c r="H39" i="21" s="1"/>
  <c r="U23" i="21" a="1"/>
  <c r="U23" i="21" s="1"/>
  <c r="H23" i="21" s="1"/>
  <c r="U7" i="21" a="1"/>
  <c r="U7" i="21" s="1"/>
  <c r="H7" i="21" s="1"/>
  <c r="U30" i="21" a="1"/>
  <c r="U30" i="21" s="1"/>
  <c r="H30" i="21" s="1"/>
  <c r="U14" i="21" a="1"/>
  <c r="U14" i="21" s="1"/>
  <c r="H14" i="21" s="1"/>
  <c r="U31" i="21" a="1"/>
  <c r="U31" i="21" s="1"/>
  <c r="H31" i="21" s="1"/>
  <c r="U15" i="21" a="1"/>
  <c r="U15" i="21" s="1"/>
  <c r="H15" i="21" s="1"/>
  <c r="U26" i="21" a="1"/>
  <c r="U26" i="21" s="1"/>
  <c r="H26" i="21" s="1"/>
  <c r="U10" i="21" a="1"/>
  <c r="U10" i="21" s="1"/>
  <c r="H10" i="21" s="1"/>
  <c r="U25" i="21" a="1"/>
  <c r="U25" i="21" s="1"/>
  <c r="H25" i="21" s="1"/>
  <c r="U9" i="21" a="1"/>
  <c r="U9" i="21" s="1"/>
  <c r="H9" i="21" s="1"/>
  <c r="U40" i="21" a="1"/>
  <c r="U40" i="21" s="1"/>
  <c r="H40" i="21" s="1"/>
  <c r="U24" i="21" a="1"/>
  <c r="U24" i="21" s="1"/>
  <c r="H24" i="21" s="1"/>
  <c r="U8" i="21" a="1"/>
  <c r="U8" i="21" s="1"/>
  <c r="H8" i="21" s="1"/>
  <c r="U5" i="21" a="1"/>
  <c r="U5" i="21" s="1"/>
  <c r="H5" i="21" s="1"/>
  <c r="U35" i="21" a="1"/>
  <c r="U35" i="21" s="1"/>
  <c r="H35" i="21" s="1"/>
  <c r="U19" i="21" a="1"/>
  <c r="U19" i="21" s="1"/>
  <c r="H19" i="21" s="1"/>
  <c r="U3" i="21" a="1"/>
  <c r="U3" i="21" s="1"/>
  <c r="H3" i="21" s="1"/>
  <c r="U34" i="21" a="1"/>
  <c r="U34" i="21" s="1"/>
  <c r="H34" i="21" s="1"/>
  <c r="U18" i="21" a="1"/>
  <c r="U18" i="21" s="1"/>
  <c r="H18" i="21" s="1"/>
  <c r="U33" i="21" a="1"/>
  <c r="U33" i="21" s="1"/>
  <c r="H33" i="21" s="1"/>
  <c r="F172" i="25" l="1"/>
  <c r="T130" i="25"/>
  <c r="U130" i="25" s="1"/>
  <c r="T388" i="25"/>
  <c r="U388" i="25" s="1"/>
  <c r="T261" i="25"/>
  <c r="U261" i="25" s="1"/>
  <c r="F427" i="25"/>
  <c r="T2" i="25"/>
  <c r="U2" i="25" s="1"/>
  <c r="T218" i="25"/>
  <c r="U218" i="25" s="1"/>
  <c r="F269" i="25"/>
  <c r="T421" i="25"/>
  <c r="U421" i="25" s="1"/>
  <c r="F384" i="25"/>
  <c r="T112" i="25"/>
  <c r="U112" i="25" s="1"/>
  <c r="T236" i="25"/>
  <c r="U236" i="25" s="1"/>
  <c r="F297" i="25"/>
  <c r="F55" i="25"/>
  <c r="T147" i="25"/>
  <c r="U147" i="25" s="1"/>
  <c r="F124" i="25"/>
  <c r="F39" i="25"/>
  <c r="F295" i="25"/>
  <c r="T45" i="25"/>
  <c r="U45" i="25" s="1"/>
  <c r="T19" i="25"/>
  <c r="U19" i="25" s="1"/>
  <c r="T60" i="25"/>
  <c r="U60" i="25" s="1"/>
  <c r="F3" i="25"/>
  <c r="T72" i="25"/>
  <c r="U72" i="25" s="1"/>
  <c r="T377" i="25"/>
  <c r="U377" i="25" s="1"/>
  <c r="T184" i="25"/>
  <c r="U184" i="25" s="1"/>
  <c r="T259" i="25"/>
  <c r="U259" i="25" s="1"/>
  <c r="T91" i="25"/>
  <c r="U91" i="25" s="1"/>
  <c r="T50" i="25"/>
  <c r="U50" i="25" s="1"/>
  <c r="T155" i="25"/>
  <c r="U155" i="25" s="1"/>
  <c r="T131" i="25"/>
  <c r="U131" i="25" s="1"/>
  <c r="F379" i="25"/>
  <c r="T192" i="25"/>
  <c r="U192" i="25" s="1"/>
  <c r="F386" i="25"/>
  <c r="F182" i="25"/>
  <c r="T75" i="25"/>
  <c r="U75" i="25" s="1"/>
  <c r="F187" i="25"/>
  <c r="F127" i="25"/>
  <c r="T71" i="25"/>
  <c r="U71" i="25" s="1"/>
  <c r="T163" i="25"/>
  <c r="U163" i="25" s="1"/>
  <c r="F281" i="25"/>
  <c r="T224" i="25"/>
  <c r="U224" i="25" s="1"/>
  <c r="F395" i="25"/>
  <c r="F98" i="25"/>
  <c r="T176" i="25"/>
  <c r="U176" i="25" s="1"/>
  <c r="T54" i="25"/>
  <c r="U54" i="25" s="1"/>
  <c r="F312" i="25"/>
  <c r="T292" i="25"/>
  <c r="U292" i="25" s="1"/>
  <c r="F85" i="25"/>
  <c r="F87" i="25"/>
  <c r="F403" i="25"/>
  <c r="T93" i="25"/>
  <c r="U93" i="25" s="1"/>
  <c r="F142" i="25"/>
  <c r="T115" i="25"/>
  <c r="U115" i="25" s="1"/>
  <c r="F177" i="25"/>
  <c r="F263" i="25"/>
  <c r="F278" i="25"/>
  <c r="F274" i="25"/>
  <c r="F241" i="25"/>
  <c r="F303" i="25"/>
  <c r="F350" i="25"/>
  <c r="T37" i="25"/>
  <c r="U37" i="25" s="1"/>
  <c r="F375" i="25"/>
  <c r="F266" i="25"/>
  <c r="T367" i="25"/>
  <c r="U367" i="25" s="1"/>
  <c r="T32" i="25"/>
  <c r="U32" i="25" s="1"/>
  <c r="F374" i="25"/>
  <c r="F373" i="25"/>
  <c r="F419" i="25"/>
  <c r="F326" i="25"/>
  <c r="F335" i="25"/>
  <c r="F166" i="25"/>
  <c r="F109" i="25"/>
  <c r="T158" i="25"/>
  <c r="U158" i="25" s="1"/>
  <c r="T254" i="25"/>
  <c r="U254" i="25" s="1"/>
  <c r="F361" i="25"/>
  <c r="T157" i="25"/>
  <c r="U157" i="25" s="1"/>
  <c r="T233" i="25"/>
  <c r="U233" i="25" s="1"/>
  <c r="T383" i="25"/>
  <c r="U383" i="25" s="1"/>
  <c r="F200" i="25"/>
  <c r="T405" i="25"/>
  <c r="U405" i="25" s="1"/>
  <c r="F308" i="25"/>
  <c r="F156" i="25"/>
  <c r="F400" i="25"/>
  <c r="T205" i="25"/>
  <c r="U205" i="25" s="1"/>
  <c r="F407" i="25"/>
  <c r="F391" i="25"/>
  <c r="T78" i="25"/>
  <c r="U78" i="25" s="1"/>
  <c r="F311" i="25"/>
  <c r="F219" i="25"/>
  <c r="F203" i="25"/>
  <c r="T327" i="25"/>
  <c r="U327" i="25" s="1"/>
  <c r="F327" i="25"/>
  <c r="T148" i="25"/>
  <c r="U148" i="25" s="1"/>
  <c r="F188" i="25"/>
  <c r="T137" i="25"/>
  <c r="U137" i="25" s="1"/>
  <c r="F402" i="25"/>
  <c r="F314" i="25"/>
  <c r="T97" i="25"/>
  <c r="U97" i="25" s="1"/>
  <c r="T106" i="25"/>
  <c r="U106" i="25" s="1"/>
  <c r="T139" i="25"/>
  <c r="U139" i="25" s="1"/>
  <c r="T256" i="25"/>
  <c r="U256" i="25" s="1"/>
  <c r="F136" i="25"/>
  <c r="T17" i="25"/>
  <c r="U17" i="25" s="1"/>
  <c r="F354" i="25"/>
  <c r="F79" i="25"/>
  <c r="F189" i="25"/>
  <c r="T133" i="25"/>
  <c r="U133" i="25" s="1"/>
  <c r="T22" i="25"/>
  <c r="U22" i="25" s="1"/>
  <c r="V41" i="21"/>
  <c r="W41" i="21" s="1"/>
  <c r="H41" i="21"/>
  <c r="T414" i="25"/>
  <c r="U414" i="25" s="1"/>
  <c r="F414" i="25"/>
  <c r="T359" i="25"/>
  <c r="U359" i="25" s="1"/>
  <c r="F359" i="25"/>
  <c r="T310" i="25"/>
  <c r="U310" i="25" s="1"/>
  <c r="F310" i="25"/>
  <c r="F132" i="25"/>
  <c r="T132" i="25"/>
  <c r="U132" i="25" s="1"/>
  <c r="T121" i="25"/>
  <c r="U121" i="25" s="1"/>
  <c r="F121" i="25"/>
  <c r="F118" i="25"/>
  <c r="T118" i="25"/>
  <c r="U118" i="25" s="1"/>
  <c r="F117" i="25"/>
  <c r="T117" i="25"/>
  <c r="U117" i="25" s="1"/>
  <c r="T108" i="25"/>
  <c r="U108" i="25" s="1"/>
  <c r="F108" i="25"/>
  <c r="F73" i="25"/>
  <c r="T73" i="25"/>
  <c r="U73" i="25" s="1"/>
  <c r="F67" i="25"/>
  <c r="T67" i="25"/>
  <c r="U67" i="25" s="1"/>
  <c r="T23" i="25"/>
  <c r="U23" i="25" s="1"/>
  <c r="F23" i="25"/>
  <c r="F44" i="25"/>
  <c r="T44" i="25"/>
  <c r="U44" i="25" s="1"/>
  <c r="T424" i="25"/>
  <c r="U424" i="25" s="1"/>
  <c r="F424" i="25"/>
  <c r="T178" i="25"/>
  <c r="U178" i="25" s="1"/>
  <c r="F178" i="25"/>
  <c r="T344" i="25"/>
  <c r="U344" i="25" s="1"/>
  <c r="F344" i="25"/>
  <c r="F162" i="25"/>
  <c r="T162" i="25"/>
  <c r="U162" i="25" s="1"/>
  <c r="T7" i="25"/>
  <c r="U7" i="25" s="1"/>
  <c r="F7" i="25"/>
  <c r="T392" i="25"/>
  <c r="U392" i="25" s="1"/>
  <c r="F392" i="25"/>
  <c r="T338" i="25"/>
  <c r="U338" i="25" s="1"/>
  <c r="F338" i="25"/>
  <c r="T417" i="25"/>
  <c r="U417" i="25" s="1"/>
  <c r="F417" i="25"/>
  <c r="F4" i="25"/>
  <c r="T4" i="25"/>
  <c r="U4" i="25" s="1"/>
  <c r="T86" i="25"/>
  <c r="U86" i="25" s="1"/>
  <c r="F86" i="25"/>
  <c r="T420" i="25"/>
  <c r="U420" i="25" s="1"/>
  <c r="F420" i="25"/>
  <c r="T380" i="25"/>
  <c r="U380" i="25" s="1"/>
  <c r="F380" i="25"/>
  <c r="T198" i="25"/>
  <c r="U198" i="25" s="1"/>
  <c r="F198" i="25"/>
  <c r="T134" i="25"/>
  <c r="U134" i="25" s="1"/>
  <c r="F134" i="25"/>
  <c r="T235" i="25"/>
  <c r="U235" i="25" s="1"/>
  <c r="F235" i="25"/>
  <c r="T174" i="25"/>
  <c r="U174" i="25" s="1"/>
  <c r="F174" i="25"/>
  <c r="T291" i="25"/>
  <c r="U291" i="25" s="1"/>
  <c r="F291" i="25"/>
  <c r="T69" i="25"/>
  <c r="U69" i="25" s="1"/>
  <c r="F69" i="25"/>
  <c r="T415" i="25"/>
  <c r="U415" i="25" s="1"/>
  <c r="F415" i="25"/>
  <c r="T406" i="25"/>
  <c r="U406" i="25" s="1"/>
  <c r="F406" i="25"/>
  <c r="T313" i="25"/>
  <c r="U313" i="25" s="1"/>
  <c r="F313" i="25"/>
  <c r="T366" i="25"/>
  <c r="U366" i="25" s="1"/>
  <c r="F366" i="25"/>
  <c r="T195" i="25"/>
  <c r="U195" i="25" s="1"/>
  <c r="F195" i="25"/>
  <c r="T300" i="25"/>
  <c r="U300" i="25" s="1"/>
  <c r="F300" i="25"/>
  <c r="T84" i="25"/>
  <c r="U84" i="25" s="1"/>
  <c r="F84" i="25"/>
  <c r="F90" i="25"/>
  <c r="T90" i="25"/>
  <c r="U90" i="25" s="1"/>
  <c r="T12" i="25"/>
  <c r="U12" i="25" s="1"/>
  <c r="F12" i="25"/>
  <c r="T216" i="25"/>
  <c r="U216" i="25" s="1"/>
  <c r="F216" i="25"/>
  <c r="F248" i="25"/>
  <c r="T248" i="25"/>
  <c r="U248" i="25" s="1"/>
  <c r="F28" i="25"/>
  <c r="T28" i="25"/>
  <c r="U28" i="25" s="1"/>
  <c r="T180" i="25"/>
  <c r="U180" i="25" s="1"/>
  <c r="F180" i="25"/>
  <c r="T401" i="25"/>
  <c r="U401" i="25" s="1"/>
  <c r="F401" i="25"/>
  <c r="T33" i="25"/>
  <c r="U33" i="25" s="1"/>
  <c r="F33" i="25"/>
  <c r="T65" i="25"/>
  <c r="U65" i="25" s="1"/>
  <c r="F65" i="25"/>
  <c r="T408" i="25"/>
  <c r="U408" i="25" s="1"/>
  <c r="F408" i="25"/>
  <c r="F252" i="25"/>
  <c r="T252" i="25"/>
  <c r="U252" i="25" s="1"/>
  <c r="F15" i="25"/>
  <c r="T15" i="25"/>
  <c r="U15" i="25" s="1"/>
  <c r="T315" i="25"/>
  <c r="U315" i="25" s="1"/>
  <c r="F315" i="25"/>
  <c r="T423" i="25"/>
  <c r="U423" i="25" s="1"/>
  <c r="F423" i="25"/>
  <c r="F250" i="25"/>
  <c r="T250" i="25"/>
  <c r="U250" i="25" s="1"/>
  <c r="F103" i="25"/>
  <c r="T103" i="25"/>
  <c r="U103" i="25" s="1"/>
  <c r="F186" i="25"/>
  <c r="T186" i="25"/>
  <c r="U186" i="25" s="1"/>
  <c r="T381" i="25"/>
  <c r="U381" i="25" s="1"/>
  <c r="F381" i="25"/>
  <c r="F146" i="25"/>
  <c r="T146" i="25"/>
  <c r="U146" i="25" s="1"/>
  <c r="T120" i="25"/>
  <c r="U120" i="25" s="1"/>
  <c r="F120" i="25"/>
  <c r="T302" i="25"/>
  <c r="U302" i="25" s="1"/>
  <c r="F302" i="25"/>
  <c r="T336" i="25"/>
  <c r="U336" i="25" s="1"/>
  <c r="F336" i="25"/>
  <c r="T36" i="25"/>
  <c r="U36" i="25" s="1"/>
  <c r="F36" i="25"/>
  <c r="T38" i="25"/>
  <c r="U38" i="25" s="1"/>
  <c r="F38" i="25"/>
  <c r="T191" i="25"/>
  <c r="U191" i="25" s="1"/>
  <c r="F191" i="25"/>
  <c r="F70" i="25"/>
  <c r="T70" i="25"/>
  <c r="U70" i="25" s="1"/>
  <c r="T376" i="25"/>
  <c r="U376" i="25" s="1"/>
  <c r="F376" i="25"/>
  <c r="T382" i="25"/>
  <c r="U382" i="25" s="1"/>
  <c r="F382" i="25"/>
  <c r="T365" i="25"/>
  <c r="U365" i="25" s="1"/>
  <c r="F365" i="25"/>
  <c r="T316" i="25"/>
  <c r="U316" i="25" s="1"/>
  <c r="F316" i="25"/>
  <c r="T293" i="25"/>
  <c r="U293" i="25" s="1"/>
  <c r="F293" i="25"/>
  <c r="T337" i="25"/>
  <c r="U337" i="25" s="1"/>
  <c r="F337" i="25"/>
  <c r="F59" i="25"/>
  <c r="T59" i="25"/>
  <c r="U59" i="25" s="1"/>
  <c r="T190" i="25"/>
  <c r="U190" i="25" s="1"/>
  <c r="F190" i="25"/>
  <c r="T331" i="25"/>
  <c r="U331" i="25" s="1"/>
  <c r="F331" i="25"/>
  <c r="T369" i="25"/>
  <c r="U369" i="25" s="1"/>
  <c r="F369" i="25"/>
  <c r="T360" i="25"/>
  <c r="U360" i="25" s="1"/>
  <c r="F360" i="25"/>
  <c r="T306" i="25"/>
  <c r="U306" i="25" s="1"/>
  <c r="F306" i="25"/>
  <c r="T330" i="25"/>
  <c r="U330" i="25" s="1"/>
  <c r="F330" i="25"/>
  <c r="T357" i="25"/>
  <c r="U357" i="25" s="1"/>
  <c r="F357" i="25"/>
  <c r="T165" i="25"/>
  <c r="U165" i="25" s="1"/>
  <c r="F165" i="25"/>
  <c r="F246" i="25"/>
  <c r="T246" i="25"/>
  <c r="U246" i="25" s="1"/>
  <c r="T245" i="25"/>
  <c r="U245" i="25" s="1"/>
  <c r="F245" i="25"/>
  <c r="F51" i="25"/>
  <c r="T51" i="25"/>
  <c r="U51" i="25" s="1"/>
  <c r="F21" i="25"/>
  <c r="T21" i="25"/>
  <c r="U21" i="25" s="1"/>
  <c r="F169" i="25"/>
  <c r="T169" i="25"/>
  <c r="U169" i="25" s="1"/>
  <c r="T301" i="25"/>
  <c r="U301" i="25" s="1"/>
  <c r="F301" i="25"/>
  <c r="T323" i="25"/>
  <c r="U323" i="25" s="1"/>
  <c r="F323" i="25"/>
  <c r="F46" i="25"/>
  <c r="T46" i="25"/>
  <c r="U46" i="25" s="1"/>
  <c r="T247" i="25"/>
  <c r="U247" i="25" s="1"/>
  <c r="F247" i="25"/>
  <c r="T307" i="25"/>
  <c r="U307" i="25" s="1"/>
  <c r="F307" i="25"/>
  <c r="F76" i="25"/>
  <c r="T76" i="25"/>
  <c r="U76" i="25" s="1"/>
  <c r="F126" i="25"/>
  <c r="T126" i="25"/>
  <c r="U126" i="25" s="1"/>
  <c r="T31" i="25"/>
  <c r="U31" i="25" s="1"/>
  <c r="F31" i="25"/>
  <c r="T362" i="25"/>
  <c r="U362" i="25" s="1"/>
  <c r="F362" i="25"/>
  <c r="T353" i="25"/>
  <c r="U353" i="25" s="1"/>
  <c r="F353" i="25"/>
  <c r="T364" i="25"/>
  <c r="U364" i="25" s="1"/>
  <c r="F364" i="25"/>
  <c r="T99" i="25"/>
  <c r="U99" i="25" s="1"/>
  <c r="F99" i="25"/>
  <c r="T27" i="25"/>
  <c r="U27" i="25" s="1"/>
  <c r="F27" i="25"/>
  <c r="T10" i="25"/>
  <c r="U10" i="25" s="1"/>
  <c r="F10" i="25"/>
  <c r="F196" i="25"/>
  <c r="T196" i="25"/>
  <c r="U196" i="25" s="1"/>
  <c r="T396" i="25"/>
  <c r="U396" i="25" s="1"/>
  <c r="F396" i="25"/>
  <c r="T385" i="25"/>
  <c r="U385" i="25" s="1"/>
  <c r="F385" i="25"/>
  <c r="T340" i="25"/>
  <c r="U340" i="25" s="1"/>
  <c r="F340" i="25"/>
  <c r="T160" i="25"/>
  <c r="U160" i="25" s="1"/>
  <c r="F160" i="25"/>
  <c r="T25" i="25"/>
  <c r="U25" i="25" s="1"/>
  <c r="F25" i="25"/>
  <c r="T387" i="25"/>
  <c r="U387" i="25" s="1"/>
  <c r="F387" i="25"/>
  <c r="T358" i="25"/>
  <c r="U358" i="25" s="1"/>
  <c r="F358" i="25"/>
  <c r="T317" i="25"/>
  <c r="U317" i="25" s="1"/>
  <c r="F317" i="25"/>
  <c r="T276" i="25"/>
  <c r="U276" i="25" s="1"/>
  <c r="F276" i="25"/>
  <c r="T102" i="25"/>
  <c r="U102" i="25" s="1"/>
  <c r="F102" i="25"/>
  <c r="T83" i="25"/>
  <c r="U83" i="25" s="1"/>
  <c r="F83" i="25"/>
  <c r="T185" i="25"/>
  <c r="U185" i="25" s="1"/>
  <c r="F185" i="25"/>
  <c r="T328" i="25"/>
  <c r="U328" i="25" s="1"/>
  <c r="F328" i="25"/>
  <c r="T416" i="25"/>
  <c r="U416" i="25" s="1"/>
  <c r="F416" i="25"/>
  <c r="T299" i="25"/>
  <c r="U299" i="25" s="1"/>
  <c r="F299" i="25"/>
  <c r="F40" i="25"/>
  <c r="T40" i="25"/>
  <c r="U40" i="25" s="1"/>
  <c r="T229" i="25"/>
  <c r="U229" i="25" s="1"/>
  <c r="F229" i="25"/>
  <c r="F64" i="25"/>
  <c r="T64" i="25"/>
  <c r="U64" i="25" s="1"/>
  <c r="F68" i="25"/>
  <c r="T68" i="25"/>
  <c r="U68" i="25" s="1"/>
  <c r="F52" i="25"/>
  <c r="T52" i="25"/>
  <c r="U52" i="25" s="1"/>
  <c r="T341" i="25"/>
  <c r="U341" i="25" s="1"/>
  <c r="F341" i="25"/>
  <c r="T322" i="25"/>
  <c r="U322" i="25" s="1"/>
  <c r="F322" i="25"/>
  <c r="T346" i="25"/>
  <c r="U346" i="25" s="1"/>
  <c r="F346" i="25"/>
  <c r="T255" i="25"/>
  <c r="U255" i="25" s="1"/>
  <c r="F255" i="25"/>
  <c r="F234" i="25"/>
  <c r="T234" i="25"/>
  <c r="U234" i="25" s="1"/>
  <c r="T221" i="25"/>
  <c r="U221" i="25" s="1"/>
  <c r="F221" i="25"/>
  <c r="T275" i="25"/>
  <c r="U275" i="25" s="1"/>
  <c r="F275" i="25"/>
  <c r="T227" i="25"/>
  <c r="U227" i="25" s="1"/>
  <c r="F227" i="25"/>
  <c r="F77" i="25"/>
  <c r="T77" i="25"/>
  <c r="U77" i="25" s="1"/>
  <c r="T125" i="25"/>
  <c r="U125" i="25" s="1"/>
  <c r="F125" i="25"/>
  <c r="F30" i="25"/>
  <c r="T30" i="25"/>
  <c r="U30" i="25" s="1"/>
  <c r="T349" i="25"/>
  <c r="U349" i="25" s="1"/>
  <c r="F349" i="25"/>
  <c r="F138" i="25"/>
  <c r="T138" i="25"/>
  <c r="U138" i="25" s="1"/>
  <c r="T141" i="25"/>
  <c r="U141" i="25" s="1"/>
  <c r="F141" i="25"/>
  <c r="T320" i="25"/>
  <c r="U320" i="25" s="1"/>
  <c r="F320" i="25"/>
  <c r="T24" i="25"/>
  <c r="U24" i="25" s="1"/>
  <c r="F24" i="25"/>
  <c r="T397" i="25"/>
  <c r="U397" i="25" s="1"/>
  <c r="F397" i="25"/>
  <c r="T356" i="25"/>
  <c r="U356" i="25" s="1"/>
  <c r="F356" i="25"/>
  <c r="T20" i="25"/>
  <c r="U20" i="25" s="1"/>
  <c r="F20" i="25"/>
  <c r="T43" i="25"/>
  <c r="U43" i="25" s="1"/>
  <c r="F43" i="25"/>
  <c r="T285" i="25"/>
  <c r="U285" i="25" s="1"/>
  <c r="F285" i="25"/>
  <c r="T288" i="25"/>
  <c r="U288" i="25" s="1"/>
  <c r="F288" i="25"/>
  <c r="T287" i="25"/>
  <c r="U287" i="25" s="1"/>
  <c r="F287" i="25"/>
  <c r="F210" i="25"/>
  <c r="T210" i="25"/>
  <c r="U210" i="25" s="1"/>
  <c r="T355" i="25"/>
  <c r="U355" i="25" s="1"/>
  <c r="F355" i="25"/>
  <c r="T53" i="25"/>
  <c r="U53" i="25" s="1"/>
  <c r="F53" i="25"/>
  <c r="T11" i="25"/>
  <c r="U11" i="25" s="1"/>
  <c r="F11" i="25"/>
  <c r="T143" i="25"/>
  <c r="U143" i="25" s="1"/>
  <c r="F143" i="25"/>
  <c r="T280" i="25"/>
  <c r="U280" i="25" s="1"/>
  <c r="F280" i="25"/>
  <c r="T298" i="25"/>
  <c r="U298" i="25" s="1"/>
  <c r="F298" i="25"/>
  <c r="T282" i="25"/>
  <c r="U282" i="25" s="1"/>
  <c r="F282" i="25"/>
  <c r="F226" i="25"/>
  <c r="T226" i="25"/>
  <c r="U226" i="25" s="1"/>
  <c r="T332" i="25"/>
  <c r="U332" i="25" s="1"/>
  <c r="F332" i="25"/>
  <c r="F240" i="25"/>
  <c r="T240" i="25"/>
  <c r="U240" i="25" s="1"/>
  <c r="T151" i="25"/>
  <c r="U151" i="25" s="1"/>
  <c r="F151" i="25"/>
  <c r="F260" i="25"/>
  <c r="T260" i="25"/>
  <c r="U260" i="25" s="1"/>
  <c r="F48" i="25"/>
  <c r="T48" i="25"/>
  <c r="U48" i="25" s="1"/>
  <c r="T418" i="25"/>
  <c r="U418" i="25" s="1"/>
  <c r="F418" i="25"/>
  <c r="T279" i="25"/>
  <c r="U279" i="25" s="1"/>
  <c r="F279" i="25"/>
  <c r="T135" i="25"/>
  <c r="U135" i="25" s="1"/>
  <c r="F135" i="25"/>
  <c r="T207" i="25"/>
  <c r="U207" i="25" s="1"/>
  <c r="F207" i="25"/>
  <c r="T204" i="25"/>
  <c r="U204" i="25" s="1"/>
  <c r="F204" i="25"/>
  <c r="T175" i="25"/>
  <c r="U175" i="25" s="1"/>
  <c r="F175" i="25"/>
  <c r="T9" i="25"/>
  <c r="U9" i="25" s="1"/>
  <c r="F9" i="25"/>
  <c r="T201" i="25"/>
  <c r="U201" i="25" s="1"/>
  <c r="F201" i="25"/>
  <c r="T264" i="25"/>
  <c r="U264" i="25" s="1"/>
  <c r="F264" i="25"/>
  <c r="T270" i="25"/>
  <c r="U270" i="25" s="1"/>
  <c r="F270" i="25"/>
  <c r="T277" i="25"/>
  <c r="U277" i="25" s="1"/>
  <c r="F277" i="25"/>
  <c r="T116" i="25"/>
  <c r="U116" i="25" s="1"/>
  <c r="F116" i="25"/>
  <c r="T342" i="25"/>
  <c r="U342" i="25" s="1"/>
  <c r="F342" i="25"/>
  <c r="T318" i="25"/>
  <c r="U318" i="25" s="1"/>
  <c r="F318" i="25"/>
  <c r="T422" i="25"/>
  <c r="U422" i="25" s="1"/>
  <c r="F422" i="25"/>
  <c r="T363" i="25"/>
  <c r="U363" i="25" s="1"/>
  <c r="F363" i="25"/>
  <c r="T199" i="25"/>
  <c r="U199" i="25" s="1"/>
  <c r="F199" i="25"/>
  <c r="T215" i="25"/>
  <c r="U215" i="25" s="1"/>
  <c r="F215" i="25"/>
  <c r="T211" i="25"/>
  <c r="U211" i="25" s="1"/>
  <c r="F211" i="25"/>
  <c r="T268" i="25"/>
  <c r="U268" i="25" s="1"/>
  <c r="F268" i="25"/>
  <c r="T96" i="25"/>
  <c r="U96" i="25" s="1"/>
  <c r="F96" i="25"/>
  <c r="F82" i="25"/>
  <c r="T82" i="25"/>
  <c r="U82" i="25" s="1"/>
  <c r="T168" i="25"/>
  <c r="U168" i="25" s="1"/>
  <c r="F168" i="25"/>
  <c r="T8" i="25"/>
  <c r="U8" i="25" s="1"/>
  <c r="F8" i="25"/>
  <c r="T284" i="25"/>
  <c r="U284" i="25" s="1"/>
  <c r="F284" i="25"/>
  <c r="T197" i="25"/>
  <c r="U197" i="25" s="1"/>
  <c r="F197" i="25"/>
  <c r="T57" i="25"/>
  <c r="U57" i="25" s="1"/>
  <c r="F57" i="25"/>
  <c r="T206" i="25"/>
  <c r="U206" i="25" s="1"/>
  <c r="F206" i="25"/>
  <c r="T110" i="25"/>
  <c r="U110" i="25" s="1"/>
  <c r="F110" i="25"/>
  <c r="F140" i="25"/>
  <c r="T140" i="25"/>
  <c r="U140" i="25" s="1"/>
  <c r="F61" i="25"/>
  <c r="T61" i="25"/>
  <c r="U61" i="25" s="1"/>
  <c r="F66" i="25"/>
  <c r="T66" i="25"/>
  <c r="U66" i="25" s="1"/>
  <c r="T304" i="25"/>
  <c r="U304" i="25" s="1"/>
  <c r="F304" i="25"/>
  <c r="T14" i="25"/>
  <c r="U14" i="25" s="1"/>
  <c r="F14" i="25"/>
  <c r="T296" i="25"/>
  <c r="U296" i="25" s="1"/>
  <c r="F296" i="25"/>
  <c r="T412" i="25"/>
  <c r="U412" i="25" s="1"/>
  <c r="F412" i="25"/>
  <c r="T194" i="25"/>
  <c r="U194" i="25" s="1"/>
  <c r="F194" i="25"/>
  <c r="T345" i="25"/>
  <c r="U345" i="25" s="1"/>
  <c r="F345" i="25"/>
  <c r="F89" i="25"/>
  <c r="T89" i="25"/>
  <c r="U89" i="25" s="1"/>
  <c r="F104" i="25"/>
  <c r="T104" i="25"/>
  <c r="U104" i="25" s="1"/>
  <c r="T213" i="25"/>
  <c r="U213" i="25" s="1"/>
  <c r="F213" i="25"/>
  <c r="T339" i="25"/>
  <c r="U339" i="25" s="1"/>
  <c r="F339" i="25"/>
  <c r="F262" i="25"/>
  <c r="T262" i="25"/>
  <c r="U262" i="25" s="1"/>
  <c r="T309" i="25"/>
  <c r="U309" i="25" s="1"/>
  <c r="F309" i="25"/>
  <c r="T150" i="25"/>
  <c r="U150" i="25" s="1"/>
  <c r="F150" i="25"/>
  <c r="T209" i="25"/>
  <c r="U209" i="25" s="1"/>
  <c r="F209" i="25"/>
  <c r="T41" i="25"/>
  <c r="U41" i="25" s="1"/>
  <c r="F41" i="25"/>
  <c r="T123" i="25"/>
  <c r="U123" i="25" s="1"/>
  <c r="F123" i="25"/>
  <c r="T63" i="25"/>
  <c r="U63" i="25" s="1"/>
  <c r="F63" i="25"/>
  <c r="T29" i="25"/>
  <c r="U29" i="25" s="1"/>
  <c r="F29" i="25"/>
  <c r="T347" i="25"/>
  <c r="U347" i="25" s="1"/>
  <c r="F347" i="25"/>
  <c r="T294" i="25"/>
  <c r="U294" i="25" s="1"/>
  <c r="F294" i="25"/>
  <c r="T283" i="25"/>
  <c r="U283" i="25" s="1"/>
  <c r="F283" i="25"/>
  <c r="T251" i="25"/>
  <c r="U251" i="25" s="1"/>
  <c r="F251" i="25"/>
  <c r="T152" i="25"/>
  <c r="U152" i="25" s="1"/>
  <c r="F152" i="25"/>
  <c r="T34" i="25"/>
  <c r="U34" i="25" s="1"/>
  <c r="F34" i="25"/>
  <c r="T100" i="25"/>
  <c r="U100" i="25" s="1"/>
  <c r="F100" i="25"/>
  <c r="T239" i="25"/>
  <c r="U239" i="25" s="1"/>
  <c r="F239" i="25"/>
  <c r="T122" i="25"/>
  <c r="U122" i="25" s="1"/>
  <c r="F122" i="25"/>
  <c r="F202" i="25"/>
  <c r="T202" i="25"/>
  <c r="U202" i="25" s="1"/>
  <c r="T290" i="25"/>
  <c r="U290" i="25" s="1"/>
  <c r="F290" i="25"/>
  <c r="T95" i="25"/>
  <c r="U95" i="25" s="1"/>
  <c r="F95" i="25"/>
  <c r="T119" i="25"/>
  <c r="U119" i="25" s="1"/>
  <c r="F119" i="25"/>
  <c r="T193" i="25"/>
  <c r="U193" i="25" s="1"/>
  <c r="F193" i="25"/>
  <c r="T88" i="25"/>
  <c r="U88" i="25" s="1"/>
  <c r="F88" i="25"/>
  <c r="T319" i="25"/>
  <c r="U319" i="25" s="1"/>
  <c r="F319" i="25"/>
  <c r="F238" i="25"/>
  <c r="T238" i="25"/>
  <c r="U238" i="25" s="1"/>
  <c r="T220" i="25"/>
  <c r="U220" i="25" s="1"/>
  <c r="F220" i="25"/>
  <c r="F171" i="25"/>
  <c r="T171" i="25"/>
  <c r="U171" i="25" s="1"/>
  <c r="T94" i="25"/>
  <c r="U94" i="25" s="1"/>
  <c r="F94" i="25"/>
  <c r="T167" i="25"/>
  <c r="U167" i="25" s="1"/>
  <c r="F167" i="25"/>
  <c r="T101" i="25"/>
  <c r="U101" i="25" s="1"/>
  <c r="F101" i="25"/>
  <c r="T329" i="25"/>
  <c r="U329" i="25" s="1"/>
  <c r="F329" i="25"/>
  <c r="T305" i="25"/>
  <c r="U305" i="25" s="1"/>
  <c r="F305" i="25"/>
  <c r="T426" i="25"/>
  <c r="U426" i="25" s="1"/>
  <c r="F426" i="25"/>
  <c r="T410" i="25"/>
  <c r="U410" i="25" s="1"/>
  <c r="F410" i="25"/>
  <c r="T183" i="25"/>
  <c r="U183" i="25" s="1"/>
  <c r="F183" i="25"/>
  <c r="T173" i="25"/>
  <c r="U173" i="25" s="1"/>
  <c r="F173" i="25"/>
  <c r="T399" i="25"/>
  <c r="U399" i="25" s="1"/>
  <c r="F399" i="25"/>
  <c r="F242" i="25"/>
  <c r="T242" i="25"/>
  <c r="U242" i="25" s="1"/>
  <c r="T107" i="25"/>
  <c r="U107" i="25" s="1"/>
  <c r="F107" i="25"/>
  <c r="F149" i="25"/>
  <c r="T149" i="25"/>
  <c r="U149" i="25" s="1"/>
  <c r="T253" i="25"/>
  <c r="U253" i="25" s="1"/>
  <c r="F253" i="25"/>
  <c r="T231" i="25"/>
  <c r="U231" i="25" s="1"/>
  <c r="F231" i="25"/>
  <c r="T111" i="25"/>
  <c r="U111" i="25" s="1"/>
  <c r="F111" i="25"/>
  <c r="T6" i="25"/>
  <c r="U6" i="25" s="1"/>
  <c r="F6" i="25"/>
  <c r="F58" i="25"/>
  <c r="T58" i="25"/>
  <c r="U58" i="25" s="1"/>
  <c r="T47" i="25"/>
  <c r="U47" i="25" s="1"/>
  <c r="F47" i="25"/>
  <c r="T181" i="25"/>
  <c r="U181" i="25" s="1"/>
  <c r="F181" i="25"/>
  <c r="F129" i="25"/>
  <c r="T129" i="25"/>
  <c r="U129" i="25" s="1"/>
  <c r="T286" i="25"/>
  <c r="U286" i="25" s="1"/>
  <c r="F286" i="25"/>
  <c r="T325" i="25"/>
  <c r="U325" i="25" s="1"/>
  <c r="F325" i="25"/>
  <c r="T214" i="25"/>
  <c r="U214" i="25" s="1"/>
  <c r="F214" i="25"/>
  <c r="T161" i="25"/>
  <c r="U161" i="25" s="1"/>
  <c r="F161" i="25"/>
  <c r="T343" i="25"/>
  <c r="U343" i="25" s="1"/>
  <c r="F343" i="25"/>
  <c r="T333" i="25"/>
  <c r="U333" i="25" s="1"/>
  <c r="F333" i="25"/>
  <c r="T159" i="25"/>
  <c r="U159" i="25" s="1"/>
  <c r="F159" i="25"/>
  <c r="F42" i="25"/>
  <c r="T42" i="25"/>
  <c r="U42" i="25" s="1"/>
  <c r="T243" i="25"/>
  <c r="U243" i="25" s="1"/>
  <c r="F243" i="25"/>
  <c r="T35" i="25"/>
  <c r="U35" i="25" s="1"/>
  <c r="F35" i="25"/>
  <c r="F258" i="25"/>
  <c r="T258" i="25"/>
  <c r="U258" i="25" s="1"/>
  <c r="T179" i="25"/>
  <c r="U179" i="25" s="1"/>
  <c r="F179" i="25"/>
  <c r="T225" i="25"/>
  <c r="U225" i="25" s="1"/>
  <c r="F225" i="25"/>
  <c r="T390" i="25"/>
  <c r="U390" i="25" s="1"/>
  <c r="F390" i="25"/>
  <c r="T370" i="25"/>
  <c r="U370" i="25" s="1"/>
  <c r="F370" i="25"/>
  <c r="F170" i="25"/>
  <c r="T170" i="25"/>
  <c r="U170" i="25" s="1"/>
  <c r="T429" i="25"/>
  <c r="U429" i="25" s="1"/>
  <c r="F429" i="25"/>
  <c r="F230" i="25"/>
  <c r="T230" i="25"/>
  <c r="U230" i="25" s="1"/>
  <c r="T398" i="25"/>
  <c r="U398" i="25" s="1"/>
  <c r="F398" i="25"/>
  <c r="T223" i="25"/>
  <c r="U223" i="25" s="1"/>
  <c r="F223" i="25"/>
  <c r="F208" i="25"/>
  <c r="T208" i="25"/>
  <c r="U208" i="25" s="1"/>
  <c r="F232" i="25"/>
  <c r="T232" i="25"/>
  <c r="U232" i="25" s="1"/>
  <c r="T222" i="25"/>
  <c r="U222" i="25" s="1"/>
  <c r="F222" i="25"/>
  <c r="T371" i="25"/>
  <c r="U371" i="25" s="1"/>
  <c r="F371" i="25"/>
  <c r="T5" i="25"/>
  <c r="U5" i="25" s="1"/>
  <c r="F5" i="25"/>
  <c r="T80" i="25"/>
  <c r="U80" i="25" s="1"/>
  <c r="F80" i="25"/>
  <c r="F113" i="25"/>
  <c r="T113" i="25"/>
  <c r="U113" i="25" s="1"/>
  <c r="T237" i="25"/>
  <c r="U237" i="25" s="1"/>
  <c r="F237" i="25"/>
  <c r="F128" i="25"/>
  <c r="T128" i="25"/>
  <c r="U128" i="25" s="1"/>
  <c r="T267" i="25"/>
  <c r="U267" i="25" s="1"/>
  <c r="F267" i="25"/>
  <c r="T26" i="25"/>
  <c r="U26" i="25" s="1"/>
  <c r="F26" i="25"/>
  <c r="T404" i="25"/>
  <c r="U404" i="25" s="1"/>
  <c r="F404" i="25"/>
  <c r="F13" i="25"/>
  <c r="T13" i="25"/>
  <c r="U13" i="25" s="1"/>
  <c r="T394" i="25"/>
  <c r="U394" i="25" s="1"/>
  <c r="F394" i="25"/>
  <c r="T378" i="25"/>
  <c r="U378" i="25" s="1"/>
  <c r="F378" i="25"/>
  <c r="T413" i="25"/>
  <c r="U413" i="25" s="1"/>
  <c r="F413" i="25"/>
  <c r="F154" i="25"/>
  <c r="T154" i="25"/>
  <c r="U154" i="25" s="1"/>
  <c r="T428" i="25"/>
  <c r="U428" i="25" s="1"/>
  <c r="F428" i="25"/>
  <c r="T389" i="25"/>
  <c r="U389" i="25" s="1"/>
  <c r="F389" i="25"/>
  <c r="T352" i="25"/>
  <c r="U352" i="25" s="1"/>
  <c r="F352" i="25"/>
  <c r="T272" i="25"/>
  <c r="U272" i="25" s="1"/>
  <c r="F272" i="25"/>
  <c r="T351" i="25"/>
  <c r="U351" i="25" s="1"/>
  <c r="F351" i="25"/>
  <c r="T144" i="25"/>
  <c r="U144" i="25" s="1"/>
  <c r="F144" i="25"/>
  <c r="T368" i="25"/>
  <c r="U368" i="25" s="1"/>
  <c r="F368" i="25"/>
  <c r="T217" i="25"/>
  <c r="U217" i="25" s="1"/>
  <c r="F217" i="25"/>
  <c r="T212" i="25"/>
  <c r="U212" i="25" s="1"/>
  <c r="F212" i="25"/>
  <c r="T324" i="25"/>
  <c r="U324" i="25" s="1"/>
  <c r="F324" i="25"/>
  <c r="F74" i="25"/>
  <c r="T74" i="25"/>
  <c r="U74" i="25" s="1"/>
  <c r="F114" i="25"/>
  <c r="T114" i="25"/>
  <c r="U114" i="25" s="1"/>
  <c r="T257" i="25"/>
  <c r="U257" i="25" s="1"/>
  <c r="F257" i="25"/>
  <c r="T16" i="25"/>
  <c r="U16" i="25" s="1"/>
  <c r="F16" i="25"/>
  <c r="T321" i="25"/>
  <c r="U321" i="25" s="1"/>
  <c r="F321" i="25"/>
  <c r="F62" i="25"/>
  <c r="T62" i="25"/>
  <c r="U62" i="25" s="1"/>
  <c r="F56" i="25"/>
  <c r="T56" i="25"/>
  <c r="U56" i="25" s="1"/>
  <c r="F49" i="25"/>
  <c r="T49" i="25"/>
  <c r="U49" i="25" s="1"/>
  <c r="V2" i="21"/>
  <c r="W2" i="21" s="1"/>
  <c r="H44" i="21"/>
  <c r="V42" i="21"/>
  <c r="W42" i="21" s="1"/>
  <c r="V43" i="21"/>
  <c r="W43" i="21" s="1"/>
  <c r="H43" i="21"/>
  <c r="H45" i="21"/>
  <c r="V25" i="21"/>
  <c r="W25" i="21" s="1"/>
  <c r="V9" i="21"/>
  <c r="W9" i="21" s="1"/>
  <c r="V14" i="21"/>
  <c r="W14" i="21" s="1"/>
  <c r="V28" i="21"/>
  <c r="W28" i="21" s="1"/>
  <c r="V24" i="21"/>
  <c r="W24" i="21" s="1"/>
  <c r="V22" i="21"/>
  <c r="W22" i="21" s="1"/>
  <c r="V8" i="21"/>
  <c r="W8" i="21" s="1"/>
  <c r="V38" i="21"/>
  <c r="W38" i="21" s="1"/>
  <c r="V40" i="21"/>
  <c r="W40" i="21" s="1"/>
  <c r="V4" i="21"/>
  <c r="W4" i="21" s="1"/>
  <c r="V10" i="21"/>
  <c r="W10" i="21" s="1"/>
  <c r="V3" i="21"/>
  <c r="W3" i="21" s="1"/>
  <c r="V29" i="21"/>
  <c r="W29" i="21" s="1"/>
  <c r="V7" i="21"/>
  <c r="W7" i="21" s="1"/>
  <c r="V23" i="21"/>
  <c r="W23" i="21" s="1"/>
  <c r="V18" i="21"/>
  <c r="W18" i="21" s="1"/>
  <c r="V31" i="21"/>
  <c r="W31" i="21" s="1"/>
  <c r="V5" i="21"/>
  <c r="W5" i="21" s="1"/>
  <c r="V39" i="21"/>
  <c r="W39" i="21" s="1"/>
  <c r="V30" i="21"/>
  <c r="W30" i="21" s="1"/>
  <c r="V34" i="21"/>
  <c r="W34" i="21" s="1"/>
  <c r="V27" i="21"/>
  <c r="W27" i="21" s="1"/>
  <c r="V17" i="21"/>
  <c r="W17" i="21" s="1"/>
  <c r="V15" i="21"/>
  <c r="W15" i="21" s="1"/>
  <c r="V12" i="21"/>
  <c r="W12" i="21" s="1"/>
  <c r="V33" i="21"/>
  <c r="W33" i="21" s="1"/>
  <c r="V37" i="21"/>
  <c r="W37" i="21" s="1"/>
  <c r="V19" i="21"/>
  <c r="W19" i="21" s="1"/>
  <c r="V13" i="21"/>
  <c r="W13" i="21" s="1"/>
  <c r="V21" i="21"/>
  <c r="W21" i="21" s="1"/>
  <c r="V20" i="21"/>
  <c r="V26" i="21"/>
  <c r="W26" i="21" s="1"/>
  <c r="V35" i="21"/>
  <c r="W35" i="21" s="1"/>
  <c r="V16" i="21"/>
  <c r="W16" i="21" s="1"/>
  <c r="V36" i="21"/>
  <c r="W36" i="21" s="1"/>
  <c r="V6" i="21"/>
  <c r="W6" i="21" s="1"/>
  <c r="V11" i="21"/>
  <c r="W11" i="21" s="1"/>
  <c r="V32" i="21"/>
  <c r="W32" i="21" s="1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W20" i="21" l="1"/>
  <c r="A17" i="20"/>
  <c r="A14" i="20"/>
  <c r="A15" i="20"/>
  <c r="A16" i="20"/>
  <c r="X321" i="4"/>
  <c r="U321" i="4"/>
  <c r="T321" i="4"/>
  <c r="S321" i="4"/>
  <c r="R321" i="4"/>
  <c r="P321" i="4"/>
  <c r="U315" i="4"/>
  <c r="T315" i="4"/>
  <c r="S315" i="4"/>
  <c r="R315" i="4"/>
  <c r="P315" i="4"/>
  <c r="X309" i="4"/>
  <c r="W309" i="4"/>
  <c r="V309" i="4"/>
  <c r="U309" i="4"/>
  <c r="T309" i="4"/>
  <c r="S309" i="4"/>
  <c r="R309" i="4"/>
  <c r="P309" i="4"/>
  <c r="O309" i="4"/>
  <c r="X322" i="4" l="1"/>
  <c r="X323" i="4" s="1"/>
  <c r="V321" i="4"/>
  <c r="O321" i="4"/>
  <c r="X316" i="4"/>
  <c r="X315" i="4"/>
  <c r="W315" i="4"/>
  <c r="V315" i="4"/>
  <c r="Q315" i="4"/>
  <c r="O315" i="4"/>
  <c r="W321" i="4"/>
  <c r="X310" i="4"/>
  <c r="X311" i="4" s="1"/>
  <c r="Q309" i="4"/>
  <c r="A12" i="20"/>
  <c r="A13" i="20"/>
  <c r="X317" i="4" l="1"/>
  <c r="X304" i="4"/>
  <c r="X303" i="4"/>
  <c r="X298" i="4"/>
  <c r="X297" i="4"/>
  <c r="Q303" i="4"/>
  <c r="Q297" i="4"/>
  <c r="P303" i="4"/>
  <c r="R303" i="4"/>
  <c r="S303" i="4"/>
  <c r="T303" i="4"/>
  <c r="U303" i="4"/>
  <c r="V303" i="4"/>
  <c r="W303" i="4"/>
  <c r="O303" i="4"/>
  <c r="P297" i="4"/>
  <c r="R297" i="4"/>
  <c r="S297" i="4"/>
  <c r="T297" i="4"/>
  <c r="U297" i="4"/>
  <c r="V297" i="4"/>
  <c r="W297" i="4"/>
  <c r="O297" i="4"/>
  <c r="X293" i="4"/>
  <c r="X299" i="4" l="1"/>
  <c r="X300" i="4" s="1"/>
  <c r="X305" i="4"/>
  <c r="X306" i="4" s="1"/>
  <c r="X324" i="4"/>
  <c r="V323" i="4"/>
  <c r="V324" i="4" s="1"/>
  <c r="S323" i="4"/>
  <c r="S324" i="4" s="1"/>
  <c r="W323" i="4"/>
  <c r="W324" i="4" s="1"/>
  <c r="U323" i="4"/>
  <c r="U324" i="4" s="1"/>
  <c r="T323" i="4"/>
  <c r="T324" i="4" s="1"/>
  <c r="R323" i="4"/>
  <c r="R324" i="4" s="1"/>
  <c r="P323" i="4"/>
  <c r="P324" i="4" s="1"/>
  <c r="O323" i="4"/>
  <c r="O324" i="4" s="1"/>
  <c r="S305" i="4"/>
  <c r="S306" i="4" s="1"/>
  <c r="O305" i="4"/>
  <c r="O306" i="4" s="1"/>
  <c r="R305" i="4"/>
  <c r="R306" i="4" s="1"/>
  <c r="P305" i="4"/>
  <c r="P306" i="4" s="1"/>
  <c r="U305" i="4"/>
  <c r="U306" i="4" s="1"/>
  <c r="V305" i="4"/>
  <c r="V306" i="4" s="1"/>
  <c r="W305" i="4"/>
  <c r="W306" i="4" s="1"/>
  <c r="T305" i="4"/>
  <c r="T306" i="4" s="1"/>
  <c r="Q317" i="4"/>
  <c r="Q318" i="4" s="1"/>
  <c r="X318" i="4"/>
  <c r="V317" i="4"/>
  <c r="V318" i="4" s="1"/>
  <c r="T317" i="4"/>
  <c r="T318" i="4" s="1"/>
  <c r="W317" i="4"/>
  <c r="W318" i="4" s="1"/>
  <c r="U317" i="4"/>
  <c r="U318" i="4" s="1"/>
  <c r="S317" i="4"/>
  <c r="S318" i="4" s="1"/>
  <c r="R317" i="4"/>
  <c r="R318" i="4" s="1"/>
  <c r="P317" i="4"/>
  <c r="P318" i="4" s="1"/>
  <c r="Q311" i="4"/>
  <c r="Q312" i="4" s="1"/>
  <c r="W311" i="4"/>
  <c r="W312" i="4" s="1"/>
  <c r="X312" i="4"/>
  <c r="V311" i="4"/>
  <c r="V312" i="4" s="1"/>
  <c r="U311" i="4"/>
  <c r="U312" i="4" s="1"/>
  <c r="T311" i="4"/>
  <c r="T312" i="4" s="1"/>
  <c r="S311" i="4"/>
  <c r="S312" i="4" s="1"/>
  <c r="R311" i="4"/>
  <c r="R312" i="4" s="1"/>
  <c r="P311" i="4"/>
  <c r="P312" i="4" s="1"/>
  <c r="O311" i="4"/>
  <c r="O312" i="4" s="1"/>
  <c r="W299" i="4"/>
  <c r="W300" i="4" s="1"/>
  <c r="Q305" i="4"/>
  <c r="Q306" i="4" s="1"/>
  <c r="V299" i="4"/>
  <c r="V300" i="4" s="1"/>
  <c r="T299" i="4"/>
  <c r="T300" i="4" s="1"/>
  <c r="S299" i="4"/>
  <c r="S300" i="4" s="1"/>
  <c r="U299" i="4"/>
  <c r="U300" i="4" s="1"/>
  <c r="R299" i="4"/>
  <c r="R300" i="4" s="1"/>
  <c r="P299" i="4"/>
  <c r="P300" i="4" s="1"/>
  <c r="O299" i="4"/>
  <c r="O300" i="4" s="1"/>
  <c r="Q299" i="4"/>
  <c r="Q300" i="4" s="1"/>
  <c r="W293" i="4"/>
  <c r="A4" i="20"/>
  <c r="A5" i="20"/>
  <c r="A6" i="20"/>
  <c r="A7" i="20"/>
  <c r="A8" i="20"/>
  <c r="A9" i="20"/>
  <c r="A10" i="20"/>
  <c r="A11" i="20" s="1"/>
  <c r="A3" i="20"/>
  <c r="O317" i="4" l="1"/>
  <c r="O318" i="4" s="1"/>
  <c r="O293" i="4"/>
  <c r="O294" i="4" s="1"/>
  <c r="X294" i="4" l="1"/>
  <c r="R293" i="4"/>
  <c r="R294" i="4" s="1"/>
  <c r="S293" i="4"/>
  <c r="S294" i="4" s="1"/>
  <c r="T293" i="4"/>
  <c r="T294" i="4" s="1"/>
  <c r="U293" i="4"/>
  <c r="U294" i="4" s="1"/>
  <c r="V293" i="4"/>
  <c r="V294" i="4" s="1"/>
  <c r="W294" i="4"/>
  <c r="Q293" i="4"/>
  <c r="Q294" i="4" s="1"/>
  <c r="P293" i="4" l="1"/>
  <c r="P29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<sst xmlns="http://schemas.openxmlformats.org/spreadsheetml/2006/main" count="4942" uniqueCount="1448">
  <si>
    <t>NO</t>
  </si>
  <si>
    <t>PHASE 2A TAG</t>
  </si>
  <si>
    <t>OEM TAG</t>
  </si>
  <si>
    <t>JB</t>
  </si>
  <si>
    <t>DESCRIPTION</t>
  </si>
  <si>
    <t>P&amp;ID</t>
  </si>
  <si>
    <t>ROOM</t>
  </si>
  <si>
    <t>PANEL</t>
  </si>
  <si>
    <t>ORDER</t>
  </si>
  <si>
    <t>SLOT</t>
  </si>
  <si>
    <t>CH</t>
  </si>
  <si>
    <t>MODULE 
TYPE</t>
  </si>
  <si>
    <t>MODULE 
P/N</t>
  </si>
  <si>
    <t>RANGE</t>
  </si>
  <si>
    <t>DEVICE
INSTALLED</t>
  </si>
  <si>
    <t>DEVICE
TAGGED</t>
  </si>
  <si>
    <t>CA
INSTALLED</t>
  </si>
  <si>
    <t>RACEWAYS
COMPLETE</t>
  </si>
  <si>
    <t>WIRE
PULLED</t>
  </si>
  <si>
    <t>WIRE
TERMED</t>
  </si>
  <si>
    <t>WIRE
TAGGED</t>
  </si>
  <si>
    <t>POINT
TO POINT</t>
  </si>
  <si>
    <t>IO CHECK</t>
  </si>
  <si>
    <t>IO GOOD</t>
  </si>
  <si>
    <t>NOTES</t>
  </si>
  <si>
    <t>RL7-CKR-101-ZSO-25</t>
  </si>
  <si>
    <t>COOKER 1 CIPS MIX PROOF VALVE OPEN LIMIT SWITCH</t>
  </si>
  <si>
    <t>DG7020</t>
  </si>
  <si>
    <t>INTSL</t>
  </si>
  <si>
    <t>RL7-INTSL-RIO1</t>
  </si>
  <si>
    <t>24 VDC DI</t>
  </si>
  <si>
    <t>5069-IB16</t>
  </si>
  <si>
    <t>RL7-CKR-101-ZSC-25</t>
  </si>
  <si>
    <t>COOKER 1 CIPS MIX PROOF VALVE CLOSED LIMIT SWITCH</t>
  </si>
  <si>
    <t>RL7-CKR-101-ZSO-27</t>
  </si>
  <si>
    <t>COOKER 1 JHWS BLOCK VALVE OPEN LIMIT SWITCH</t>
  </si>
  <si>
    <t>DG7606</t>
  </si>
  <si>
    <t>RL7-CKR-101-ZSC-27</t>
  </si>
  <si>
    <t>COOKER 1 JHWS BLOCK VALVE CLOSED LIMIT SWITCH</t>
  </si>
  <si>
    <t>RL7-CKR-101-ZSO-101</t>
  </si>
  <si>
    <t>COOKER 1 HPS BLOCK VALVE OPEN LIMIT SWITCH</t>
  </si>
  <si>
    <t>DG7700</t>
  </si>
  <si>
    <t>RL7-CKR-101-ZSC-101</t>
  </si>
  <si>
    <t>COOKER 1 HPS BLOCK VALVE CLOSED LIMIT SWITCH</t>
  </si>
  <si>
    <t>RL7-PMP-104-ZSO-01</t>
  </si>
  <si>
    <t>COOKER 1 PRODUCT TO METAL DETECTOR VALVE OPEN LIMIT SWITCH</t>
  </si>
  <si>
    <t>DG7023</t>
  </si>
  <si>
    <t>RL7-PMP-104-ZSC-01</t>
  </si>
  <si>
    <t>COOKER 1 PRODUCT TO METAL DETECTOR VALVE CLOSED LIMIT SWITCH</t>
  </si>
  <si>
    <t>RL7-MDT-102-ZSO-02</t>
  </si>
  <si>
    <t>PIPELINE METAL DETECTOR PRODUCT SUPPLY VALVE OPEN LIMIT SWITCH</t>
  </si>
  <si>
    <t>RL7-MDT-102-ZSC-02</t>
  </si>
  <si>
    <t>PIPELINE METAL DETECTOR PRODUCT SUPPLY VALVE CLOSED LIMIT SWITCH</t>
  </si>
  <si>
    <t>SPARE</t>
  </si>
  <si>
    <t>RL7-CKR-102-ZSO-25</t>
  </si>
  <si>
    <t>COOKER 2 CIPS MIX PROOF VALVE OPEN LIMIT SWITCH</t>
  </si>
  <si>
    <t>DG7021</t>
  </si>
  <si>
    <t>RL7-CKR-102-ZSC-25</t>
  </si>
  <si>
    <t>COOKER 2 CIPS MIX PROOF VALVE CLOSED LIMIT SWITCH</t>
  </si>
  <si>
    <t>RL7-CKR-102-ZSO-27</t>
  </si>
  <si>
    <t>COOKER 2 JHWS BLOCK VALVE OPEN LIMIT SWITCH</t>
  </si>
  <si>
    <t>RL7-CKR-102-ZSC-27</t>
  </si>
  <si>
    <t>COOKER 2 JHWS BLOCK VALVE CLOSED LIMIT SWITCH</t>
  </si>
  <si>
    <t>RL7-CKR-102-ZSO-101</t>
  </si>
  <si>
    <t>COOKER 2 HPS BLOCK VALVE OPEN LIMIT SWITCH</t>
  </si>
  <si>
    <t>RL7-CKR-102-ZSC-101</t>
  </si>
  <si>
    <t>COOKER 2 HPS BLOCK VALVE CLOSED LIMIT SWITCH</t>
  </si>
  <si>
    <t>RL7-PMP-105-ZSO-01</t>
  </si>
  <si>
    <t>COOKER 2 PRODUCT TO METAL DETECTOR VALVE OPEN LIMIT SWITCH</t>
  </si>
  <si>
    <t>RL7-PMP-105-ZSC-01</t>
  </si>
  <si>
    <t>COOKER 2 PRODUCT TO METAL DETECTOR VALVE CLOSED LIMIT SWITCH</t>
  </si>
  <si>
    <t>RL7-AGC-201-ZSO-27</t>
  </si>
  <si>
    <t>DISCHARGE AUGER CART JHWS BLOCK VALVE OPEN LIMIT SWITCH</t>
  </si>
  <si>
    <t>RL7-AGC-201-ZSC-27</t>
  </si>
  <si>
    <t>DISCHARGE AUGER CART JHWS BLOCK VALVE CLOSED LIMIT SWITCH</t>
  </si>
  <si>
    <t>RL7-CKR-101-XV-27</t>
  </si>
  <si>
    <t>COOKER 1 JHWS BLOCK VALVE OPEN SOLENOID</t>
  </si>
  <si>
    <t>DG7702</t>
  </si>
  <si>
    <t>24 VDC DO</t>
  </si>
  <si>
    <t>5069-OB16</t>
  </si>
  <si>
    <t>RL7-CKR-101-XV-101</t>
  </si>
  <si>
    <t>COOKER 1 HPS BLOCK VALVE OPEN SOLENOID</t>
  </si>
  <si>
    <t>RL7-CKR-101-XV-25</t>
  </si>
  <si>
    <t>COOKER 1 CIPS MIX PROOF VALVE OPEN SOLENOID</t>
  </si>
  <si>
    <t>RL7-PMP-104-XV-01</t>
  </si>
  <si>
    <t>COOKER 1 PRODUCT TO MTD VALVE OPEN SOLENOID</t>
  </si>
  <si>
    <t>RL7-LINE-PBL-01</t>
  </si>
  <si>
    <t>ROLL LINE E-STOP PB PILOT LIGHT</t>
  </si>
  <si>
    <t>DG7010</t>
  </si>
  <si>
    <t>PROC</t>
  </si>
  <si>
    <t>RL7-LINE-AH-01</t>
  </si>
  <si>
    <t>ROLL LINE 7 ALARM HORN</t>
  </si>
  <si>
    <t>RL7-LINE-PL-01R</t>
  </si>
  <si>
    <t>ROLL LINE 7 RED PILOT LIGHT</t>
  </si>
  <si>
    <t>RL7-LINE-PL-01Y</t>
  </si>
  <si>
    <t>ROLL LINE 7 YELLOW PILOT LIGHT</t>
  </si>
  <si>
    <t>RL7-LINE-PL-01G</t>
  </si>
  <si>
    <t>ROLL LINE 7 GREEN PILOT LIGHT</t>
  </si>
  <si>
    <t>RL7-CKR-102-XV-27</t>
  </si>
  <si>
    <t>COOKER 2 JHWS BLOCK VALVE OPEN SOLENOID</t>
  </si>
  <si>
    <t>RL7-CKR-102-XV-101</t>
  </si>
  <si>
    <t>COOKER 2 HPS BLOCK VALVE OPEN SOLENOID</t>
  </si>
  <si>
    <t>RL7-CKR-102-XV-25</t>
  </si>
  <si>
    <t>COOKER 2 CIPS MIX PROOF VALVE OPEN SOLENOID</t>
  </si>
  <si>
    <t>RL7-PMP-105-XV-01</t>
  </si>
  <si>
    <t>COOKER 2 PRODUCT TO MTD VALVE OPEN SOLENOID</t>
  </si>
  <si>
    <t>RL7-AGC-201-XV-27</t>
  </si>
  <si>
    <t>DISCHARGE AUGER CART JHWS BLOCK VALVE OPEN SOLENOID</t>
  </si>
  <si>
    <t>ADDRESS RESERVE MODULE</t>
  </si>
  <si>
    <t>ARM</t>
  </si>
  <si>
    <t>5069-ARM</t>
  </si>
  <si>
    <t>RL7-CKR-101-FIT-101</t>
  </si>
  <si>
    <t>COOKER 1 HPS FLOW</t>
  </si>
  <si>
    <t>4-20 mA AI</t>
  </si>
  <si>
    <t>5069-IF8</t>
  </si>
  <si>
    <t>0 - 7000 LB/HR</t>
  </si>
  <si>
    <t>RL7-CKR-101-PIT-101</t>
  </si>
  <si>
    <t>COOKER 1 HPS BYPASS PRESSURE</t>
  </si>
  <si>
    <t>0 - 10 BAR</t>
  </si>
  <si>
    <t>RL7-CKR-101-PIT-102</t>
  </si>
  <si>
    <t>COOKER 1 HPS PRESSURE</t>
  </si>
  <si>
    <t>RL7-CKR-101-TVI-101</t>
  </si>
  <si>
    <t>COOKER 1 HPS CONTROL VALVE POSITION FEEDBACK</t>
  </si>
  <si>
    <t>RL7-HTX-101A-TT-02</t>
  </si>
  <si>
    <t>RL7-CKR-101-FVI-02</t>
  </si>
  <si>
    <t>COOKER 1 CIPS CONTROL VALVE POSITION FEEDBACK</t>
  </si>
  <si>
    <t>RL7-HTX-101C-TT-02</t>
  </si>
  <si>
    <t>RL7-CKR-101-TIT-03</t>
  </si>
  <si>
    <t>COOKER 1 JHWR TEMPERATURE</t>
  </si>
  <si>
    <t>0 - 130 LB/MIN</t>
  </si>
  <si>
    <t>RL7-CKR-102-FIT-101</t>
  </si>
  <si>
    <t>COOKER 2 HPS FLOW</t>
  </si>
  <si>
    <t>RL7-CKR-102-PIT-101</t>
  </si>
  <si>
    <t>COOKER 2 HPS BYPASS PRESSURE</t>
  </si>
  <si>
    <t>RL7-CKR-102-PIT-102</t>
  </si>
  <si>
    <t>COOKER 2 HPS PRESSURE</t>
  </si>
  <si>
    <t>RL7-CKR-102-TVI-101</t>
  </si>
  <si>
    <t>COOKER 2 HPS CONTROL VALVE POSITION FEEDBACK</t>
  </si>
  <si>
    <t>RL7-HTX-101B-TT-02</t>
  </si>
  <si>
    <t>RL7-CKR-102-FVI-02</t>
  </si>
  <si>
    <t>COOKER 2 CIPS CONTROL VALVE POSITION FEEDBACK</t>
  </si>
  <si>
    <t>RL7-CKR-102-TIT-03</t>
  </si>
  <si>
    <t>COOKER 2 JHWR TEMPERATURE</t>
  </si>
  <si>
    <t>0 - 300 F</t>
  </si>
  <si>
    <t>RL7-CKR-103-PIT-101</t>
  </si>
  <si>
    <t>HOT WATER JACKET SYSTEM HPS PRESSURE</t>
  </si>
  <si>
    <t>DG7701</t>
  </si>
  <si>
    <t>RL7-HTX-101A-LT-01</t>
  </si>
  <si>
    <t>RL7-AGC-201-TIT-03</t>
  </si>
  <si>
    <t>DISCHARGE AUGER CART JHWR TEMPERATURE</t>
  </si>
  <si>
    <t>0 - 150 PSI</t>
  </si>
  <si>
    <t>RL7-TNK-101-FVI-01</t>
  </si>
  <si>
    <t>BREDDO MIXER WATER CONTROL VALVE</t>
  </si>
  <si>
    <t>RL7-CKR-200-PIT-101</t>
  </si>
  <si>
    <t>PHASE 2A COOKERS HPS HEADER PRESSURE</t>
  </si>
  <si>
    <t>RL7-CKR-101-FIT-01</t>
  </si>
  <si>
    <t>COOKER 1 JHWS FLOW</t>
  </si>
  <si>
    <t>0 - 100%</t>
  </si>
  <si>
    <t>RL7-CKR-101-TVI-01</t>
  </si>
  <si>
    <t>COOKER 1 JHWR CONTROL VALVE POSITION FEEDBACK</t>
  </si>
  <si>
    <t>RL7-CKR-101-FIT-02</t>
  </si>
  <si>
    <t>COOKER 1 CIPS FLOW</t>
  </si>
  <si>
    <t>0 - 300 GPM</t>
  </si>
  <si>
    <t>RL7-TNK-101-FIT-01</t>
  </si>
  <si>
    <t>BREDDO MIXER WATER SUPPLY FLOW</t>
  </si>
  <si>
    <t>RL7-CKR-102-FIT-01</t>
  </si>
  <si>
    <t>COOKER 2 JHWS FLOW</t>
  </si>
  <si>
    <t>RL7-CKR-102-TVI-01</t>
  </si>
  <si>
    <t>COOKER 2 JHWR CONTROL VALVE POSITION FEEDBACK</t>
  </si>
  <si>
    <t>RL7-CKR-102-FIT-02</t>
  </si>
  <si>
    <t>COOKER 2 CIPS FLOW</t>
  </si>
  <si>
    <t>RL7-AGC-201-FIT-01</t>
  </si>
  <si>
    <t>DISCHARGE AUGER CART JHWS FLOW</t>
  </si>
  <si>
    <t>RL7-AGC-201-TVI-01</t>
  </si>
  <si>
    <t>DISCHARGE AUGER CART JHWR CONTROL VALVE POSITION FEEBACK</t>
  </si>
  <si>
    <t>RL7-CKR-101-TCV-101</t>
  </si>
  <si>
    <t>COOKER 1 HPS CONTROL VALVE</t>
  </si>
  <si>
    <t>4-20 mA AO</t>
  </si>
  <si>
    <t>5069-OF8</t>
  </si>
  <si>
    <t>RL7-CKR-101-TCV-01</t>
  </si>
  <si>
    <t>COOKER 1 JHWR CONTROL VALVE</t>
  </si>
  <si>
    <t>RL7-CKR-101-FCV-02</t>
  </si>
  <si>
    <t>COOKER 1 CONTROL VALVE</t>
  </si>
  <si>
    <t>RL7-TNK-101-FCV-01</t>
  </si>
  <si>
    <t>RL7-CKR-102-TCV-101</t>
  </si>
  <si>
    <t>COOKER 2 HPS CONTROL VALVE</t>
  </si>
  <si>
    <t>RL7-CKR-102-TCV-01</t>
  </si>
  <si>
    <t>COOKER 2 JHWR CONTROL VALVE</t>
  </si>
  <si>
    <t>RL7-CKR-102-FCV-02</t>
  </si>
  <si>
    <t>COOKER 2 CONTROL VALVE</t>
  </si>
  <si>
    <t>RL7-AGC-201-TCV-01</t>
  </si>
  <si>
    <t>DISCHARGE AUGER CART JHWR CONTROL VALVE</t>
  </si>
  <si>
    <t>RL7-MLT-107.M1</t>
  </si>
  <si>
    <t>COOKER 1 COLUMN DUMPER ENABLE</t>
  </si>
  <si>
    <t>MCC</t>
  </si>
  <si>
    <t>RL7-MLT-108.M1</t>
  </si>
  <si>
    <t>COOKER 2 COLUMN DUMPER ENABLE</t>
  </si>
  <si>
    <t>RL7-MLT-104.M1</t>
  </si>
  <si>
    <t>FRESH AUGER CART 1 DUMPER ENABLE</t>
  </si>
  <si>
    <t>DG7011</t>
  </si>
  <si>
    <t>RL7-MLT-105.M1</t>
  </si>
  <si>
    <t>FRESH AUGER CART 2 DUMPER ENABLE</t>
  </si>
  <si>
    <t>RL7-GRR-101.M1</t>
  </si>
  <si>
    <t>GRINDER MOTOR ENABLE</t>
  </si>
  <si>
    <t>DG7004</t>
  </si>
  <si>
    <t>RL7-CNV-114.M2</t>
  </si>
  <si>
    <t>INCLINE PIVOT AUGER 1 HYDRAULIC PUMP ENABLE</t>
  </si>
  <si>
    <t>DG7003</t>
  </si>
  <si>
    <t>RL7-CNV-106.M2</t>
  </si>
  <si>
    <t>INCLINE PIVOT AUGER 2 HYDRAULIC PUMP ENABLE</t>
  </si>
  <si>
    <t>RL7-CNV-107.M2</t>
  </si>
  <si>
    <t>INCLINE PIVOT AUGER 3 HYDRAULIC PUMP ENABLE</t>
  </si>
  <si>
    <t>DG6809</t>
  </si>
  <si>
    <t>RL7-DRM-101.M1</t>
  </si>
  <si>
    <t>BREDDO DUMPER ENABLE</t>
  </si>
  <si>
    <t>RL7-MLT-106.M1</t>
  </si>
  <si>
    <t>PRE-MIXER COLUMN DUMPER</t>
  </si>
  <si>
    <t>DG7012</t>
  </si>
  <si>
    <t>RL7-LINE-PB-01</t>
  </si>
  <si>
    <t>ROLL LINE E-STOP PB SAFETY INPUT CH1</t>
  </si>
  <si>
    <t>24 VDC SI</t>
  </si>
  <si>
    <t>5069-IB8S</t>
  </si>
  <si>
    <t>ROLL LINE E-STOP PB SAFETY INPUT CH2</t>
  </si>
  <si>
    <t>RL7-SKD-201-ZSO-14</t>
  </si>
  <si>
    <t>SERPENTINE CLEAN ASSIST FOAMING HEADER CA SUPPLY OPEN LIMIT SWITCH</t>
  </si>
  <si>
    <t>DG7602</t>
  </si>
  <si>
    <t>RL7-INTSL-RIO2</t>
  </si>
  <si>
    <t>RL7-SKD-201-ZSC-14</t>
  </si>
  <si>
    <t>SERPENTINE CLEAN ASSIST FOAMING HEADER CA SUPPLY CLOSED LIMIT SWITCH</t>
  </si>
  <si>
    <t>RL7-SKD-201-ZSO-02</t>
  </si>
  <si>
    <t>SERPENTINE CLEAN ASSIST PHW PAN RINSE ZONE 1A OPEN LIMIT SWITCH</t>
  </si>
  <si>
    <t>RL7-SKD-201-ZSC-02</t>
  </si>
  <si>
    <t>SERPENTINE CLEAN ASSIST PHW PAN RINSE ZONE 1A CLOSED LIMIT SWITCH</t>
  </si>
  <si>
    <t>RL7-SKD-201-ZSO-03</t>
  </si>
  <si>
    <t>SERPENTINE CLEAN ASSIST PHW PAN RINSE ZONE 1B OPEN LIMIT SWITCH</t>
  </si>
  <si>
    <t>RL7-SKD-201-ZSC-03</t>
  </si>
  <si>
    <t>SERPENTINE CLEAN ASSIST PHW PAN RINSE ZONE 1B CLOSED LIMIT SWITCH</t>
  </si>
  <si>
    <t>RL7-SKD-201-ZSO-04</t>
  </si>
  <si>
    <t>SERPENTINE CLEAN ASSIST PHW PAN RINSE ZONE 2A OPEN LIMIT SWITCH</t>
  </si>
  <si>
    <t>RL7-SKD-201-ZSC-04</t>
  </si>
  <si>
    <t>SERPENTINE CLEAN ASSIST PHW PAN RINSE ZONE 2A CLOSED LIMIT SWITCH</t>
  </si>
  <si>
    <t>RL7-SKD-201-ZSO-05</t>
  </si>
  <si>
    <t>SERPENTINE CLEAN ASSIST PHW PAN RINSE ZONE 2B OPEN LIMIT SWITCH</t>
  </si>
  <si>
    <t>RL7-SKD-201-ZSC-05</t>
  </si>
  <si>
    <t>SERPENTINE CLEAN ASSIST PHW PAN RINSE ZONE 2B CLOSED LIMIT SWITCH</t>
  </si>
  <si>
    <t>RL7-SKD-201-ZSO-06</t>
  </si>
  <si>
    <t>SERPENTINE CLEAN ASSIST PHW PAN RINSE ZONE 2C OPEN LIMIT SWITCH</t>
  </si>
  <si>
    <t>RL7-SKD-201-ZSC-06</t>
  </si>
  <si>
    <t>SERPENTINE CLEAN ASSIST PHW PAN RINSE ZONE 2C CLOSED LIMIT SWITCH</t>
  </si>
  <si>
    <t>RL7-SKD-201-ZSO-07</t>
  </si>
  <si>
    <t>SERPENTINE CLEAN ASSIST PHW PAN RINSE ZONE 2D OPEN LIMIT SWITCH</t>
  </si>
  <si>
    <t>RL7-SKD-201-ZSC-07</t>
  </si>
  <si>
    <t>SERPENTINE CLEAN ASSIST PHW PAN RINSE ZONE 2D CLOSED LIMIT SWITCH</t>
  </si>
  <si>
    <t>RL7-SKD-201-ZSO-08</t>
  </si>
  <si>
    <t>SERPENTINE CLEAN ASSIST PHW PAN RINSE ZONE 2E OPEN LIMIT SWITCH</t>
  </si>
  <si>
    <t>RL7-SKD-201-ZSC-08</t>
  </si>
  <si>
    <t>SERPENTINE CLEAN ASSIST PHW PAN RINSE ZONE 2E CLOSED LIMIT SWITCH</t>
  </si>
  <si>
    <t>RL7-SKD-201-ZSO-09</t>
  </si>
  <si>
    <t>SERPENTINE CLEAN ASSIST PHW PAN RINSE ZONE 2F OPEN LIMIT SWITCH</t>
  </si>
  <si>
    <t>RL7-SKD-201-ZSC-09</t>
  </si>
  <si>
    <t>SERPENTINE CLEAN ASSIST PHW PAN RINSE ZONE 2F CLOSED LIMIT SWITCH</t>
  </si>
  <si>
    <t>RL7-SKD-201-ZSO-10</t>
  </si>
  <si>
    <t>SERPENTINE CLEAN ASSIST PHW END WALLS RINSE OPEN LIMIT SWITCH</t>
  </si>
  <si>
    <t>RL7-SKD-201-ZSC-10</t>
  </si>
  <si>
    <t>SERPENTINE CLEAN ASSIST PHW END WALLS RINSE CLOSED LIMIT SWITCH</t>
  </si>
  <si>
    <t>RL7-SKD-201-ZSO-11</t>
  </si>
  <si>
    <t>SERPENTINE CLEAN ASSIST PHW CHAIN RINSE OPEN LIMIT SWITCH</t>
  </si>
  <si>
    <t>RL7-SKD-201-ZSC-11</t>
  </si>
  <si>
    <t>SERPENTINE CLEAN ASSIST PHW CHAIN RINSE CLOSED LIMIT SWITCH</t>
  </si>
  <si>
    <t>RL7-SKD-201-ZSO-12</t>
  </si>
  <si>
    <t>SERPENTINE CLEAN ASSIST FOAMING HEADER PCW SUPPLY OPEN LIMIT SWITCH</t>
  </si>
  <si>
    <t>RL7-SKD-201-ZSC-12</t>
  </si>
  <si>
    <t>SERPENTINE CLEAN ASSIST FOAMING HEADER PCW SUPPLY CLOSED LIMIT SWITCH</t>
  </si>
  <si>
    <t>RL7-SKD-201-ZSO-13</t>
  </si>
  <si>
    <t>SERPENTINE CLEAN ASSIST FOAMING HEADER FOAM SUPPLY OPEN LIMIT SWITCH</t>
  </si>
  <si>
    <t>RL7-SKD-201-ZSC-13</t>
  </si>
  <si>
    <t>SERPENTINE CLEAN ASSIST FOAMING HEADER FOAM SUPPLY CLOSED LIMIT SWITCH</t>
  </si>
  <si>
    <t>RL7-SKD-201-ZSO-15</t>
  </si>
  <si>
    <t>SERPENTINE CLEAN ASSIST PCW BASIN RINSE VALVE OPEN LIMIT SWITCH</t>
  </si>
  <si>
    <t>RL7-SKD-201-ZSC-15</t>
  </si>
  <si>
    <t>SERPENTINE CLEAN ASSIST PCW BASIN RINSE VALVE CLOSED LIMIT SWITCH</t>
  </si>
  <si>
    <t>RL7-CHR-201-ZSO-03</t>
  </si>
  <si>
    <t>SERPENTINE ZONE 1 MAKEUP WATER VALVE OPEN LIMIT SWITCH</t>
  </si>
  <si>
    <t>DG7033</t>
  </si>
  <si>
    <t>RL7-CHR-201-ZSC-03</t>
  </si>
  <si>
    <t>SERPENTINE ZONE 1 MAKEUP WATER VALVE CLOSED LIMIT SWITCH</t>
  </si>
  <si>
    <t>RL7-CHR-201-ZSO-04</t>
  </si>
  <si>
    <t>SERPENTINE ZONE 2A MAKEUP WATER VALVE OPEN LIMIT SWITCH</t>
  </si>
  <si>
    <t>RL7-CHR-201-ZSC-04</t>
  </si>
  <si>
    <t>SERPENTINE ZONE 2A MAKEUP WATER VALVE CLOSED LIMIT SWITCH</t>
  </si>
  <si>
    <t>RL7-SKD-102-ZSO-01</t>
  </si>
  <si>
    <t>COOKER 1 LACTIC ACID SUPPLY VALVE OPEN LIMIT SWITCH</t>
  </si>
  <si>
    <t>RL7-SKD-102-ZSC-01</t>
  </si>
  <si>
    <t>COOKER 1 LACTIC ACID SUPPLY VALVE CLOSE LIMIT SWITCH</t>
  </si>
  <si>
    <t>RL7-SKD-102-ZSO-02</t>
  </si>
  <si>
    <t>COOKER 2 LACTIC ACID SUPPLY VALVE OPEN LIMIT SWITCH</t>
  </si>
  <si>
    <t>RL7-SKD-102-ZSC-02</t>
  </si>
  <si>
    <t>COOKER 2 LACTIC ACID SUPPLY VALVE CLOSE LIMIT SWITCH</t>
  </si>
  <si>
    <t>RL7-HTX-201A-LS-01</t>
  </si>
  <si>
    <t>SHELL &amp; TUBE CHILLER A NH3 LOW LEVEL SWITCH</t>
  </si>
  <si>
    <t>R7011</t>
  </si>
  <si>
    <t>RL7-HTX-ABC-YS-01</t>
  </si>
  <si>
    <t>CHILLERS A,B, &amp; C VALVE CONTROL POWER STATUS OK</t>
  </si>
  <si>
    <t>N/A</t>
  </si>
  <si>
    <t>RL7-HTX-201A-LS-02</t>
  </si>
  <si>
    <t>SHELL &amp; TUBE CHILLER A BACKUP OPERATING NH3 LEVEL SWITCH</t>
  </si>
  <si>
    <t>RL7-CNV-204-PB-02</t>
  </si>
  <si>
    <t>CHILLING PAUSE BUTTON</t>
  </si>
  <si>
    <t>DG7032</t>
  </si>
  <si>
    <t>CHILL</t>
  </si>
  <si>
    <t>RL7-SKD-201-XY-05</t>
  </si>
  <si>
    <t>SERPENTINE CLEAN ASSIST PHW PAN RINSE ZONE 2B VALVE OPEN SOLENOID</t>
  </si>
  <si>
    <t>RL7-SKD-201-XY-06</t>
  </si>
  <si>
    <t>SERPENTINE CLEAN ASSIST PHW PAN RINSE ZONE 2C VALVE OPEN SOLENOID</t>
  </si>
  <si>
    <t>RL7-SKD-201-XY-07</t>
  </si>
  <si>
    <t>SERPENTINE CLEAN ASSIST PHW PAN RINSE ZONE 2D VALVE OPEN SOLENOID</t>
  </si>
  <si>
    <t>RL7-SKD-201-XY-08</t>
  </si>
  <si>
    <t>SERPENTINE CLEAN ASSIST PHW PAN RINSE ZONE 2E VALVE OPEN SOLENOID</t>
  </si>
  <si>
    <t>RL7-SKD-201-XY-09</t>
  </si>
  <si>
    <t>SERPENTINE CLEAN ASSIST PHW PAN RINSE ZONE 2F VALVE OPEN SOLENOID</t>
  </si>
  <si>
    <t>RL7-SKD-201-XY-10</t>
  </si>
  <si>
    <t>SERPENTINE CLEAN ASSIST PHW END WALLS RINSE VALVE OPEN SOLENOID</t>
  </si>
  <si>
    <t>RL7-SKD-201-XY-11</t>
  </si>
  <si>
    <t>SERPENTINE CLEAN ASSIST PHW CHAIN RINSE VALVE OPEN SOLENOID</t>
  </si>
  <si>
    <t>RL7-SKD-201-XV-02</t>
  </si>
  <si>
    <t>SERPENTINE CLEAN ASSIST PHW PAN RINSE ZONE 1A VALVE OPEN SOLENOID</t>
  </si>
  <si>
    <t>RL7-SKD-201-XY-03</t>
  </si>
  <si>
    <t>SERPENTINE CLEAN ASSIST PHW PAN RINSE ZONE 1B VALVE OPEN SOLENOID</t>
  </si>
  <si>
    <t>RL7-SKD-201-XY-04</t>
  </si>
  <si>
    <t>SERPENTINE CLEAN ASSIST PHW PAN RINSE ZONE 2A VALVE OPEN SOLENOID</t>
  </si>
  <si>
    <t>RL7-SKD-201-XV-12</t>
  </si>
  <si>
    <t>SERPENTINE CLEAN ASSIST FOAMING HEADER PCW SUPPLY VALVE OPEN SOLENOID</t>
  </si>
  <si>
    <t>RL7-SKD-201-XV-13</t>
  </si>
  <si>
    <t>SERPENTINE CLEAN ASSIST FOAMING HEADER FOAM SUPPLY VALVE OPEN SOLENOID</t>
  </si>
  <si>
    <t>RL7-SKD-201-XV-14</t>
  </si>
  <si>
    <t>SERPENTINE CLEAN ASSIST FOAMING HEADER CA SUPPLY VALVE OPEN SOLENOID</t>
  </si>
  <si>
    <t>RL7-SKD-201-XV-15</t>
  </si>
  <si>
    <t>SERPENTINE CLEAN ASSIST PCW BASIN RINSE VALVE OPEN SOLENOID</t>
  </si>
  <si>
    <t>RL7-HTX-101A-YS-01</t>
  </si>
  <si>
    <t>SHELL &amp; TUBE CHILLER A COOLANT SUPPLY VALVE OPEN SOLENOID</t>
  </si>
  <si>
    <t>RL7-HTX-101A-YS-02</t>
  </si>
  <si>
    <t>SHELL &amp; TUBE CHILLER A COOLANT RETURN VALVE OPEN SOLENOID</t>
  </si>
  <si>
    <t>RL7-HTX-101A-YS-03</t>
  </si>
  <si>
    <t>SHELL &amp; TUBE CHILLER A HOT GAS SUPPLY VALVE OPEN SOLENOID</t>
  </si>
  <si>
    <t>RL7-HTX-101A-YS-04</t>
  </si>
  <si>
    <t>SHELL &amp; TUBE CHILLER A PUMP OUT SUPPLY VALVE OPEN SOLENOID</t>
  </si>
  <si>
    <t>RL7-HTX-101B-YS-01</t>
  </si>
  <si>
    <t>FALLING FILM CHILLER B COOLANT SUPPLY VALVE OPEN SOLENOID</t>
  </si>
  <si>
    <t>RL7-HTX-101B-YS-02</t>
  </si>
  <si>
    <t>FALLING FILM CHILLER B COOLANT RETURN VALVE OPEN SOLENOID</t>
  </si>
  <si>
    <t>RL7-HTX-101C-YS-01</t>
  </si>
  <si>
    <t>FALLING FILM CHILLER C COOLANT SUPPLY VALVE OPEN SOLENOID</t>
  </si>
  <si>
    <t>RL7-HTX-101C-YS-02</t>
  </si>
  <si>
    <t>FALLING FILM CHILLER C COOLANT RETURN VALVE OPEN SOLENOID</t>
  </si>
  <si>
    <t>RL7-SKD-102-XV-01</t>
  </si>
  <si>
    <t>COOKER 1 LACTIC ACID SUPPLY VALVE OPEN SOLENOID</t>
  </si>
  <si>
    <t>RL7-SKD-102-XV-02</t>
  </si>
  <si>
    <t>COOKER 2 LACTIC ACID SUPPLY VALVE OPEN SOLENOID</t>
  </si>
  <si>
    <t>RL7-CHR-201-XV-03</t>
  </si>
  <si>
    <t>SERPENTINE ZONE 1 MAKEUP WATER VALVE OPEN SOLENOID</t>
  </si>
  <si>
    <t>RL7-CHR-201-XV-04</t>
  </si>
  <si>
    <t>SERPENTINE ZONE 2A MAKEUP WATER VALVE OPEN SOLENOID</t>
  </si>
  <si>
    <t>SHELL &amp; TUBE CHILLER A NH3 LEVEL</t>
  </si>
  <si>
    <t>RL7-HTX-101A-TIT-02</t>
  </si>
  <si>
    <t>SHELL &amp; TUBE CHILLER A OUTLET TEMPERATURE</t>
  </si>
  <si>
    <t>RL7-HTX-101B-TIT-02</t>
  </si>
  <si>
    <t>FALLING FILM CHILLER B OUTLET TEMPERATURE</t>
  </si>
  <si>
    <t>RL7-HTX-101C-TIT-02</t>
  </si>
  <si>
    <t>FALLING FILM CHILLER C OUTLET TEMPERATURE</t>
  </si>
  <si>
    <t>RL7-HTX-101A-TIT-01</t>
  </si>
  <si>
    <t>SHELL &amp; TUBE CHILLER A INLET TEMPERATURE</t>
  </si>
  <si>
    <t xml:space="preserve"> (-50 to 150 C)</t>
  </si>
  <si>
    <t>RL7-HTX-101A-TT-01</t>
  </si>
  <si>
    <t>RL7-HTX-101B-TIT-01</t>
  </si>
  <si>
    <t>FALLING FILM CHILLER B INLET TEMPERATURE</t>
  </si>
  <si>
    <t>RL7-HTX-101B-TT-01</t>
  </si>
  <si>
    <t>RL7-HTX-101C-TIT-01</t>
  </si>
  <si>
    <t>FALLING FILM CHILLER C INLET TEMPERATURE</t>
  </si>
  <si>
    <t>RL7-CHR-201-FVI-01</t>
  </si>
  <si>
    <t>SERPENTINE ZONE 1 FLOW CONTROL VALVE POSITION FEEDBACK</t>
  </si>
  <si>
    <t>HX / LA</t>
  </si>
  <si>
    <t>RL7-CHR-201-FVI-02</t>
  </si>
  <si>
    <t>SERPENTINE ZONE 2A PCW FLOW CONTROL VALVE POSITION FEEDBACK</t>
  </si>
  <si>
    <t>RL7-SKD-102-PIT-02</t>
  </si>
  <si>
    <t>LACTIC ACID SKID PUMP DISCHARGE PRESSURE</t>
  </si>
  <si>
    <t>DG7604</t>
  </si>
  <si>
    <t>RL7-SKD-102-FIT-01</t>
  </si>
  <si>
    <t>COOKER 1 LACTIC ACID FLOW</t>
  </si>
  <si>
    <t>RL7-SKD-102-FIT-02</t>
  </si>
  <si>
    <t>COOKER 2 LACTIC ACID FLOW</t>
  </si>
  <si>
    <t>RL7-PMP-208-FVl-01</t>
  </si>
  <si>
    <t>COOLING WATER JACKET CHR CONTROL VALVE POSITION FEEDBACK</t>
  </si>
  <si>
    <t>DG7030</t>
  </si>
  <si>
    <t>RL7-CHR-201-FCV-01</t>
  </si>
  <si>
    <t>SERPENTINE ZONE 1 PCW CONTROL VALVE</t>
  </si>
  <si>
    <t>RL7-CHR-201-FCV-02</t>
  </si>
  <si>
    <t>SERPENTINE ZONE 2 PCW CONTROL VALVE</t>
  </si>
  <si>
    <t>RL7-HTX-101A-CV-01E</t>
  </si>
  <si>
    <t>SHELL &amp; TUBE CHILLER A COOLANT SUPPLY MOTOR OPERATED VALVE</t>
  </si>
  <si>
    <t>RL7-PMP-208-FCV-01</t>
  </si>
  <si>
    <t>COOLING WATER JACKET CHR CONTROL VALVE</t>
  </si>
  <si>
    <t>RL7-HTX-201A-CVI-01E</t>
  </si>
  <si>
    <t>SHELL &amp; TUBE CHILLER A COOLANT SUPPLY MOV POSITION FEEDBACK</t>
  </si>
  <si>
    <t>I/V/T AI</t>
  </si>
  <si>
    <t>5069-IY4</t>
  </si>
  <si>
    <t>I/O TOTALS</t>
  </si>
  <si>
    <t>---------</t>
  </si>
  <si>
    <t>------------</t>
  </si>
  <si>
    <t>COMPLETED</t>
  </si>
  <si>
    <t>24 VDC SO</t>
  </si>
  <si>
    <t>TOTAL</t>
  </si>
  <si>
    <t>% COMPLETE</t>
  </si>
  <si>
    <t>% REMAINING</t>
  </si>
  <si>
    <t>PROCESSING</t>
  </si>
  <si>
    <t>RL7 TOTAL</t>
  </si>
  <si>
    <t>CHILLING</t>
  </si>
  <si>
    <t>INTERSTITIAL</t>
  </si>
  <si>
    <t>HEAT EXCHANGER / LACTIC ACID</t>
  </si>
  <si>
    <t>BUCKET</t>
  </si>
  <si>
    <t>EQUIP ID</t>
  </si>
  <si>
    <t>BUCKET TYPE</t>
  </si>
  <si>
    <t>REVIT FAMILY</t>
  </si>
  <si>
    <t>FAMILY TYPE</t>
  </si>
  <si>
    <t>SF</t>
  </si>
  <si>
    <t>MOTOR HP</t>
  </si>
  <si>
    <t>STARTER HP RATING</t>
  </si>
  <si>
    <t>VFD AMP RATING</t>
  </si>
  <si>
    <t>STARTER SIZE</t>
  </si>
  <si>
    <t>CB TRIP</t>
  </si>
  <si>
    <t>CB FRAME</t>
  </si>
  <si>
    <t>FUSE TRIP</t>
  </si>
  <si>
    <t>CABLE</t>
  </si>
  <si>
    <t>SECTION</t>
  </si>
  <si>
    <t>START UNIT</t>
  </si>
  <si>
    <t>START INDEX</t>
  </si>
  <si>
    <t>SIZE</t>
  </si>
  <si>
    <t>UNITS USED</t>
  </si>
  <si>
    <t>END INDEX</t>
  </si>
  <si>
    <t>FEEDER
PULLED</t>
  </si>
  <si>
    <t>FEEDER
TERMED</t>
  </si>
  <si>
    <t>MOTOR
BUMPED</t>
  </si>
  <si>
    <t>AUX POINT TO POINT</t>
  </si>
  <si>
    <t>AUX 
I/O CHECK</t>
  </si>
  <si>
    <t>COMMS
PULLED</t>
  </si>
  <si>
    <t>COMMS
TERMED</t>
  </si>
  <si>
    <t>COMMS
TESTED</t>
  </si>
  <si>
    <t>COMMS
TAGGED</t>
  </si>
  <si>
    <t>COMMS CONFIG</t>
  </si>
  <si>
    <t>COMMS
GOOD</t>
  </si>
  <si>
    <t>R4-4MCC05</t>
  </si>
  <si>
    <t>01A</t>
  </si>
  <si>
    <t>MAIN</t>
  </si>
  <si>
    <t>INCOMING MCB</t>
  </si>
  <si>
    <t>Oneline_MCC</t>
  </si>
  <si>
    <t>MCC_MB-Bus2</t>
  </si>
  <si>
    <t>01E</t>
  </si>
  <si>
    <t>R4-MCC5-PM</t>
  </si>
  <si>
    <t>POWERMONITOR 5000 W/ ETHERNET</t>
  </si>
  <si>
    <t>PM</t>
  </si>
  <si>
    <t>Graphics_Power-Meter</t>
  </si>
  <si>
    <t>01H</t>
  </si>
  <si>
    <t>6" SPACE</t>
  </si>
  <si>
    <t>SPACE</t>
  </si>
  <si>
    <t>Oneline_Feeder_Panel</t>
  </si>
  <si>
    <t>Feeder_Space</t>
  </si>
  <si>
    <t>01J</t>
  </si>
  <si>
    <t>RL4-MCC5-1J.PS1</t>
  </si>
  <si>
    <t>ETHERNET SWITCH POWER SUPPLY</t>
  </si>
  <si>
    <t>ENET_PS</t>
  </si>
  <si>
    <t>Oneline_Ensw_Power_Supply</t>
  </si>
  <si>
    <t>PS_1Ckt-External-Power</t>
  </si>
  <si>
    <t>01L</t>
  </si>
  <si>
    <t>RL4-MCC5-1L.SW1</t>
  </si>
  <si>
    <t>ETHERNET SWITCH 1 (20-PORT)</t>
  </si>
  <si>
    <t>ENET</t>
  </si>
  <si>
    <t>Oneline_Ensw</t>
  </si>
  <si>
    <t>Switch_20-Port</t>
  </si>
  <si>
    <t>02A</t>
  </si>
  <si>
    <t>R4-BRS-MIX1</t>
  </si>
  <si>
    <t>BRS-MIX TANK MIXER</t>
  </si>
  <si>
    <t>VFD_PF525</t>
  </si>
  <si>
    <t>Oneline_Motor</t>
  </si>
  <si>
    <t>Motor_VFD-w-Fuse-Line-Load-Filt</t>
  </si>
  <si>
    <t>02E</t>
  </si>
  <si>
    <t>R4-BRS-MIX2</t>
  </si>
  <si>
    <t>BRS-HOLD TANK A MIXER</t>
  </si>
  <si>
    <t>02J</t>
  </si>
  <si>
    <t>R4-BRS-MIX3</t>
  </si>
  <si>
    <t>BRS-HOLD TANK B MIXER</t>
  </si>
  <si>
    <t>03A</t>
  </si>
  <si>
    <t>R4-BRS-PMP 1</t>
  </si>
  <si>
    <t>BRS-MIX TANK PUMP</t>
  </si>
  <si>
    <t>03F</t>
  </si>
  <si>
    <t>R4-BRS-PMP2</t>
  </si>
  <si>
    <t>BRS-HOLD TANK A PUMP</t>
  </si>
  <si>
    <t>03L</t>
  </si>
  <si>
    <t>12" SPACE</t>
  </si>
  <si>
    <t>04A</t>
  </si>
  <si>
    <t>R4-BRS-PMP3</t>
  </si>
  <si>
    <t>BRS-HOLD TANK B PUMP</t>
  </si>
  <si>
    <t>04F</t>
  </si>
  <si>
    <t>R4-BRS-PMP4</t>
  </si>
  <si>
    <t>BRS-HOLD TANK C PUMP</t>
  </si>
  <si>
    <t>04L</t>
  </si>
  <si>
    <t>R4-FRH-LFT1</t>
  </si>
  <si>
    <t>FORMNG HEAD 1 LIFT CTRL PANEL 1</t>
  </si>
  <si>
    <t>FEEDER</t>
  </si>
  <si>
    <t>Feeder_Panel</t>
  </si>
  <si>
    <t>05A</t>
  </si>
  <si>
    <t>R4-BRS-MIX 4</t>
  </si>
  <si>
    <t>BRS-HOLD TANK C MIXER</t>
  </si>
  <si>
    <t>05E</t>
  </si>
  <si>
    <t>R4-BRS-PMP5</t>
  </si>
  <si>
    <t>PUMP PROCESS 2 - 7GPM</t>
  </si>
  <si>
    <t>05J</t>
  </si>
  <si>
    <t>R4-BTH-CVN1</t>
  </si>
  <si>
    <t>DIPPING BATH CVN DRM MOTOR 1</t>
  </si>
  <si>
    <t>06A</t>
  </si>
  <si>
    <t>R4-FRH-CTB1</t>
  </si>
  <si>
    <t xml:space="preserve"> FORMING HEAD CUTTING BLADE 1</t>
  </si>
  <si>
    <t>06F</t>
  </si>
  <si>
    <t xml:space="preserve">12" SPACE </t>
  </si>
  <si>
    <t>06H</t>
  </si>
  <si>
    <t>06J</t>
  </si>
  <si>
    <t>R4-BTH-CVN2</t>
  </si>
  <si>
    <t>DIPPING BATH CVN DRM MOTOR 2</t>
  </si>
  <si>
    <t>07A</t>
  </si>
  <si>
    <t>R4-FRH-CTB2</t>
  </si>
  <si>
    <t xml:space="preserve"> FORMING HEAD CUTTING BLADE 2</t>
  </si>
  <si>
    <t>07F</t>
  </si>
  <si>
    <t>VFD - 10HP</t>
  </si>
  <si>
    <t>07L</t>
  </si>
  <si>
    <t>R4-FRH-LFT2</t>
  </si>
  <si>
    <t>FORMING HEAD 2 LIFT CTRL PANEL 2</t>
  </si>
  <si>
    <t>08A</t>
  </si>
  <si>
    <t>R4-BTH-PMP1</t>
  </si>
  <si>
    <t>DIPPING BATH RECIRC PUMP</t>
  </si>
  <si>
    <t>08F</t>
  </si>
  <si>
    <t>R4-BTH-PMP2</t>
  </si>
  <si>
    <t>08L</t>
  </si>
  <si>
    <t>ETHERNET SWITCH 2 (20-PORT)</t>
  </si>
  <si>
    <t>09A</t>
  </si>
  <si>
    <t>R4-BTH-PWR1</t>
  </si>
  <si>
    <t>DIPPING BATH RAIL 1</t>
  </si>
  <si>
    <t>09E</t>
  </si>
  <si>
    <t>R4-BTH-PWR2</t>
  </si>
  <si>
    <t>DIPPING BATH RAIL 2</t>
  </si>
  <si>
    <t>09J</t>
  </si>
  <si>
    <t>R4-BTH-PWR3</t>
  </si>
  <si>
    <t>DIPPING BATH RAIL 3</t>
  </si>
  <si>
    <t>10A</t>
  </si>
  <si>
    <t>R4-BTH-PWR4</t>
  </si>
  <si>
    <t>DIPPING BATH RAIL 4</t>
  </si>
  <si>
    <t>10E</t>
  </si>
  <si>
    <t>R4-BRS-FDR1</t>
  </si>
  <si>
    <t>SALT FEEDER AUGER</t>
  </si>
  <si>
    <t>10J</t>
  </si>
  <si>
    <t>R4-BRS-AGT1</t>
  </si>
  <si>
    <t>SALT FEEDER AGITATOR</t>
  </si>
  <si>
    <t>11A</t>
  </si>
  <si>
    <t>VFD - 5HP</t>
  </si>
  <si>
    <t>11E</t>
  </si>
  <si>
    <t>30" SPACE</t>
  </si>
  <si>
    <t>11K</t>
  </si>
  <si>
    <t>11L</t>
  </si>
  <si>
    <t>12A</t>
  </si>
  <si>
    <t>12F</t>
  </si>
  <si>
    <t>12L</t>
  </si>
  <si>
    <t>AAIM-BWT-PMP1</t>
  </si>
  <si>
    <t>AAIM WATER SKID RECIRC PUMP</t>
  </si>
  <si>
    <t>FVNR_E300</t>
  </si>
  <si>
    <t>Motor_FVNR</t>
  </si>
  <si>
    <t>EQUIPMENT ID</t>
  </si>
  <si>
    <t>TYPE</t>
  </si>
  <si>
    <t>EQUIPMENT DESCRIPTION</t>
  </si>
  <si>
    <t>LOCATION</t>
  </si>
  <si>
    <t>MOUNTING</t>
  </si>
  <si>
    <t>LINE</t>
  </si>
  <si>
    <t>UPS PANEL_CKT</t>
  </si>
  <si>
    <t>CKT PULLED</t>
  </si>
  <si>
    <t>CKT TERMED</t>
  </si>
  <si>
    <t>PANEL / DEVICE ENERGIZED</t>
  </si>
  <si>
    <t>COMMS
CONFIG</t>
  </si>
  <si>
    <t>RL7-BINA-RIO1</t>
  </si>
  <si>
    <t>RIO</t>
  </si>
  <si>
    <t>SURGE BINS 1 &amp; 2 RIO</t>
  </si>
  <si>
    <t>GRINDING AND COOKING</t>
  </si>
  <si>
    <t>PLATFORM</t>
  </si>
  <si>
    <t>LINE 7</t>
  </si>
  <si>
    <t>RL7-BINB-RIO1</t>
  </si>
  <si>
    <t>SURGE BINS 3 &amp; 4 RIO</t>
  </si>
  <si>
    <t>RL7-BINS-HMI1</t>
  </si>
  <si>
    <t>HMI</t>
  </si>
  <si>
    <t>SURGE BINS PLATFORM HMI</t>
  </si>
  <si>
    <t>RL7-BRED-RIO1</t>
  </si>
  <si>
    <t>BREDDO MIXER RIO</t>
  </si>
  <si>
    <t>RL7-BRED-HMI1</t>
  </si>
  <si>
    <t>BREDDO MIXER HMI</t>
  </si>
  <si>
    <t>RL7-BRED-QR1</t>
  </si>
  <si>
    <t>QR</t>
  </si>
  <si>
    <t>BREDDO MIXER PLATFORM QR SCANNER</t>
  </si>
  <si>
    <t>RL7-BRED-QR2</t>
  </si>
  <si>
    <t>BREDDO DUMPER QR SCANNER</t>
  </si>
  <si>
    <t>RL7-CIP-HMI1</t>
  </si>
  <si>
    <t>CIP SKID HMI</t>
  </si>
  <si>
    <t>CIP</t>
  </si>
  <si>
    <t>WALL</t>
  </si>
  <si>
    <t>RL7-CKR1-RIO1</t>
  </si>
  <si>
    <t>COOKER 1 RIO</t>
  </si>
  <si>
    <t>EQUIPMENT</t>
  </si>
  <si>
    <t>RL7-CKR1-HMI1</t>
  </si>
  <si>
    <t>COOKER 1 HMI</t>
  </si>
  <si>
    <t>RL7-CKR1-QR1</t>
  </si>
  <si>
    <t>COOKER 1 QR SCANNER</t>
  </si>
  <si>
    <t>RL7-CKR2-RIO1</t>
  </si>
  <si>
    <t>COOKER 2 RIO</t>
  </si>
  <si>
    <t>RL7-CKR2-HMI1</t>
  </si>
  <si>
    <t>COOKER 2 HMI</t>
  </si>
  <si>
    <t>RL7-CKR2-QR1</t>
  </si>
  <si>
    <t>COOKER 2 QR SCANNER</t>
  </si>
  <si>
    <t>RL7-DAGC1-RIO1</t>
  </si>
  <si>
    <t>DISCHARGE AUGER CART</t>
  </si>
  <si>
    <t>FILLING AND CHILLING</t>
  </si>
  <si>
    <t>RL7-FAGC1-RIO1</t>
  </si>
  <si>
    <t>FRESH AUGER CART 1 RIO</t>
  </si>
  <si>
    <t>RL7-FAGC2-RIO1</t>
  </si>
  <si>
    <t>FRESH AUGER CART 2 RIO</t>
  </si>
  <si>
    <t>RL7-FAGC-HMI1</t>
  </si>
  <si>
    <t>FRESH AUGER CARTS HMI</t>
  </si>
  <si>
    <t>STAND</t>
  </si>
  <si>
    <t>RL7-FAGC-SCN1</t>
  </si>
  <si>
    <t>SCN</t>
  </si>
  <si>
    <t>FRESH AUGER CARTS BARCODE SCANNER</t>
  </si>
  <si>
    <t>RL7-GRR-RIO1</t>
  </si>
  <si>
    <t>FINISH GRINDER RIO</t>
  </si>
  <si>
    <t>RL7-INSTL-RIO1</t>
  </si>
  <si>
    <t>INTERSTITIAL RIO - GRINDING &amp; COOKING</t>
  </si>
  <si>
    <t>RL7 PROCESS CORRIDOR</t>
  </si>
  <si>
    <t>RL7-INSTL-RIO2</t>
  </si>
  <si>
    <t>INTERSTITIAL RIO - CHILLING &amp; PACKAGING</t>
  </si>
  <si>
    <t>RL7-LAS-HMI1</t>
  </si>
  <si>
    <t>LACTIC ACID SKID HMI</t>
  </si>
  <si>
    <t>HEAT EXCHANGE / LACTIC ACID</t>
  </si>
  <si>
    <t>RL7/8-LAS-SCN1</t>
  </si>
  <si>
    <t>LACTIC ACID SKID BARCODE SCANNER</t>
  </si>
  <si>
    <t>RL7-LAS-HMI1_CB10051</t>
  </si>
  <si>
    <t>SHARED SCANNER FOR RL7 &amp; RL8</t>
  </si>
  <si>
    <t>RL7-LAS-TSCL1</t>
  </si>
  <si>
    <t>TSCL</t>
  </si>
  <si>
    <t>LACTIC ACID SKID TABLE SCALE</t>
  </si>
  <si>
    <t>RL7-LINE-HMI1</t>
  </si>
  <si>
    <t>GRINDING AND COOKING AREA HMI'S</t>
  </si>
  <si>
    <t>FLOOR MOUNTED</t>
  </si>
  <si>
    <t>RL7-LINE-PLC</t>
  </si>
  <si>
    <t>PLC</t>
  </si>
  <si>
    <t>MAIN PLC CABINET</t>
  </si>
  <si>
    <t>UPPER LEVEL EAST-WEST CORRIDOR</t>
  </si>
  <si>
    <t>RL7-PRM-RIO1</t>
  </si>
  <si>
    <t>PRE-MIXER RIO</t>
  </si>
  <si>
    <t>RL7-PRM-HMI1</t>
  </si>
  <si>
    <t>PRE-MIXER HMI</t>
  </si>
  <si>
    <t>RL7-PRM-QR1</t>
  </si>
  <si>
    <t>PRE-MIXER QR SCANNER</t>
  </si>
  <si>
    <t>RL7-PRM-HMI1_CB10051</t>
  </si>
  <si>
    <t>RL7-PBK-RIO1</t>
  </si>
  <si>
    <t>GRINDING AREA</t>
  </si>
  <si>
    <t>RL7-PBK-HMI1</t>
  </si>
  <si>
    <t>FROZEN GRINDER</t>
  </si>
  <si>
    <t>RL7-PBK-SCN1</t>
  </si>
  <si>
    <t>FROZEN GRINDER BARCODE SCANNER</t>
  </si>
  <si>
    <t>RL7-PBK-HMI1_CB10049</t>
  </si>
  <si>
    <t>RL7-PBK-HMI2</t>
  </si>
  <si>
    <t>SURGE BINS PLATFORM</t>
  </si>
  <si>
    <t>RL7-PKOUT-HMI1</t>
  </si>
  <si>
    <t>PACKAGING HMI</t>
  </si>
  <si>
    <t>PACKAGING</t>
  </si>
  <si>
    <t>RL7-RWK-HMI1</t>
  </si>
  <si>
    <t>HOT REWORK HMI</t>
  </si>
  <si>
    <t>RL7-RWK-QR1</t>
  </si>
  <si>
    <t>HOT REWORK QR SCANNER</t>
  </si>
  <si>
    <t>RL7-RWK-HMI1_CB10060</t>
  </si>
  <si>
    <t>RL7-RWK-SCN1</t>
  </si>
  <si>
    <t>HOT REWORK BARCODE SCANNER</t>
  </si>
  <si>
    <t>RL7-RWK-HMI1_CB10064</t>
  </si>
  <si>
    <t>RL7-RWK-ZEB1</t>
  </si>
  <si>
    <t>ZEB</t>
  </si>
  <si>
    <t>HOT REWORK ZEBRA PRINTER</t>
  </si>
  <si>
    <t>RL7-RWK-HMI1_CB10058</t>
  </si>
  <si>
    <t>RL7-RWK-FSCL1</t>
  </si>
  <si>
    <t>FSCL</t>
  </si>
  <si>
    <t>HOT REWORK FLOOR SCALE</t>
  </si>
  <si>
    <t>RL7-RWK-HMI1_CB10014</t>
  </si>
  <si>
    <t>RL7-SERP-RIO1</t>
  </si>
  <si>
    <t>SERPENTINE RIO 1</t>
  </si>
  <si>
    <t>RL7-SERP-RIO2</t>
  </si>
  <si>
    <t>SERPENTINE RIO 2</t>
  </si>
  <si>
    <t>RL7-SERP-HMI1</t>
  </si>
  <si>
    <t>SERPENTINE HMI</t>
  </si>
  <si>
    <t>RL7-VEG-HMI1</t>
  </si>
  <si>
    <t>VEGGIE STATION HMI</t>
  </si>
  <si>
    <t>UPDATED TAG - INC -&gt; VEG</t>
  </si>
  <si>
    <t>RL7-VEG-QR1</t>
  </si>
  <si>
    <t>VEGGIE STATION QR SCANNER</t>
  </si>
  <si>
    <t>RL7-VEG-SCN1</t>
  </si>
  <si>
    <t>VEGGIE STATION BARCODE SCANNER</t>
  </si>
  <si>
    <t>RL7-VEG-ZEB1</t>
  </si>
  <si>
    <t>VEGGIE STATION ZEBRA PRINTER</t>
  </si>
  <si>
    <t>RL7-VEG-FSCL1</t>
  </si>
  <si>
    <t>VEGGIE STATION FLOOR SCALE</t>
  </si>
  <si>
    <t/>
  </si>
  <si>
    <t>RL8-BINA-RIO1</t>
  </si>
  <si>
    <t>LINE 8</t>
  </si>
  <si>
    <t>RL8-BINB-RIO1</t>
  </si>
  <si>
    <t>RL8-BINS-HMI1</t>
  </si>
  <si>
    <t>RL8-BRED-RIO1</t>
  </si>
  <si>
    <t>RL8-BRED-HMI1</t>
  </si>
  <si>
    <t>RL8-BRED-QR1</t>
  </si>
  <si>
    <t>RL8-BRED-QR2</t>
  </si>
  <si>
    <t>RL8-CIP-HMI1</t>
  </si>
  <si>
    <t>RL8-CKR1-RIO1</t>
  </si>
  <si>
    <t>RL8-CKR1-HMI1</t>
  </si>
  <si>
    <t>RL8-CKR1-QR1</t>
  </si>
  <si>
    <t>RL8-CKR2-RIO1</t>
  </si>
  <si>
    <t>RL8-CKR2-HMI1</t>
  </si>
  <si>
    <t>RL8-CKR2-QR1</t>
  </si>
  <si>
    <t>RL8-DAGC1-RIO1</t>
  </si>
  <si>
    <t>RL8-FAGC1-RIO1</t>
  </si>
  <si>
    <t>RL8-FAGC2-RIO1</t>
  </si>
  <si>
    <t>RL8-FAGC1-HMI1</t>
  </si>
  <si>
    <t>FRESH AUGER CART 1 HMI</t>
  </si>
  <si>
    <t>RL8-FAGC-SCN1</t>
  </si>
  <si>
    <t>RL8-GRR-RIO1</t>
  </si>
  <si>
    <t>RL8-INTSL-RIO1</t>
  </si>
  <si>
    <t>RL8 PROCESS CORRIDOR</t>
  </si>
  <si>
    <t>RL8-INTSL-RIO2</t>
  </si>
  <si>
    <t>RL8-LAS-HMI1</t>
  </si>
  <si>
    <t>RL8-LAS-TSCL1</t>
  </si>
  <si>
    <t>RL8-LINE-HMI1</t>
  </si>
  <si>
    <t>RL8-LINE-PLC</t>
  </si>
  <si>
    <t>RL8-PRM-RIO1</t>
  </si>
  <si>
    <t>RL8-PRM-HMI1</t>
  </si>
  <si>
    <t>RL8-PRM-QR1</t>
  </si>
  <si>
    <t>RL8-PRM-HMI1_CB10051</t>
  </si>
  <si>
    <t>RL8-PBK-RIO1</t>
  </si>
  <si>
    <t>RL8-PBK-HMI1</t>
  </si>
  <si>
    <t>RL8-PBK-SCN1</t>
  </si>
  <si>
    <t>RL8-PBK-HMI1_CB10049</t>
  </si>
  <si>
    <t>RL8-PBK-HMI2</t>
  </si>
  <si>
    <t>RL8-PKOUT-HMI1</t>
  </si>
  <si>
    <t>RL8-RWK-HMI1</t>
  </si>
  <si>
    <t>RL8-RWK-QR1</t>
  </si>
  <si>
    <t>RL8-RWK-HMI1_CB10060</t>
  </si>
  <si>
    <t>RL8-RWK-SCN1</t>
  </si>
  <si>
    <t>RL8-RWK-HMI1_CB10064</t>
  </si>
  <si>
    <t>RL8-RWK-ZEB1</t>
  </si>
  <si>
    <t>RL8-RWK-HMI1_CB10058</t>
  </si>
  <si>
    <t>RL8-RWK-FSCL1</t>
  </si>
  <si>
    <t>RL8-RWK-HMI1_CB10014</t>
  </si>
  <si>
    <t>RL8-SERP-HMI1</t>
  </si>
  <si>
    <t>RL8-SERP-RIO1</t>
  </si>
  <si>
    <t>RL8-SERP-RIO2</t>
  </si>
  <si>
    <t>RL8-VEG-HMI1</t>
  </si>
  <si>
    <t>RL8-VEG-QR1</t>
  </si>
  <si>
    <t>RL8-VEG-SCN1</t>
  </si>
  <si>
    <t>RL8-VEG-ZEB1</t>
  </si>
  <si>
    <t>RL8-VEG-FSCL1</t>
  </si>
  <si>
    <t>7MCC01-SW1</t>
  </si>
  <si>
    <t>SWITCH</t>
  </si>
  <si>
    <t>7MCC01 NETWORK SWITCH #1</t>
  </si>
  <si>
    <t>INSIDE MCC</t>
  </si>
  <si>
    <t>7MCC01-SW2</t>
  </si>
  <si>
    <t>7MCC01 NETWORK SWITCH #2</t>
  </si>
  <si>
    <t>7MCC02-SW1</t>
  </si>
  <si>
    <t>7MCC02 NETWORK SWITCH #1</t>
  </si>
  <si>
    <t>7MCC02-SW2</t>
  </si>
  <si>
    <t>7MCC02 NETWORK SWITCH #2</t>
  </si>
  <si>
    <t>7MCC02-SW3</t>
  </si>
  <si>
    <t>7MCC02 NETWORK SWITCH #3</t>
  </si>
  <si>
    <t>7MCC03-SW1</t>
  </si>
  <si>
    <t>7MCC03 NETWORK SWITCH #1</t>
  </si>
  <si>
    <t>7MCC03-SW2</t>
  </si>
  <si>
    <t>7MCC03 NETWORK SWITCH #2</t>
  </si>
  <si>
    <t>8MCC01-SW1</t>
  </si>
  <si>
    <t>8MCC01 NETWORK SWITCH #1</t>
  </si>
  <si>
    <t>8MCC01-SW2</t>
  </si>
  <si>
    <t>8MCC01 NETWORK SWITCH #2</t>
  </si>
  <si>
    <t>8MCC02-SW1</t>
  </si>
  <si>
    <t>8MCC02 NETWORK SWITCH #1</t>
  </si>
  <si>
    <t>8MCC02-SW2</t>
  </si>
  <si>
    <t>8MCC02 NETWORK SWITCH #2</t>
  </si>
  <si>
    <t>8MCC02-SW3</t>
  </si>
  <si>
    <t>8MCC02 NETWORK SWITCH #3</t>
  </si>
  <si>
    <t>8MCC03-SW1</t>
  </si>
  <si>
    <t>8MCC03 NETWORK SWITCH #1</t>
  </si>
  <si>
    <t>8MCC03-SW2</t>
  </si>
  <si>
    <t>8MCC03 NETWORK SWITCH #2</t>
  </si>
  <si>
    <t>WEEK</t>
  </si>
  <si>
    <t>DATE</t>
  </si>
  <si>
    <t>--</t>
  </si>
  <si>
    <t>UnitLetter</t>
  </si>
  <si>
    <t>UnitIndex</t>
  </si>
  <si>
    <t>RevitFamily</t>
  </si>
  <si>
    <t>FamilyType</t>
  </si>
  <si>
    <t>LoadOptions</t>
  </si>
  <si>
    <t>A</t>
  </si>
  <si>
    <t>PS_1Ckt-CPT</t>
  </si>
  <si>
    <t>Motor</t>
  </si>
  <si>
    <t>B</t>
  </si>
  <si>
    <t>Motor w/ Disc</t>
  </si>
  <si>
    <t>C</t>
  </si>
  <si>
    <t>PS_2Ckt-External-Power</t>
  </si>
  <si>
    <t>Two Motors</t>
  </si>
  <si>
    <t>D</t>
  </si>
  <si>
    <t>Oneline_Feeder_Sub-Panel</t>
  </si>
  <si>
    <t>Two Motors w/ Disc</t>
  </si>
  <si>
    <t>E</t>
  </si>
  <si>
    <t>Oneline_Feeder_Sub-Xfmr</t>
  </si>
  <si>
    <t>Feeder_Panel-w-Disc</t>
  </si>
  <si>
    <t>Heater</t>
  </si>
  <si>
    <t>F</t>
  </si>
  <si>
    <t>Feeder Panel</t>
  </si>
  <si>
    <t>G</t>
  </si>
  <si>
    <t>Feeder_Spare</t>
  </si>
  <si>
    <t>Feeder Panel w/ Disc</t>
  </si>
  <si>
    <t>H</t>
  </si>
  <si>
    <t>Feeder_XFMR</t>
  </si>
  <si>
    <t>Feeder XFMR</t>
  </si>
  <si>
    <t>J</t>
  </si>
  <si>
    <t>Spare</t>
  </si>
  <si>
    <t>K</t>
  </si>
  <si>
    <t>MCC_MB-Bus1</t>
  </si>
  <si>
    <t>Space</t>
  </si>
  <si>
    <t>L</t>
  </si>
  <si>
    <t>M</t>
  </si>
  <si>
    <t>MCC_MB-Bus3</t>
  </si>
  <si>
    <t>MCC_MB-Bus4</t>
  </si>
  <si>
    <t>MCC_MLO-Bus1</t>
  </si>
  <si>
    <t>MCC_MLO-Bus2</t>
  </si>
  <si>
    <t>MCC_MLO-Bus3</t>
  </si>
  <si>
    <t>MCC_MLO-Bus4</t>
  </si>
  <si>
    <t>Motor_FVR</t>
  </si>
  <si>
    <t>Motor_Soft-Start</t>
  </si>
  <si>
    <t>Motor_VFD</t>
  </si>
  <si>
    <t>Motor_VFD-w-Fuse</t>
  </si>
  <si>
    <t>Motor_VFD-w-Fuse-Line-Filt</t>
  </si>
  <si>
    <t>Motor_VFD-w-Fuse-Load-Filt</t>
  </si>
  <si>
    <t>Motor_VFD-w-Fuse-Load-Filter-2OL</t>
  </si>
  <si>
    <t>Switch_10-Port</t>
  </si>
  <si>
    <t>Switch_30-Port</t>
  </si>
  <si>
    <t>01A_x000D_
MAIN_x000D_
INCOMING MCB</t>
  </si>
  <si>
    <t>02A_x000D_
R4-BRS-MIX1_x000D_
BRS-MIX TANK MIXER</t>
  </si>
  <si>
    <t>03A_x000D_
R4-BRS-PMP 1_x000D_
BRS-MIX TANK PUMP</t>
  </si>
  <si>
    <t>04A_x000D_
R4-BRS-PMP3_x000D_
BRS-HOLD TANK B PUMP</t>
  </si>
  <si>
    <t>05A_x000D_
R4-BRS-MIX 4_x000D_
BRS-HOLD TANK C MIXER</t>
  </si>
  <si>
    <t>06A_x000D_
R4-FRH-CTB1_x000D_
FORMING HEAD CUTTING BLADE 1</t>
  </si>
  <si>
    <t>07A_x000D_
R4-FRH-CTB2_x000D_
FORMING HEAD CUTTING BLADE 2</t>
  </si>
  <si>
    <t>08A_x000D_
R4-BTH-PMP1_x000D_
DIPPING BATH RECIRC PUMP</t>
  </si>
  <si>
    <t>09A_x000D_
R4-BTH-PWR1_x000D_
DIPPING BATH RAIL 1</t>
  </si>
  <si>
    <t>10A_x000D_
R4-BTH-PWR4_x000D_
DIPPING BATH RAIL 4</t>
  </si>
  <si>
    <t>11A_x000D_
SPARE_x000D_
VFD - 5HP</t>
  </si>
  <si>
    <t>12A_x000D_
30" SPACE</t>
  </si>
  <si>
    <t>01E_x000D_
R4-MCC5-PM_x000D_
POWERMONITOR 5000 W/ ETHERNET</t>
  </si>
  <si>
    <t>02E_x000D_
R4-BRS-MIX2_x000D_
BRS-HOLD TANK A MIXER</t>
  </si>
  <si>
    <t>05E_x000D_
R4-BRS-PMP5_x000D_
PUMP PROCESS 2 7GPM</t>
  </si>
  <si>
    <t>09E_x000D_
R4-BTH-PWR2_x000D_
DIPPING BATH RAIL 2</t>
  </si>
  <si>
    <t>10E_x000D_
R4-BRS-FDR1_x000D_
SALT FEEDER AUGER</t>
  </si>
  <si>
    <t>11E_x000D_
30" SPACE</t>
  </si>
  <si>
    <t>03F_x000D_
R4-BRS-PMP2_x000D_
BRS-HOLD TANK A PUMP</t>
  </si>
  <si>
    <t>04F_x000D_
R4-BRS-PMP4_x000D_
BRS-HOLD TANK C PUMP</t>
  </si>
  <si>
    <t>06F_x000D_
12" SPACE</t>
  </si>
  <si>
    <t>07F_x000D_
SPARE_x000D_
VFD - 10HP</t>
  </si>
  <si>
    <t>08F_x000D_
R4-BTH-PMP2_x000D_
DIPPING BATH RECIRC PUMP</t>
  </si>
  <si>
    <t>12F_x000D_
30" SPACE</t>
  </si>
  <si>
    <t>01H_x000D_
6" SPACE</t>
  </si>
  <si>
    <t>06H_x000D_
6" SPACE</t>
  </si>
  <si>
    <t>01J_x000D_
RL4-MCC5-1J.PS1_x000D_
ETHERNET SWITCH POWER SUPPLY</t>
  </si>
  <si>
    <t>02J_x000D_
R4-BRS-MIX3_x000D_
BRS-HOLD TANK B MIXER</t>
  </si>
  <si>
    <t>05J_x000D_
R4-BTH-CVN1_x000D_
DIPPING BATH CVN DRM MOTOR 1</t>
  </si>
  <si>
    <t>06J_x000D_
R4-BTH-CVN2_x000D_
DIPPING BATH CVN DRM MOTOR 2</t>
  </si>
  <si>
    <t>09J_x000D_
R4-BTH-PWR3_x000D_
DIPPING BATH RAIL 3</t>
  </si>
  <si>
    <t>10J_x000D_
R4-BRS-AGT1_x000D_
SALT FEEDER AGITATOR</t>
  </si>
  <si>
    <t>11K_x000D_
6" SPACE</t>
  </si>
  <si>
    <t>01L_x000D_
RL4-MCC5-1L.SW1_x000D_
ETHERNET SWITCH 1 (20-PORT)</t>
  </si>
  <si>
    <t>03L_x000D_
12" SPACE</t>
  </si>
  <si>
    <t>04L_x000D_
R4-FRH-LFT1_x000D_
FORMNG HEAD 1 LIFT CTRL PANEL 1</t>
  </si>
  <si>
    <t>07L_x000D_
R4-FRH-LFT2_x000D_
FORMING HEAD 2 LIFT CTRL PANEL 2</t>
  </si>
  <si>
    <t>08L_x000D_
ETHERNET SWITCH 2 (20-PORT)</t>
  </si>
  <si>
    <t>11L_x000D_
12" SPACE</t>
  </si>
  <si>
    <t>12L_x000D_
AAIM-BWT-PMP1_x000D_
AAIM WATER SKID RECIRC PUMP</t>
  </si>
  <si>
    <t>RL7-6MCC01</t>
  </si>
  <si>
    <t>RL7-MCC1-PM</t>
  </si>
  <si>
    <t>SZ1 FVNR - 1.5HP</t>
  </si>
  <si>
    <t>FVNR</t>
  </si>
  <si>
    <t>2A</t>
  </si>
  <si>
    <t>RL7-MCC1-2A.SW1 RL7-MCC1-2A.SW2</t>
  </si>
  <si>
    <t>ETHERNET SWITCH (10-PORT)
ETHERNET SWITCH (20-PORT)</t>
  </si>
  <si>
    <t>ENET_30</t>
  </si>
  <si>
    <t>02C</t>
  </si>
  <si>
    <t>RL7-MCC1-2C.PS1</t>
  </si>
  <si>
    <t>02F</t>
  </si>
  <si>
    <t>SZ1 FVNR - 7.5HP</t>
  </si>
  <si>
    <t>02H</t>
  </si>
  <si>
    <t>VFD_PF755</t>
  </si>
  <si>
    <t>VFD - 60HP</t>
  </si>
  <si>
    <t>VFD</t>
  </si>
  <si>
    <t xml:space="preserve">FINISH GRINDER </t>
  </si>
  <si>
    <t>3/C 400 MCM VFD CABLE</t>
  </si>
  <si>
    <t>05F</t>
  </si>
  <si>
    <t>VFD - 25HP</t>
  </si>
  <si>
    <t>RL7-CNV-112.M1</t>
  </si>
  <si>
    <t>SURGE BIN TAKE AWAY CONVEYOR</t>
  </si>
  <si>
    <t>3/C #12 VFD CABLE</t>
  </si>
  <si>
    <t>06E</t>
  </si>
  <si>
    <t>RL7-CNV-115.M1</t>
  </si>
  <si>
    <t>INCLINE BELT CONVEYOR 2</t>
  </si>
  <si>
    <t>RL7-CNV-116.M1</t>
  </si>
  <si>
    <t>ROTOCLAW BELT CONVEYOR</t>
  </si>
  <si>
    <t>RL7-CNV-113.M1</t>
  </si>
  <si>
    <t>INCLINE BELT CONVEYOR 1</t>
  </si>
  <si>
    <t>07E</t>
  </si>
  <si>
    <t>VFD - 2HP</t>
  </si>
  <si>
    <t>07J</t>
  </si>
  <si>
    <t>RL7-CNV-111.M1</t>
  </si>
  <si>
    <t>SURGE BIN SUPPLY CONVEYOR</t>
  </si>
  <si>
    <t>RL7-BIN-101.M1</t>
  </si>
  <si>
    <t xml:space="preserve">SURGE BIN 1 UPPER AGITATOR </t>
  </si>
  <si>
    <t>08H</t>
  </si>
  <si>
    <t>RL7-BIN-101.M2</t>
  </si>
  <si>
    <t>SURGE BIN 1 AUGER</t>
  </si>
  <si>
    <t>RL7-BIN-102.M1</t>
  </si>
  <si>
    <t xml:space="preserve">SURGE BIN 2 UPPER AGITATOR </t>
  </si>
  <si>
    <t>09F</t>
  </si>
  <si>
    <t>09H</t>
  </si>
  <si>
    <t>RL7-BIN-102.M2</t>
  </si>
  <si>
    <t>SURGE BIN 2 AUGER</t>
  </si>
  <si>
    <t>RL7-BIN-103.M1</t>
  </si>
  <si>
    <t xml:space="preserve">SURGE BIN 3 UPPER AGITATOR </t>
  </si>
  <si>
    <t>10F</t>
  </si>
  <si>
    <t>10H</t>
  </si>
  <si>
    <t>RL7-BIN-103.M2</t>
  </si>
  <si>
    <t>SURGE BIN 3 AUGER</t>
  </si>
  <si>
    <t>RL7-BIN-104.M1</t>
  </si>
  <si>
    <t xml:space="preserve">SURGE BIN 4 UPPER AGITATOR </t>
  </si>
  <si>
    <t>11F</t>
  </si>
  <si>
    <t>11H</t>
  </si>
  <si>
    <t>RL7-BIN-104.M2</t>
  </si>
  <si>
    <t>SURGE BIN 4 AUGER</t>
  </si>
  <si>
    <t>RL7-CNV-110.M1</t>
  </si>
  <si>
    <t>METAL DETECTOR CONVEYOR</t>
  </si>
  <si>
    <t>12E</t>
  </si>
  <si>
    <t>RL7-CNV-109.M1</t>
  </si>
  <si>
    <t>INCLINE AUGER CONVEYOR</t>
  </si>
  <si>
    <t>3/C #8 VFD CABLE</t>
  </si>
  <si>
    <t>13A</t>
  </si>
  <si>
    <t>INCLINE PIVOT AUGER 1 HYDRAULIC PUMP</t>
  </si>
  <si>
    <t>3/C #12 W/ GND</t>
  </si>
  <si>
    <t>13C</t>
  </si>
  <si>
    <t>RL7-CNV-114.M1</t>
  </si>
  <si>
    <t>INCLINE PIVOT AUGER 1</t>
  </si>
  <si>
    <t>13H</t>
  </si>
  <si>
    <t>13J</t>
  </si>
  <si>
    <t>RL7-CNV-114.M3</t>
  </si>
  <si>
    <t>INCLINE PIVOT AUGER 1 SLIDE TRACK</t>
  </si>
  <si>
    <t>14A</t>
  </si>
  <si>
    <t>RL7-MCC1-14A.SW1 RL7-MCC1-14A.SW2</t>
  </si>
  <si>
    <t>14C</t>
  </si>
  <si>
    <t>14E</t>
  </si>
  <si>
    <t>RL7-AGC-101.M1</t>
  </si>
  <si>
    <t>FRESH AUGER CART 1 - AUGER 1</t>
  </si>
  <si>
    <t>14J</t>
  </si>
  <si>
    <t>RL7-AGC-101.M2</t>
  </si>
  <si>
    <t>FRESH AUGER CART 1 - AUGER 2</t>
  </si>
  <si>
    <t>15A</t>
  </si>
  <si>
    <t>VFD - 75HP</t>
  </si>
  <si>
    <t>16A</t>
  </si>
  <si>
    <t>16C</t>
  </si>
  <si>
    <t>16E</t>
  </si>
  <si>
    <t>RL7-AGC-102.M1</t>
  </si>
  <si>
    <t>FRESH AUGER CART 2 - AUGER 1</t>
  </si>
  <si>
    <t>16J</t>
  </si>
  <si>
    <t>RL7-AGC-102.M2</t>
  </si>
  <si>
    <t>FRESH AUGER CART 2 - AUGER 2</t>
  </si>
  <si>
    <t>17A</t>
  </si>
  <si>
    <t>RL7-GRR-103.M1</t>
  </si>
  <si>
    <t>FROZEN BLOCK CRUSHER</t>
  </si>
  <si>
    <t>3/C #4 VFD CABLE</t>
  </si>
  <si>
    <t>18A</t>
  </si>
  <si>
    <t>RL7-GRR-103.M2</t>
  </si>
  <si>
    <t>RL7-6MCC02</t>
  </si>
  <si>
    <t>RL7-MCC2-PM</t>
  </si>
  <si>
    <t>BREDDO DUMPER</t>
  </si>
  <si>
    <t>RL7-MCC2-2A.SW1</t>
  </si>
  <si>
    <t>ETHERNET SWITCH (20-PORT)</t>
  </si>
  <si>
    <t>ENET-20</t>
  </si>
  <si>
    <t>02D</t>
  </si>
  <si>
    <t>RL7-PMP-106.M1</t>
  </si>
  <si>
    <t>PRE-MIXER PUMP</t>
  </si>
  <si>
    <t>RL7-CKR-101.M1</t>
  </si>
  <si>
    <t>COOKER 1 - AGITATOR 1 (LEFT)</t>
  </si>
  <si>
    <t>03H</t>
  </si>
  <si>
    <t>03M</t>
  </si>
  <si>
    <t>RL7-CKR-101.M2</t>
  </si>
  <si>
    <t>COOKER 1 - AGITATOR 2 (RIGHT)</t>
  </si>
  <si>
    <t>04H</t>
  </si>
  <si>
    <t>04M</t>
  </si>
  <si>
    <t>RL7-CKR-102.M1</t>
  </si>
  <si>
    <t>COOKER 2 - AGITATOR 1 (LEFT)</t>
  </si>
  <si>
    <t>05H</t>
  </si>
  <si>
    <t>05M</t>
  </si>
  <si>
    <t>RL7-CKR-102.M2</t>
  </si>
  <si>
    <t>COOKER 2 - AGITATOR 2 (RIGHT)</t>
  </si>
  <si>
    <t>RL7-SKD-101.M1</t>
  </si>
  <si>
    <t>BREDDO MIXER</t>
  </si>
  <si>
    <t>3/C #1 VFD CABLE</t>
  </si>
  <si>
    <t>07H</t>
  </si>
  <si>
    <t>RL7-PRM-101.M1</t>
  </si>
  <si>
    <t>PRE-MIXER DISCHARGE SCREW</t>
  </si>
  <si>
    <t>FED THRU JIC2A</t>
  </si>
  <si>
    <t>RL7-SKD-101.M2</t>
  </si>
  <si>
    <t>BREDDO MIXER AGITATOR</t>
  </si>
  <si>
    <t>08E</t>
  </si>
  <si>
    <t>08G</t>
  </si>
  <si>
    <t>RL7-PMP-104.M1</t>
  </si>
  <si>
    <t>COOKER 1 - PUMP</t>
  </si>
  <si>
    <t>3/C #10 VFD CABLE</t>
  </si>
  <si>
    <t>RL7-FAN-103.M1</t>
  </si>
  <si>
    <t>COOKER 1 HOOD EXHAUST FAN</t>
  </si>
  <si>
    <t>09G</t>
  </si>
  <si>
    <t>RL7-PMP-105.M1</t>
  </si>
  <si>
    <t>COOKER 2 - PUMP</t>
  </si>
  <si>
    <t>RL7-FAN-104.M1</t>
  </si>
  <si>
    <t>COOKER 2 HOOD EXHAUST FAN</t>
  </si>
  <si>
    <t>RL7-PMP-103.M1</t>
  </si>
  <si>
    <t>BREDDO MIXER PUMP</t>
  </si>
  <si>
    <t>10L</t>
  </si>
  <si>
    <t>RL7-MCC2_10L.PS1</t>
  </si>
  <si>
    <t>18" SPACE</t>
  </si>
  <si>
    <t>11D</t>
  </si>
  <si>
    <t>RL7-SKD-102.M1</t>
  </si>
  <si>
    <t>LACTIC ACID SKID PUMP</t>
  </si>
  <si>
    <t>RL7-PMP-108.M1</t>
  </si>
  <si>
    <t>HOT WATER JACKET PUMP</t>
  </si>
  <si>
    <t>RL7-MCC2-12A.SW1</t>
  </si>
  <si>
    <t>12C</t>
  </si>
  <si>
    <t>SZ1 FVNR - 5HP</t>
  </si>
  <si>
    <t>RL7-FAN-101.M1</t>
  </si>
  <si>
    <t>COOKER 1 - EXHAUST FAN</t>
  </si>
  <si>
    <t>12J</t>
  </si>
  <si>
    <t>RL7-FAN-102.M1</t>
  </si>
  <si>
    <t>COOKER 2 - EXHAUST FAN</t>
  </si>
  <si>
    <t>RL7-PRM-101.M2
RL7-PRM-101.M3</t>
  </si>
  <si>
    <t>PRE-MIXER AGITATORS</t>
  </si>
  <si>
    <t>(2) 30</t>
  </si>
  <si>
    <t>3/C #6 VFD CABLE</t>
  </si>
  <si>
    <t>SHARED VFD - FED THRU JIC2A</t>
  </si>
  <si>
    <t>FRESH AUGER CART 2 - COMBO DUMPER</t>
  </si>
  <si>
    <t>FVR</t>
  </si>
  <si>
    <t>14F</t>
  </si>
  <si>
    <t>RL7-PMP-102.M1</t>
  </si>
  <si>
    <t>FRESH AUGER CART 2 - PUMP</t>
  </si>
  <si>
    <t>14M</t>
  </si>
  <si>
    <t>RL7-MCC2-15A.SW1 RL7-MCC2-15A.SW2</t>
  </si>
  <si>
    <t>15C</t>
  </si>
  <si>
    <t>15G</t>
  </si>
  <si>
    <t>RL7-PMP-101.M1</t>
  </si>
  <si>
    <t>FRESH AUGER CART 1 - PUMP</t>
  </si>
  <si>
    <t>FRESH AUGER CART 1 - COMBO DUMPER</t>
  </si>
  <si>
    <t>COOKER 1 - COLUMN DUMPER</t>
  </si>
  <si>
    <t>FED THRU COOKER 1 JIC4A</t>
  </si>
  <si>
    <t>16F</t>
  </si>
  <si>
    <t>COOKER 2 - COLUMN DUMPER</t>
  </si>
  <si>
    <t>FED THRU COOKER 2 JIC3A</t>
  </si>
  <si>
    <t>16L</t>
  </si>
  <si>
    <t>17C</t>
  </si>
  <si>
    <t>17G</t>
  </si>
  <si>
    <t>17M</t>
  </si>
  <si>
    <t>INCLINE PIVOT AUGER 2 HYDRAULIC PUMP</t>
  </si>
  <si>
    <t>18C</t>
  </si>
  <si>
    <t>RL7-CNV-106.M3</t>
  </si>
  <si>
    <t>INCLINE PIVOT AUGER 2 SLIDE TRACK</t>
  </si>
  <si>
    <t>18G</t>
  </si>
  <si>
    <t>RL7-CNV-106.M1</t>
  </si>
  <si>
    <t>INCLINE PIVOT AUGER 2</t>
  </si>
  <si>
    <t>18M</t>
  </si>
  <si>
    <t>19A</t>
  </si>
  <si>
    <t>RL7-MCC2_19A.PS1</t>
  </si>
  <si>
    <t>19C</t>
  </si>
  <si>
    <t>19H</t>
  </si>
  <si>
    <t>RL7-6MCC03</t>
  </si>
  <si>
    <t>RL7-MCC3-PM</t>
  </si>
  <si>
    <t>RL7-MCC3-2A.SW1</t>
  </si>
  <si>
    <t>RL7-MCC3-2C.PS1</t>
  </si>
  <si>
    <t>02G</t>
  </si>
  <si>
    <t>RL7-SKD-201.M1</t>
  </si>
  <si>
    <t>CLEAN ASSIST FOAM PUMP</t>
  </si>
  <si>
    <t>RL7-CNV-201.M1</t>
  </si>
  <si>
    <t>ROLL FILLER DISCHARGE CONVEYOR</t>
  </si>
  <si>
    <t>NEEDS MELTRIC</t>
  </si>
  <si>
    <t>03E</t>
  </si>
  <si>
    <t>RL7-CNV-203.M1</t>
  </si>
  <si>
    <t>SERPENTINE INFEED CONVEYOR 2</t>
  </si>
  <si>
    <t>03J</t>
  </si>
  <si>
    <t>RL7-CNV-204.M1</t>
  </si>
  <si>
    <t>SERPENTINE INFEED CONVEYOR 3</t>
  </si>
  <si>
    <t>RL7-AGC-201.M1</t>
  </si>
  <si>
    <t>DISCHARGE AUGER CART - LEVELING RIBBON</t>
  </si>
  <si>
    <t>04E</t>
  </si>
  <si>
    <t>05C</t>
  </si>
  <si>
    <t>RL7-PMP-201.M1</t>
  </si>
  <si>
    <t>DISCHARGE AUGER CART_PUMP</t>
  </si>
  <si>
    <t>RL7-AGC-201.M2</t>
  </si>
  <si>
    <t>DISCHARGE AUGER CART_AUGER</t>
  </si>
  <si>
    <t>RL7-CNV-205.M1</t>
  </si>
  <si>
    <t>SERPENTINE DISCHARGE CONVEYOR 1</t>
  </si>
  <si>
    <t>RL7-CNV-202.M1</t>
  </si>
  <si>
    <t>SERPENTINE INFEED CONVEYOR 1</t>
  </si>
  <si>
    <t>RL7-CNV-403.M1</t>
  </si>
  <si>
    <t>METERING CONVEYOR 2</t>
  </si>
  <si>
    <t>07B</t>
  </si>
  <si>
    <t>RL7-CHR-201.M1</t>
  </si>
  <si>
    <t>SERPENTINE MAIN DRIVE</t>
  </si>
  <si>
    <t>07G</t>
  </si>
  <si>
    <t>VFD - 20HP</t>
  </si>
  <si>
    <t>RL7-PMP-203.M1</t>
  </si>
  <si>
    <t>SERPENTINE HEX 1 PUMP</t>
  </si>
  <si>
    <t>3/C #2 VFD CABLE</t>
  </si>
  <si>
    <t>RL7-PMP-204.M1</t>
  </si>
  <si>
    <t>SERPENTINE RECIRC 1 PUMP</t>
  </si>
  <si>
    <t>RL7-PMP-205.M1</t>
  </si>
  <si>
    <t>SERPENTINE HEX 2 PUMP</t>
  </si>
  <si>
    <t>RL7-PMP-206.M1</t>
  </si>
  <si>
    <t>SERPENTINE RECIRC 2 PUMP</t>
  </si>
  <si>
    <t>RL7-PMP-207.M1</t>
  </si>
  <si>
    <t>SERPENTINE HEX 3 PUMP</t>
  </si>
  <si>
    <t>13G</t>
  </si>
  <si>
    <t>RL7-CNV-402.M1</t>
  </si>
  <si>
    <t>METERING CONVEYOR 1</t>
  </si>
  <si>
    <t>RL7-CNV-401.M1</t>
  </si>
  <si>
    <t>INSPECTION CONVEYOR</t>
  </si>
  <si>
    <t>RL7-CNV-206.M1</t>
  </si>
  <si>
    <t>SERPENTINE DISCHARGE CONVEYOR 2</t>
  </si>
  <si>
    <t>RL7-FTR-205.M1</t>
  </si>
  <si>
    <t xml:space="preserve">SERPENTINE ZONE 2A FILTER </t>
  </si>
  <si>
    <t>15E</t>
  </si>
  <si>
    <t>15J</t>
  </si>
  <si>
    <t>RL7-FTR-207.M1</t>
  </si>
  <si>
    <t>SERPENTINE ZONE 2B FILTER</t>
  </si>
  <si>
    <t>RL7-MCC3-16A.SW1</t>
  </si>
  <si>
    <t>RL7-CNV-404.M1</t>
  </si>
  <si>
    <t>CASE PACKER INFEED CONVEYOR</t>
  </si>
  <si>
    <t>16G</t>
  </si>
  <si>
    <t>RL7-FAN-201.M1</t>
  </si>
  <si>
    <t>AIR KNIFE BLOWER</t>
  </si>
  <si>
    <t>RM6-6MCC01</t>
  </si>
  <si>
    <t>RM6-MCC1-PM</t>
  </si>
  <si>
    <t>RM6-CNV-101.M1</t>
  </si>
  <si>
    <t>RM6-MCC1-02H.ENPS</t>
  </si>
  <si>
    <t>02L</t>
  </si>
  <si>
    <t>RM6-MCC1-02L.SW1</t>
  </si>
  <si>
    <t>RM6-GRR-105.M1</t>
  </si>
  <si>
    <t>STEAM COOKER 1 DE-CLUMPER</t>
  </si>
  <si>
    <t>RM6-BIN-101C.M2</t>
  </si>
  <si>
    <t>RM6-CKR-101.M1</t>
  </si>
  <si>
    <t>STEAM COOKER 1 STEAM BELT 1</t>
  </si>
  <si>
    <t>RM6-WWL-101.M1 RM6-SHR-101.M1</t>
  </si>
  <si>
    <t>STEAM COOKER 1 WATERWHEEL/SPREADER MOTOR 1</t>
  </si>
  <si>
    <t>04J</t>
  </si>
  <si>
    <t>RM6-CKR-101.M2</t>
  </si>
  <si>
    <t>STEAM COOKER 1 STEAM BELT 2</t>
  </si>
  <si>
    <t>RM6-FAN-101.M1</t>
  </si>
  <si>
    <t>STEAM COOKER 1 EXHAUST FAN 1</t>
  </si>
  <si>
    <t>RM6-FAN-102.M1</t>
  </si>
  <si>
    <t>STEAM COOKER 1 EXHAUST FAN 2</t>
  </si>
  <si>
    <t>RM6-FAN-103.M1</t>
  </si>
  <si>
    <t>STEAM COOKER 1 EXHAUST FAN 3</t>
  </si>
  <si>
    <t>RM6-BIN-101B.M2</t>
  </si>
  <si>
    <t>06C</t>
  </si>
  <si>
    <t>RM6-CNV-112.M1</t>
  </si>
  <si>
    <t>STEAM COOKER 1 DISCHARGE CONVEYOR</t>
  </si>
  <si>
    <t>06L</t>
  </si>
  <si>
    <t>RM6-MCC1-06L.SW1</t>
  </si>
  <si>
    <t>RM6-GRR-106.M1</t>
  </si>
  <si>
    <t>STEAM COOKER 2 DE-CLUMPER</t>
  </si>
  <si>
    <t>RM6-CKR-102.M1</t>
  </si>
  <si>
    <t>STEAM COOKER 2 STEAM BELT 1</t>
  </si>
  <si>
    <t>RM6-WWL-102.M1 RM6-SHR-102.M1</t>
  </si>
  <si>
    <t>STEAM COOKER 2 WATERWHEEL/SPREADER MOTOR 1</t>
  </si>
  <si>
    <t>RM6-AGC-103.M2</t>
  </si>
  <si>
    <t>DUAL AUGER CART 1 AUGER 1</t>
  </si>
  <si>
    <t>RM6-AGC-103.M3</t>
  </si>
  <si>
    <t>DUAL AUGER CART 1 AUGER 2</t>
  </si>
  <si>
    <t>08J</t>
  </si>
  <si>
    <t>RM6-AGC-104.M2</t>
  </si>
  <si>
    <t>DUAL AUGER CART 2 AUGER 1</t>
  </si>
  <si>
    <t>RM6-CKR-102.M2</t>
  </si>
  <si>
    <t>STEAM COOKER 2 STEAM BELT 2</t>
  </si>
  <si>
    <t>RM6-CNV-115.M1</t>
  </si>
  <si>
    <t>STEAM COOKER 2 DISCHARGE CONVEYOR</t>
  </si>
  <si>
    <t>RM6-CNV-107.M1</t>
  </si>
  <si>
    <t>INCLINED BELT CONVEYOR</t>
  </si>
  <si>
    <t>RM6-AGC.103.M4</t>
  </si>
  <si>
    <t>DUAL AUGER CART 1 SLIDING TRACK</t>
  </si>
  <si>
    <t>RM6-AGC-104.M4</t>
  </si>
  <si>
    <t>DUAL AUGER CART 2 SLIDING TRACK</t>
  </si>
  <si>
    <t>RM6-CNV-108.M3</t>
  </si>
  <si>
    <t>INCLINE CONVEYOR SLIDE TRACK</t>
  </si>
  <si>
    <t>RM6-GRR-102.M1</t>
  </si>
  <si>
    <t>GRINDER</t>
  </si>
  <si>
    <t>3/C #250 MCM VFD CABLE</t>
  </si>
  <si>
    <t>RM6-SLT-201.M2</t>
  </si>
  <si>
    <t>SLITTER</t>
  </si>
  <si>
    <t>RM6-MGR-101.M4</t>
  </si>
  <si>
    <t>MIXER GRINDER 1 GRINDER</t>
  </si>
  <si>
    <t>3/C #2/0 VFD CABLE</t>
  </si>
  <si>
    <t>RM6-CRT-201.M1</t>
  </si>
  <si>
    <t>VINEGAR SUPPLE CART</t>
  </si>
  <si>
    <t>13E</t>
  </si>
  <si>
    <t>13F</t>
  </si>
  <si>
    <t>RM6-MGR-102.M4</t>
  </si>
  <si>
    <t>MIXER GRINDER 2 GRINDER</t>
  </si>
  <si>
    <t>RM6-BIN-101D.M2</t>
  </si>
  <si>
    <t>14G</t>
  </si>
  <si>
    <t>14L</t>
  </si>
  <si>
    <t>RM6-MCC1-14L.SW1</t>
  </si>
  <si>
    <t>RM6-BIN-101A.M2</t>
  </si>
  <si>
    <t>15H</t>
  </si>
  <si>
    <t>RM6-AGC-103.M1</t>
  </si>
  <si>
    <t>DUAL AUGER CART 1 LEVELING RIBON</t>
  </si>
  <si>
    <t>RM6-CNV-104.M1</t>
  </si>
  <si>
    <t>RM6-CNV-108.M2</t>
  </si>
  <si>
    <t>INCLINE CONVEYOR HYDRAULICS</t>
  </si>
  <si>
    <t>RM6-FAN-104.M1</t>
  </si>
  <si>
    <t>STEAM COOKER 2 EXHAUST FAN 1</t>
  </si>
  <si>
    <t>17E</t>
  </si>
  <si>
    <t>RM6-FAN-105.M1</t>
  </si>
  <si>
    <t>STEAM COOKER 2 EXHAUST FAN 2</t>
  </si>
  <si>
    <t>17J</t>
  </si>
  <si>
    <t>RM6-FAN-106.M1</t>
  </si>
  <si>
    <t>STEAM COOKER 2 EXHAUST FAN 3</t>
  </si>
  <si>
    <t>RM6-AGC-104.M3</t>
  </si>
  <si>
    <t>DUAL AUGER CART 2 AUGER 2</t>
  </si>
  <si>
    <t>18E</t>
  </si>
  <si>
    <t>RM6-MLT-103.M1</t>
  </si>
  <si>
    <t>MIXER GRINDER 1 COLUMN DUMPER</t>
  </si>
  <si>
    <t>18H</t>
  </si>
  <si>
    <t>RM6-AGC-104.M1</t>
  </si>
  <si>
    <t>DUAL AUGER CART 2 LEVELING RIBON</t>
  </si>
  <si>
    <t>19E</t>
  </si>
  <si>
    <t>RM6_82</t>
  </si>
  <si>
    <t>CIP TANK STARTER</t>
  </si>
  <si>
    <t>3/C #6 W/ GND</t>
  </si>
  <si>
    <t>19J</t>
  </si>
  <si>
    <t>RM6-SLT-201.M1</t>
  </si>
  <si>
    <t>RM6-6MCC02</t>
  </si>
  <si>
    <t>01F</t>
  </si>
  <si>
    <t>RM6-MCC2-PM</t>
  </si>
  <si>
    <t>01K</t>
  </si>
  <si>
    <t>RM6-MCC2-01K.ENPS</t>
  </si>
  <si>
    <t>RM6-MGR-101.M3</t>
  </si>
  <si>
    <t>MIXER GRINDER 1 DISCHARGE SCREW</t>
  </si>
  <si>
    <t>RM6-SKD-101.M1</t>
  </si>
  <si>
    <t>VOTATOR PMP-201 COOKER 1</t>
  </si>
  <si>
    <t>RM6-MCC2-02L.SW1</t>
  </si>
  <si>
    <t>RM6-BIN-101D.M1</t>
  </si>
  <si>
    <t>SURGE BIN 4 AGITATOR</t>
  </si>
  <si>
    <t>03G</t>
  </si>
  <si>
    <t>RM6-BIN-101C.M1</t>
  </si>
  <si>
    <t>SURGE BIN 3 AGITATOR</t>
  </si>
  <si>
    <t>RM6-BIN-101B.M1</t>
  </si>
  <si>
    <t>SURGE BIN 2 AGITATOR</t>
  </si>
  <si>
    <t>04G</t>
  </si>
  <si>
    <t>RM6-BIN-101A.M1</t>
  </si>
  <si>
    <t>SURGE BIN 1 AGITATOR</t>
  </si>
  <si>
    <t>RM6-PMP-103.M1</t>
  </si>
  <si>
    <t>DUAL AUGER CART 1 PUMP</t>
  </si>
  <si>
    <t>05G</t>
  </si>
  <si>
    <t>RM6-PMP-104.M1</t>
  </si>
  <si>
    <t>DUAL AUGER CART 2 PUMP</t>
  </si>
  <si>
    <t>RM6-SCR-201.M1</t>
  </si>
  <si>
    <t>VIBRATORY SCREENER</t>
  </si>
  <si>
    <t>RM6-MGR-101.M1 RM6-MGR-101.M2</t>
  </si>
  <si>
    <t>MIXER GRINDER 1</t>
  </si>
  <si>
    <t>RM6-CNV-201.M1</t>
  </si>
  <si>
    <t>INCLINE CONVEYOR</t>
  </si>
  <si>
    <t>RM6-MGR-102.M1 RM6-MGR-102.M2</t>
  </si>
  <si>
    <t>MIXER GRINDER 2</t>
  </si>
  <si>
    <t>RM6-PMP-101.M1</t>
  </si>
  <si>
    <t>AUGER CART 1 PUMP</t>
  </si>
  <si>
    <t>RM6-MTL-104.M1</t>
  </si>
  <si>
    <t>MIXER GRINDER 2 COLUMN DUMPER</t>
  </si>
  <si>
    <t>RM6-MCC2-08L.SW1</t>
  </si>
  <si>
    <t>09C</t>
  </si>
  <si>
    <t>RM6-MLT-102.M1</t>
  </si>
  <si>
    <t>COMBO TOTE DUMPER</t>
  </si>
  <si>
    <t>RM6-MGR-102.M3</t>
  </si>
  <si>
    <t>MIXER GRINDER 2 DISCHARGE SCREW</t>
  </si>
  <si>
    <t>RM6-GRR-101.M1</t>
  </si>
  <si>
    <t>FROZEN BLOCK BREAKER 1</t>
  </si>
  <si>
    <t>RM6-GRR-101.M2</t>
  </si>
  <si>
    <t>FROZEN BLOCK BREAKER 2</t>
  </si>
  <si>
    <t>RM6-SKD-101.M2</t>
  </si>
  <si>
    <t>VOTATOR PMP-202 COOKER 1</t>
  </si>
  <si>
    <t>RM6-SKD-102.M2</t>
  </si>
  <si>
    <t xml:space="preserve">VOTATOR PMP-202 COOKER 2 </t>
  </si>
  <si>
    <t>RM6-CNV-105.M1</t>
  </si>
  <si>
    <t>SURGE BIN TAKEAWAY CONVEYOR</t>
  </si>
  <si>
    <t>VFD - 1HP</t>
  </si>
  <si>
    <t>RM6-CNV-108.M1</t>
  </si>
  <si>
    <t>INCLINE CONVEYOR SCREW</t>
  </si>
  <si>
    <t>13L</t>
  </si>
  <si>
    <t>RM6-MCC2-13L.SW1</t>
  </si>
  <si>
    <t>RM6-SKD-102.M1</t>
  </si>
  <si>
    <t>VOTATOR PMP-101 COOKER 1</t>
  </si>
  <si>
    <t>RM6-CNV-102.M1</t>
  </si>
  <si>
    <t>METAL DETECTOR BELT CONVEYOR</t>
  </si>
  <si>
    <t>RM6-SKD-103.M1</t>
  </si>
  <si>
    <t>VOTATOR PMP-201 COOKER 2</t>
  </si>
  <si>
    <t>RM6-SKD-103.M2</t>
  </si>
  <si>
    <t>VOTATOR PMP-202 COOKER 2</t>
  </si>
  <si>
    <t>RM6-SKD-104.M1</t>
  </si>
  <si>
    <t>VOTATOR PMP-101 COOKER 2</t>
  </si>
  <si>
    <t>RM6-SKD-104.M2</t>
  </si>
  <si>
    <t xml:space="preserve">VOTATOR PMP-102 COOKER 2 </t>
  </si>
  <si>
    <t>RM6-HTX-101.M1</t>
  </si>
  <si>
    <t xml:space="preserve">VOTATOR HX-101 COOKER 1 </t>
  </si>
  <si>
    <t>RM6-HTX-102.M1</t>
  </si>
  <si>
    <t>VOTATOR HX-102 COOKER 1</t>
  </si>
  <si>
    <t>RM6-HTX-103.M1</t>
  </si>
  <si>
    <t>VOTATOR HX-103 COOKER 1</t>
  </si>
  <si>
    <t>RM6-HTX-104.M1</t>
  </si>
  <si>
    <t>VOTATOR HX-104 COOKER 1</t>
  </si>
  <si>
    <t>RM6-AGC-101.M1</t>
  </si>
  <si>
    <t>AUGER CART 1 AUGER 1</t>
  </si>
  <si>
    <t>RM6-AGC-101.M2</t>
  </si>
  <si>
    <t>AUGER CART 1 AUGER 2</t>
  </si>
  <si>
    <t>VTTRS-MCC1</t>
  </si>
  <si>
    <t>HTX-101</t>
  </si>
  <si>
    <t>VOTATOR 1</t>
  </si>
  <si>
    <t>PMP-101</t>
  </si>
  <si>
    <t>B&amp;F HOT WATER LOOP PUMP</t>
  </si>
  <si>
    <t>HTX-102</t>
  </si>
  <si>
    <t>VOTATOR 2</t>
  </si>
  <si>
    <t>PMP-102</t>
  </si>
  <si>
    <t>BOOSTER PUMP</t>
  </si>
  <si>
    <t>HTX-103</t>
  </si>
  <si>
    <t>VOTATOR 3</t>
  </si>
  <si>
    <t>RM5-MCC1-5A.SW1</t>
  </si>
  <si>
    <t>05L</t>
  </si>
  <si>
    <t>RM5-MCC1-5L.ENPS</t>
  </si>
  <si>
    <t>PMP-106</t>
  </si>
  <si>
    <t>CHILLED WATER PUMP 2</t>
  </si>
  <si>
    <t>HTX-105</t>
  </si>
  <si>
    <t>VOTATOR 5</t>
  </si>
  <si>
    <t>PMP-103</t>
  </si>
  <si>
    <t>CHILLED WATER PUMP 1</t>
  </si>
  <si>
    <t>HTX-104</t>
  </si>
  <si>
    <t>VOTATOR 4</t>
  </si>
  <si>
    <t>08B</t>
  </si>
  <si>
    <t>HTX-106</t>
  </si>
  <si>
    <t>VOTATOR 6</t>
  </si>
  <si>
    <t>09B</t>
  </si>
  <si>
    <t>FHD-101</t>
  </si>
  <si>
    <t>FORMING HEAD</t>
  </si>
  <si>
    <t>HTX-107</t>
  </si>
  <si>
    <t>VOTATOR 7</t>
  </si>
  <si>
    <t>10B</t>
  </si>
  <si>
    <t>PMP-10x</t>
  </si>
  <si>
    <t>VOTATOR SKID HW CIRC PUMP</t>
  </si>
  <si>
    <t>HTX-108</t>
  </si>
  <si>
    <t>VOTATOR 8</t>
  </si>
  <si>
    <t>11C</t>
  </si>
  <si>
    <t>PMP-104</t>
  </si>
  <si>
    <t>INJECTION PUMP 1</t>
  </si>
  <si>
    <t>HTX-109</t>
  </si>
  <si>
    <t>VOTATOR 9</t>
  </si>
  <si>
    <t>HTX-110</t>
  </si>
  <si>
    <t>VOTATOR 10</t>
  </si>
  <si>
    <t>RM5-MCC1-13A.ENPS</t>
  </si>
  <si>
    <t>CNV-101</t>
  </si>
  <si>
    <t>BATH CONVEYOR 1</t>
  </si>
  <si>
    <t>13K</t>
  </si>
  <si>
    <t>VOTATOR SKID MAKEUP WATER PUMP</t>
  </si>
  <si>
    <t>14D</t>
  </si>
  <si>
    <t>14K</t>
  </si>
  <si>
    <t>15D</t>
  </si>
  <si>
    <t>PMP-109</t>
  </si>
  <si>
    <t>BATH 1 CIRCULATION PUMP</t>
  </si>
  <si>
    <t>15K</t>
  </si>
  <si>
    <t>16B</t>
  </si>
  <si>
    <t>CNV-102</t>
  </si>
  <si>
    <t>BATH CONVEYOR 2</t>
  </si>
  <si>
    <t>VFD - 30HP</t>
  </si>
  <si>
    <t>17D</t>
  </si>
  <si>
    <t>17K</t>
  </si>
  <si>
    <t>SCR-101</t>
  </si>
  <si>
    <t>WASTE SEPARATOR DRUM</t>
  </si>
  <si>
    <t>18J</t>
  </si>
  <si>
    <t>18L</t>
  </si>
  <si>
    <t>VTTRS-MCC2</t>
  </si>
  <si>
    <t>MGR-001</t>
  </si>
  <si>
    <t>LEFT / RIGHT AUGER</t>
  </si>
  <si>
    <t>(2) 20</t>
  </si>
  <si>
    <t>VFD - 15HP</t>
  </si>
  <si>
    <t>GRR-001</t>
  </si>
  <si>
    <t>RM5-MCC2-5A.SW1</t>
  </si>
  <si>
    <t>06D</t>
  </si>
  <si>
    <t>AGC-002.M1</t>
  </si>
  <si>
    <t>AUGER CART LEFT AUGER</t>
  </si>
  <si>
    <t>06G</t>
  </si>
  <si>
    <t>AGC-002.M2</t>
  </si>
  <si>
    <t>AUGER CART RIGHT AUGER</t>
  </si>
  <si>
    <t>06K</t>
  </si>
  <si>
    <t>CNV-001</t>
  </si>
  <si>
    <t>INCLINE BELT CONVEYOR</t>
  </si>
  <si>
    <t>CNV-002</t>
  </si>
  <si>
    <t>FB INCLINE / MD CONVEYOR</t>
  </si>
  <si>
    <t>CNV-003</t>
  </si>
  <si>
    <t>DISCHARGE SCREW</t>
  </si>
  <si>
    <t>GRR-002</t>
  </si>
  <si>
    <t>FROZEN GRINDER SCREW</t>
  </si>
  <si>
    <t>MLT-004</t>
  </si>
  <si>
    <t>COLUMN DUMPER</t>
  </si>
  <si>
    <t>09D</t>
  </si>
  <si>
    <t>INCLINE PIVOT AUGER</t>
  </si>
  <si>
    <t>TNK-001</t>
  </si>
  <si>
    <t>COOKING KETTLE MIXER</t>
  </si>
  <si>
    <t>09K</t>
  </si>
  <si>
    <t>AGR-001</t>
  </si>
  <si>
    <t>CHILLING KETTLE AGITATOR</t>
  </si>
  <si>
    <t>PMP-xxx</t>
  </si>
  <si>
    <t>INCLINE AUGER HYDRAULIC PUMP</t>
  </si>
  <si>
    <t>10C</t>
  </si>
  <si>
    <t>MLT-005</t>
  </si>
  <si>
    <t>10G</t>
  </si>
  <si>
    <t>RM5-MCC2-11A.SW1</t>
  </si>
  <si>
    <t>AGC-001.M1</t>
  </si>
  <si>
    <t>AUGER CART 1 - LEFT AUGER</t>
  </si>
  <si>
    <t>AGC-001.M2</t>
  </si>
  <si>
    <t>AUGER CART 1 - RIGHT AUGER</t>
  </si>
  <si>
    <t>11J</t>
  </si>
  <si>
    <t>AGC-002.M3</t>
  </si>
  <si>
    <t>AUGER CART 2 - LEVELING RIBBON</t>
  </si>
  <si>
    <t>MLT-001</t>
  </si>
  <si>
    <t>TOTE DUMPER</t>
  </si>
  <si>
    <t>???</t>
  </si>
  <si>
    <t>TRACK</t>
  </si>
  <si>
    <t>AGC-001.M3</t>
  </si>
  <si>
    <t>AUGER CART 1 - 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</si>
</sst>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#"/>
    <numFmt numFmtId="166" formatCode="0.0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4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name val="Calibri"/>
      <family val="2"/>
      <scheme val="minor"/>
    </font>
    <font>
      <sz val="10"/>
      <name val="Calibri"/>
      <family val="2"/>
      <scheme val="minor"/>
    </font>
    <font>
      <sz val="11"/>
      <color rgb="FF242424"/>
      <name val="Calibri"/>
      <family val="2"/>
      <scheme val="minor"/>
    </font>
    <font>
      <sz val="9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0F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4" fillId="0" borderId="0"/>
  </cellStyleXfs>
  <cellXfs count="28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left" indent="1"/>
    </xf>
    <xf numFmtId="0" fontId="2" fillId="0" borderId="1" xfId="0" applyFont="1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5" xfId="0" applyBorder="1"/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/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/>
    <xf numFmtId="1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21" xfId="0" applyBorder="1" applyAlignment="1">
      <alignment horizontal="left" vertical="center" indent="1"/>
    </xf>
    <xf numFmtId="0" fontId="0" fillId="0" borderId="11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24" xfId="0" applyBorder="1" applyAlignment="1">
      <alignment horizontal="left" vertical="center" indent="1"/>
    </xf>
    <xf numFmtId="0" fontId="0" fillId="0" borderId="6" xfId="0" applyBorder="1" applyAlignment="1">
      <alignment horizontal="left" indent="1"/>
    </xf>
    <xf numFmtId="1" fontId="0" fillId="0" borderId="2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/>
    </xf>
    <xf numFmtId="0" fontId="7" fillId="6" borderId="18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left" indent="1"/>
    </xf>
    <xf numFmtId="0" fontId="2" fillId="0" borderId="9" xfId="0" applyFont="1" applyBorder="1" applyAlignment="1">
      <alignment horizontal="left" indent="1"/>
    </xf>
    <xf numFmtId="0" fontId="2" fillId="0" borderId="12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2" fillId="2" borderId="0" xfId="0" applyFont="1" applyFill="1" applyProtection="1"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2" fillId="0" borderId="0" xfId="0" applyFont="1" applyAlignment="1" applyProtection="1">
      <alignment horizontal="left" indent="3"/>
      <protection locked="0"/>
    </xf>
    <xf numFmtId="0" fontId="8" fillId="0" borderId="0" xfId="0" applyFont="1" applyAlignment="1" applyProtection="1">
      <alignment horizontal="left" indent="2"/>
      <protection locked="0"/>
    </xf>
    <xf numFmtId="0" fontId="2" fillId="0" borderId="0" xfId="0" applyFont="1" applyProtection="1">
      <protection locked="0"/>
    </xf>
    <xf numFmtId="0" fontId="10" fillId="2" borderId="0" xfId="0" applyFont="1" applyFill="1" applyProtection="1">
      <protection locked="0"/>
    </xf>
    <xf numFmtId="0" fontId="2" fillId="0" borderId="15" xfId="0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2" fillId="0" borderId="15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left" vertical="center" indent="1"/>
    </xf>
    <xf numFmtId="0" fontId="0" fillId="0" borderId="34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5" borderId="36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horizontal="center" vertical="center" wrapText="1"/>
    </xf>
    <xf numFmtId="0" fontId="6" fillId="0" borderId="0" xfId="0" applyFont="1"/>
    <xf numFmtId="0" fontId="3" fillId="0" borderId="0" xfId="0" applyFont="1" applyAlignment="1">
      <alignment horizontal="center" vertical="top"/>
    </xf>
    <xf numFmtId="165" fontId="2" fillId="0" borderId="0" xfId="0" applyNumberFormat="1" applyFont="1" applyAlignment="1">
      <alignment horizontal="center" vertical="center"/>
    </xf>
    <xf numFmtId="0" fontId="7" fillId="5" borderId="40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 textRotation="90" wrapText="1"/>
    </xf>
    <xf numFmtId="0" fontId="7" fillId="5" borderId="27" xfId="0" applyFont="1" applyFill="1" applyBorder="1" applyAlignment="1">
      <alignment horizontal="center" vertical="center" textRotation="90" wrapText="1"/>
    </xf>
    <xf numFmtId="0" fontId="0" fillId="0" borderId="32" xfId="0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9" fillId="0" borderId="15" xfId="0" applyFont="1" applyBorder="1" applyAlignment="1">
      <alignment horizontal="center" vertical="center" textRotation="90"/>
    </xf>
    <xf numFmtId="0" fontId="0" fillId="0" borderId="34" xfId="0" applyBorder="1" applyAlignment="1">
      <alignment horizontal="center" vertical="center" textRotation="90"/>
    </xf>
    <xf numFmtId="0" fontId="0" fillId="0" borderId="35" xfId="0" applyBorder="1" applyAlignment="1">
      <alignment horizontal="center" vertical="center" textRotation="90" wrapText="1"/>
    </xf>
    <xf numFmtId="0" fontId="0" fillId="0" borderId="34" xfId="0" applyBorder="1" applyAlignment="1">
      <alignment horizontal="center" vertical="center" textRotation="90" wrapText="1"/>
    </xf>
    <xf numFmtId="0" fontId="0" fillId="0" borderId="34" xfId="0" applyBorder="1" applyAlignment="1">
      <alignment vertical="center" textRotation="90"/>
    </xf>
    <xf numFmtId="0" fontId="0" fillId="0" borderId="32" xfId="0" applyBorder="1" applyAlignment="1">
      <alignment vertical="center" textRotation="90"/>
    </xf>
    <xf numFmtId="0" fontId="0" fillId="0" borderId="0" xfId="0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42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66" fontId="2" fillId="0" borderId="42" xfId="0" applyNumberFormat="1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2" fillId="0" borderId="42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165" fontId="2" fillId="0" borderId="1" xfId="0" applyNumberFormat="1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2" fillId="12" borderId="7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textRotation="90" wrapTex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textRotation="90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 wrapText="1"/>
    </xf>
    <xf numFmtId="0" fontId="7" fillId="5" borderId="46" xfId="0" applyFont="1" applyFill="1" applyBorder="1" applyAlignment="1">
      <alignment horizontal="center" vertical="center" wrapText="1"/>
    </xf>
    <xf numFmtId="0" fontId="7" fillId="5" borderId="46" xfId="0" applyFont="1" applyFill="1" applyBorder="1" applyAlignment="1">
      <alignment horizontal="center" vertical="center" textRotation="90" wrapText="1"/>
    </xf>
    <xf numFmtId="0" fontId="7" fillId="5" borderId="18" xfId="0" applyFont="1" applyFill="1" applyBorder="1" applyAlignment="1">
      <alignment horizontal="center" vertical="center" textRotation="90" wrapText="1"/>
    </xf>
    <xf numFmtId="0" fontId="7" fillId="5" borderId="19" xfId="0" applyFont="1" applyFill="1" applyBorder="1" applyAlignment="1">
      <alignment horizontal="center" vertical="center" textRotation="90" wrapText="1"/>
    </xf>
    <xf numFmtId="0" fontId="7" fillId="5" borderId="46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9" fillId="0" borderId="3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/>
    </xf>
    <xf numFmtId="0" fontId="2" fillId="0" borderId="32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left" indent="1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left" indent="2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" fillId="0" borderId="47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left" indent="1"/>
      <protection locked="0"/>
    </xf>
    <xf numFmtId="0" fontId="7" fillId="0" borderId="0" xfId="0" applyFont="1" applyProtection="1">
      <protection locked="0"/>
    </xf>
    <xf numFmtId="0" fontId="2" fillId="0" borderId="1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quotePrefix="1" applyFont="1" applyBorder="1" applyAlignment="1">
      <alignment horizontal="center" vertical="center"/>
    </xf>
    <xf numFmtId="0" fontId="0" fillId="0" borderId="32" xfId="0" quotePrefix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textRotation="90" wrapText="1"/>
    </xf>
    <xf numFmtId="0" fontId="7" fillId="3" borderId="1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/>
    </xf>
    <xf numFmtId="0" fontId="8" fillId="4" borderId="34" xfId="0" applyFont="1" applyFill="1" applyBorder="1" applyAlignment="1">
      <alignment horizontal="right" indent="1"/>
    </xf>
    <xf numFmtId="0" fontId="6" fillId="4" borderId="32" xfId="0" applyFont="1" applyFill="1" applyBorder="1" applyAlignment="1">
      <alignment horizontal="right" indent="1"/>
    </xf>
    <xf numFmtId="164" fontId="2" fillId="0" borderId="1" xfId="0" applyNumberFormat="1" applyFont="1" applyBorder="1" applyAlignment="1">
      <alignment horizontal="center"/>
    </xf>
    <xf numFmtId="0" fontId="2" fillId="4" borderId="7" xfId="0" applyFont="1" applyFill="1" applyBorder="1"/>
    <xf numFmtId="0" fontId="2" fillId="4" borderId="34" xfId="0" applyFont="1" applyFill="1" applyBorder="1"/>
    <xf numFmtId="0" fontId="2" fillId="0" borderId="0" xfId="0" applyFont="1" applyAlignment="1">
      <alignment horizontal="center"/>
    </xf>
    <xf numFmtId="0" fontId="2" fillId="6" borderId="7" xfId="0" applyFont="1" applyFill="1" applyBorder="1" applyAlignment="1">
      <alignment horizontal="center"/>
    </xf>
    <xf numFmtId="49" fontId="8" fillId="6" borderId="34" xfId="0" applyNumberFormat="1" applyFont="1" applyFill="1" applyBorder="1" applyAlignment="1">
      <alignment horizontal="left" indent="1"/>
    </xf>
    <xf numFmtId="49" fontId="0" fillId="6" borderId="34" xfId="0" applyNumberFormat="1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49" fontId="6" fillId="6" borderId="34" xfId="0" applyNumberFormat="1" applyFont="1" applyFill="1" applyBorder="1" applyAlignment="1">
      <alignment horizontal="left" indent="1"/>
    </xf>
    <xf numFmtId="0" fontId="2" fillId="6" borderId="32" xfId="0" applyFont="1" applyFill="1" applyBorder="1" applyAlignment="1">
      <alignment horizontal="center"/>
    </xf>
    <xf numFmtId="49" fontId="8" fillId="6" borderId="34" xfId="0" applyNumberFormat="1" applyFont="1" applyFill="1" applyBorder="1" applyAlignment="1">
      <alignment horizontal="right" indent="1"/>
    </xf>
    <xf numFmtId="49" fontId="6" fillId="6" borderId="32" xfId="0" applyNumberFormat="1" applyFont="1" applyFill="1" applyBorder="1" applyAlignment="1">
      <alignment horizontal="right" indent="1"/>
    </xf>
    <xf numFmtId="0" fontId="2" fillId="0" borderId="15" xfId="0" applyFont="1" applyBorder="1" applyAlignment="1">
      <alignment horizontal="center"/>
    </xf>
    <xf numFmtId="0" fontId="2" fillId="6" borderId="7" xfId="0" applyFont="1" applyFill="1" applyBorder="1" applyAlignment="1">
      <alignment horizontal="right"/>
    </xf>
    <xf numFmtId="49" fontId="0" fillId="0" borderId="0" xfId="0" applyNumberFormat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49" fontId="8" fillId="7" borderId="34" xfId="0" applyNumberFormat="1" applyFont="1" applyFill="1" applyBorder="1" applyAlignment="1">
      <alignment horizontal="left" indent="1"/>
    </xf>
    <xf numFmtId="0" fontId="2" fillId="7" borderId="34" xfId="0" applyFont="1" applyFill="1" applyBorder="1" applyAlignment="1">
      <alignment horizontal="center"/>
    </xf>
    <xf numFmtId="49" fontId="6" fillId="7" borderId="34" xfId="0" applyNumberFormat="1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center"/>
    </xf>
    <xf numFmtId="49" fontId="8" fillId="7" borderId="34" xfId="0" applyNumberFormat="1" applyFont="1" applyFill="1" applyBorder="1" applyAlignment="1">
      <alignment horizontal="right" indent="1"/>
    </xf>
    <xf numFmtId="49" fontId="6" fillId="7" borderId="32" xfId="0" applyNumberFormat="1" applyFont="1" applyFill="1" applyBorder="1" applyAlignment="1">
      <alignment horizontal="right" indent="1"/>
    </xf>
    <xf numFmtId="49" fontId="2" fillId="0" borderId="0" xfId="0" applyNumberFormat="1" applyFont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34" xfId="0" applyFill="1" applyBorder="1" applyAlignment="1">
      <alignment horizontal="center"/>
    </xf>
    <xf numFmtId="49" fontId="8" fillId="8" borderId="34" xfId="0" applyNumberFormat="1" applyFont="1" applyFill="1" applyBorder="1" applyAlignment="1">
      <alignment horizontal="left" indent="1"/>
    </xf>
    <xf numFmtId="0" fontId="2" fillId="8" borderId="34" xfId="0" applyFont="1" applyFill="1" applyBorder="1" applyAlignment="1">
      <alignment horizontal="center"/>
    </xf>
    <xf numFmtId="49" fontId="6" fillId="8" borderId="34" xfId="0" applyNumberFormat="1" applyFont="1" applyFill="1" applyBorder="1" applyAlignment="1">
      <alignment horizontal="left" indent="1"/>
    </xf>
    <xf numFmtId="0" fontId="2" fillId="8" borderId="32" xfId="0" applyFont="1" applyFill="1" applyBorder="1" applyAlignment="1">
      <alignment horizontal="center"/>
    </xf>
    <xf numFmtId="49" fontId="8" fillId="8" borderId="34" xfId="0" applyNumberFormat="1" applyFont="1" applyFill="1" applyBorder="1" applyAlignment="1">
      <alignment horizontal="right" indent="1"/>
    </xf>
    <xf numFmtId="49" fontId="6" fillId="8" borderId="32" xfId="0" applyNumberFormat="1" applyFont="1" applyFill="1" applyBorder="1" applyAlignment="1">
      <alignment horizontal="right" indent="1"/>
    </xf>
    <xf numFmtId="0" fontId="0" fillId="9" borderId="7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49" fontId="8" fillId="9" borderId="34" xfId="0" applyNumberFormat="1" applyFont="1" applyFill="1" applyBorder="1" applyAlignment="1">
      <alignment horizontal="left" indent="1"/>
    </xf>
    <xf numFmtId="0" fontId="2" fillId="9" borderId="34" xfId="0" applyFont="1" applyFill="1" applyBorder="1" applyAlignment="1">
      <alignment horizontal="center"/>
    </xf>
    <xf numFmtId="49" fontId="6" fillId="9" borderId="34" xfId="0" applyNumberFormat="1" applyFont="1" applyFill="1" applyBorder="1" applyAlignment="1">
      <alignment horizontal="left" indent="1"/>
    </xf>
    <xf numFmtId="0" fontId="2" fillId="9" borderId="32" xfId="0" applyFont="1" applyFill="1" applyBorder="1" applyAlignment="1">
      <alignment horizontal="center"/>
    </xf>
    <xf numFmtId="49" fontId="8" fillId="9" borderId="34" xfId="0" applyNumberFormat="1" applyFont="1" applyFill="1" applyBorder="1" applyAlignment="1">
      <alignment horizontal="right" indent="1"/>
    </xf>
    <xf numFmtId="49" fontId="6" fillId="9" borderId="32" xfId="0" applyNumberFormat="1" applyFont="1" applyFill="1" applyBorder="1" applyAlignment="1">
      <alignment horizontal="right" indent="1"/>
    </xf>
    <xf numFmtId="0" fontId="0" fillId="10" borderId="7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49" fontId="8" fillId="10" borderId="34" xfId="0" applyNumberFormat="1" applyFont="1" applyFill="1" applyBorder="1" applyAlignment="1">
      <alignment horizontal="left" indent="1"/>
    </xf>
    <xf numFmtId="0" fontId="2" fillId="10" borderId="34" xfId="0" applyFont="1" applyFill="1" applyBorder="1" applyAlignment="1">
      <alignment horizontal="center"/>
    </xf>
    <xf numFmtId="49" fontId="6" fillId="10" borderId="34" xfId="0" applyNumberFormat="1" applyFont="1" applyFill="1" applyBorder="1" applyAlignment="1">
      <alignment horizontal="left" indent="1"/>
    </xf>
    <xf numFmtId="0" fontId="2" fillId="10" borderId="32" xfId="0" applyFont="1" applyFill="1" applyBorder="1" applyAlignment="1">
      <alignment horizontal="center"/>
    </xf>
    <xf numFmtId="49" fontId="8" fillId="10" borderId="34" xfId="0" applyNumberFormat="1" applyFont="1" applyFill="1" applyBorder="1" applyAlignment="1">
      <alignment horizontal="right" indent="1"/>
    </xf>
    <xf numFmtId="49" fontId="6" fillId="10" borderId="32" xfId="0" applyNumberFormat="1" applyFont="1" applyFill="1" applyBorder="1" applyAlignment="1">
      <alignment horizontal="right" indent="1"/>
    </xf>
    <xf numFmtId="0" fontId="2" fillId="0" borderId="1" xfId="0" applyFont="1" applyBorder="1" applyAlignment="1" applyProtection="1">
      <alignment horizontal="left" indent="1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49" fontId="2" fillId="0" borderId="1" xfId="0" applyNumberFormat="1" applyFont="1" applyBorder="1" applyAlignment="1" applyProtection="1">
      <alignment horizontal="left" indent="1"/>
      <protection locked="0"/>
    </xf>
    <xf numFmtId="0" fontId="2" fillId="0" borderId="1" xfId="0" applyFont="1" applyBorder="1" applyAlignment="1" applyProtection="1">
      <alignment horizontal="left" wrapText="1" indent="1"/>
      <protection locked="0"/>
    </xf>
    <xf numFmtId="0" fontId="2" fillId="0" borderId="9" xfId="0" applyFont="1" applyBorder="1" applyAlignment="1" applyProtection="1">
      <alignment horizontal="left" indent="1"/>
      <protection locked="0"/>
    </xf>
    <xf numFmtId="49" fontId="2" fillId="0" borderId="9" xfId="0" applyNumberFormat="1" applyFont="1" applyBorder="1" applyAlignment="1" applyProtection="1">
      <alignment horizontal="center"/>
      <protection locked="0"/>
    </xf>
    <xf numFmtId="0" fontId="7" fillId="0" borderId="25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textRotation="90" wrapText="1"/>
    </xf>
    <xf numFmtId="49" fontId="7" fillId="0" borderId="15" xfId="0" applyNumberFormat="1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textRotation="90"/>
    </xf>
    <xf numFmtId="0" fontId="7" fillId="0" borderId="8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textRotation="90" wrapText="1"/>
    </xf>
    <xf numFmtId="49" fontId="3" fillId="0" borderId="1" xfId="0" applyNumberFormat="1" applyFont="1" applyBorder="1" applyAlignment="1">
      <alignment horizontal="center" vertical="center" textRotation="90" wrapText="1"/>
    </xf>
    <xf numFmtId="0" fontId="7" fillId="0" borderId="1" xfId="0" applyFont="1" applyBorder="1" applyAlignment="1">
      <alignment horizontal="center" vertical="center" textRotation="90"/>
    </xf>
    <xf numFmtId="0" fontId="7" fillId="0" borderId="7" xfId="0" applyFont="1" applyBorder="1" applyAlignment="1">
      <alignment horizontal="left" vertical="center" wrapText="1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center" vertical="center" textRotation="90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0" fillId="0" borderId="5" xfId="0" applyNumberFormat="1" applyBorder="1" applyAlignment="1">
      <alignment horizontal="center" vertical="center"/>
    </xf>
    <xf numFmtId="0" fontId="2" fillId="0" borderId="1" xfId="0" applyFont="1" applyBorder="1" applyAlignment="1" applyProtection="1">
      <alignment horizontal="left" vertical="center" wrapText="1" indent="1"/>
      <protection locked="0"/>
    </xf>
    <xf numFmtId="0" fontId="2" fillId="0" borderId="1" xfId="0" applyFont="1" applyBorder="1" applyAlignment="1" applyProtection="1">
      <alignment horizontal="left" vertical="center" indent="1"/>
      <protection locked="0"/>
    </xf>
    <xf numFmtId="0" fontId="2" fillId="0" borderId="5" xfId="0" applyFont="1" applyBorder="1" applyAlignment="1" applyProtection="1">
      <alignment horizontal="left" vertical="center" indent="1"/>
      <protection locked="0"/>
    </xf>
    <xf numFmtId="0" fontId="3" fillId="0" borderId="0" xfId="0" applyFont="1" applyAlignment="1">
      <alignment horizontal="center"/>
    </xf>
    <xf numFmtId="0" fontId="14" fillId="13" borderId="1" xfId="0" applyFont="1" applyFill="1" applyBorder="1" applyAlignment="1">
      <alignment horizontal="center" vertical="center" wrapText="1" shrinkToFit="1"/>
    </xf>
    <xf numFmtId="0" fontId="14" fillId="13" borderId="51" xfId="0" applyFont="1" applyFill="1" applyBorder="1" applyAlignment="1">
      <alignment horizontal="center" vertical="center" wrapText="1" shrinkToFit="1"/>
    </xf>
    <xf numFmtId="0" fontId="3" fillId="0" borderId="56" xfId="0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11" fillId="11" borderId="17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13" borderId="48" xfId="0" applyFont="1" applyFill="1" applyBorder="1" applyAlignment="1">
      <alignment horizontal="center" vertical="center" wrapText="1" shrinkToFit="1"/>
    </xf>
    <xf numFmtId="0" fontId="14" fillId="13" borderId="51" xfId="0" applyFont="1" applyFill="1" applyBorder="1" applyAlignment="1">
      <alignment horizontal="center" vertical="center" wrapText="1" shrinkToFit="1"/>
    </xf>
    <xf numFmtId="0" fontId="14" fillId="13" borderId="53" xfId="0" applyFont="1" applyFill="1" applyBorder="1" applyAlignment="1">
      <alignment horizontal="center" vertical="center" wrapText="1" shrinkToFit="1"/>
    </xf>
    <xf numFmtId="0" fontId="14" fillId="13" borderId="49" xfId="0" applyFont="1" applyFill="1" applyBorder="1" applyAlignment="1">
      <alignment horizontal="center" vertical="center" wrapText="1" shrinkToFit="1"/>
    </xf>
    <xf numFmtId="0" fontId="14" fillId="13" borderId="1" xfId="0" applyFont="1" applyFill="1" applyBorder="1" applyAlignment="1">
      <alignment horizontal="center" vertical="center" wrapText="1" shrinkToFit="1"/>
    </xf>
    <xf numFmtId="0" fontId="14" fillId="13" borderId="54" xfId="0" applyFont="1" applyFill="1" applyBorder="1" applyAlignment="1">
      <alignment horizontal="center" vertical="center" wrapText="1" shrinkToFit="1"/>
    </xf>
    <xf numFmtId="0" fontId="14" fillId="13" borderId="50" xfId="0" applyFont="1" applyFill="1" applyBorder="1" applyAlignment="1">
      <alignment horizontal="center" vertical="center" wrapText="1" shrinkToFit="1"/>
    </xf>
    <xf numFmtId="0" fontId="14" fillId="13" borderId="52" xfId="0" applyFont="1" applyFill="1" applyBorder="1" applyAlignment="1">
      <alignment horizontal="center" vertical="center" wrapText="1" shrinkToFit="1"/>
    </xf>
    <xf numFmtId="0" fontId="14" fillId="13" borderId="55" xfId="0" applyFont="1" applyFill="1" applyBorder="1" applyAlignment="1">
      <alignment horizontal="center" vertical="center" wrapText="1" shrinkToFit="1"/>
    </xf>
  </cellXfs>
  <cellStyles count="2">
    <cellStyle name="Normal" xfId="0" builtinId="0"/>
    <cellStyle name="Normal 3" xfId="1" xr:uid="{10B16ACB-ED10-4EC9-8CB9-B852E4280629}"/>
  </cellStyles>
  <dxfs count="1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9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color auto="1"/>
      </font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9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00FF"/>
      <color rgb="FFFF6699"/>
      <color rgb="FFFFCC99"/>
      <color rgb="FF9999FF"/>
      <color rgb="FFBDD7EE"/>
      <color rgb="FFFFCCFF"/>
      <color rgb="FFFFCCCC"/>
      <color rgb="FFFFFF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RL5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'I-O'!$N$293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'I-O'!$O$290:$X$290</c:f>
              <c:strCache>
                <c:ptCount val="10"/>
                <c:pt idx="0">
                  <c:v>DEVICE
INSTALLED</c:v>
                </c:pt>
                <c:pt idx="1">
                  <c:v>DEVICE
TAGGED</c:v>
                </c:pt>
                <c:pt idx="2">
                  <c:v>CA
INSTALLED</c:v>
                </c:pt>
                <c:pt idx="3">
                  <c:v>RACEWAYS
COMPLETE</c:v>
                </c:pt>
                <c:pt idx="4">
                  <c:v>WIRE
PULLED</c:v>
                </c:pt>
                <c:pt idx="5">
                  <c:v>WIRE
TERMED</c:v>
                </c:pt>
                <c:pt idx="6">
                  <c:v>WIRE
TAGGED</c:v>
                </c:pt>
                <c:pt idx="7">
                  <c:v>POINT
TO POINT</c:v>
                </c:pt>
                <c:pt idx="8">
                  <c:v>IO CHECK</c:v>
                </c:pt>
                <c:pt idx="9">
                  <c:v>IO GOOD</c:v>
                </c:pt>
              </c:strCache>
            </c:strRef>
          </c:cat>
          <c:val>
            <c:numRef>
              <c:f>'I-O'!$O$293:$X$293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E-4079-85BD-632A2DC033D7}"/>
            </c:ext>
          </c:extLst>
        </c:ser>
        <c:ser>
          <c:idx val="1"/>
          <c:order val="1"/>
          <c:tx>
            <c:strRef>
              <c:f>'I-O'!$N$294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'I-O'!$O$290:$X$290</c:f>
              <c:strCache>
                <c:ptCount val="10"/>
                <c:pt idx="0">
                  <c:v>DEVICE
INSTALLED</c:v>
                </c:pt>
                <c:pt idx="1">
                  <c:v>DEVICE
TAGGED</c:v>
                </c:pt>
                <c:pt idx="2">
                  <c:v>CA
INSTALLED</c:v>
                </c:pt>
                <c:pt idx="3">
                  <c:v>RACEWAYS
COMPLETE</c:v>
                </c:pt>
                <c:pt idx="4">
                  <c:v>WIRE
PULLED</c:v>
                </c:pt>
                <c:pt idx="5">
                  <c:v>WIRE
TERMED</c:v>
                </c:pt>
                <c:pt idx="6">
                  <c:v>WIRE
TAGGED</c:v>
                </c:pt>
                <c:pt idx="7">
                  <c:v>POINT
TO POINT</c:v>
                </c:pt>
                <c:pt idx="8">
                  <c:v>IO CHECK</c:v>
                </c:pt>
                <c:pt idx="9">
                  <c:v>IO GOOD</c:v>
                </c:pt>
              </c:strCache>
            </c:strRef>
          </c:cat>
          <c:val>
            <c:numRef>
              <c:f>'I-O'!$O$294:$X$294</c:f>
              <c:numCache>
                <c:formatCode>0.0%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3E-4079-85BD-632A2DC03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485727"/>
        <c:axId val="74129503"/>
      </c:barChart>
      <c:catAx>
        <c:axId val="98248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9503"/>
        <c:crosses val="autoZero"/>
        <c:auto val="1"/>
        <c:lblAlgn val="ctr"/>
        <c:lblOffset val="100"/>
        <c:noMultiLvlLbl val="0"/>
      </c:catAx>
      <c:valAx>
        <c:axId val="741295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8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19049</xdr:rowOff>
    </xdr:from>
    <xdr:to>
      <xdr:col>10</xdr:col>
      <xdr:colOff>581024</xdr:colOff>
      <xdr:row>35</xdr:row>
      <xdr:rowOff>161924</xdr:rowOff>
    </xdr:to>
    <xdr:graphicFrame macro="">
      <xdr:nvGraphicFramePr>
        <xdr:cNvPr id="4" name="Chart 3" descr="Bar chart for showing construction progress percent complete. Areas tracked include Device Installed, Device Tagged, Compressed Air Installed, Raceways Complete, Wire Pulled, Termed, and Tagged, I/O Point to Point continuity check, I/O PLC check, and I/O Good.">
          <a:extLst>
            <a:ext uri="{FF2B5EF4-FFF2-40B4-BE49-F238E27FC236}">
              <a16:creationId xmlns:a16="http://schemas.microsoft.com/office/drawing/2014/main" id="{C58B1F84-EB54-4478-968D-B289335DE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104775</xdr:rowOff>
    </xdr:from>
    <xdr:to>
      <xdr:col>1</xdr:col>
      <xdr:colOff>619125</xdr:colOff>
      <xdr:row>4</xdr:row>
      <xdr:rowOff>190500</xdr:rowOff>
    </xdr:to>
    <xdr:sp macro="[0]!GenerateMccEle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BD15EC7-2E52-5FC5-7923-C983A4DA7A56}"/>
            </a:ext>
          </a:extLst>
        </xdr:cNvPr>
        <xdr:cNvSpPr/>
      </xdr:nvSpPr>
      <xdr:spPr>
        <a:xfrm>
          <a:off x="76200" y="419100"/>
          <a:ext cx="1257300" cy="1000125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/>
            <a:t>GENERATE </a:t>
          </a:r>
          <a:r>
            <a:rPr lang="en-US" sz="1300" baseline="0"/>
            <a:t>MCC</a:t>
          </a:r>
          <a:r>
            <a:rPr lang="en-US" sz="1300"/>
            <a:t> ELEVATIONS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F05E401B-4EA9-4943-84B8-669E654F30F6}">
    <nsvFilter filterId="{5EB927C6-4AD1-43AC-9ED7-05EF3E49753A}" ref="A1:Y285" tableId="6">
      <columnFilter colId="6">
        <filter colId="6">
          <x:filters>
            <x:filter val="BREDDO MIXER CIP CONTORL VALVE FEEDBACK"/>
            <x:filter val="BREDDO MIXER CIP FLOW METER"/>
            <x:filter val="BREDDO MIXER INLET WATER FLOW RATE"/>
            <x:filter val="CHUB CIP FLOW TO COOKER 1"/>
            <x:filter val="CHUB CIP FLOW TO COOKER 2"/>
            <x:filter val="CHUB COOKER 1 CIP FLOW METER"/>
            <x:filter val="CHUB COOKER 1 CONTROL VALVE FEEDBACK"/>
            <x:filter val="CHUB COOKER 2 CIP CONTROL VALVE FEEDBACK"/>
            <x:filter val="CHUB COOKER 2 CIP FLOW METER"/>
            <x:filter val="DISCHARGE AUGER CART SIDE TEMPERATURE TRANSMITTER"/>
            <x:filter val="DXP AIR SUPPLY PRESSURE TRANSMITTER"/>
            <x:filter val="DXP HEX OUT TEMPERATURE TRANSMITTER"/>
            <x:filter val="DXP HEX RETURN FLOWMETER"/>
            <x:filter val="DXP STEAM INLET PRESSURE TRANSMITTER"/>
            <x:filter val="DXP TANK LEVEL TRANSMITTER"/>
            <x:filter val="DXP TANK TEMPERATURE TRANSMITTER"/>
            <x:filter val="DXP TEMPERATURE CONTROL VALVE POSITION FEEDBACK"/>
            <x:filter val="DXP WATER SUPPLY FLOWMETER"/>
            <x:filter val="DXP WATER SUPPLY PRESSURE TRANSMITTER"/>
            <x:filter val="HPS SUPPLY FLOW TO CHUB COOKER 2"/>
            <x:filter val="HPS SUPPLY FLOW TO COOKER 1"/>
            <x:filter val="LACTIC ACID OUTLET FLOW TRANSMITTER"/>
            <x:filter val="LACTIC ACID OUTLET PRESSURE TRANSMITTER"/>
            <x:filter val="MIXER SIDE TEMPERATURE TRANSMITTER"/>
            <x:filter val="MPS PRESSURE TO CHUB JACKET HX SKID"/>
            <x:filter val="MPS PRESSURE TO COOKER 1 (HIGH)"/>
            <x:filter val="MPS PRESSURE TO COOKER 1 (LOW)"/>
            <x:filter val="MPS PRESSURE TO COOKER 2 (HIGH)"/>
            <x:filter val="MPS PRESSURE TO COOKER 2 (LOW)"/>
            <x:filter val="MPS TEMPERATURE CONTROL VALVE FB COOKER 1"/>
            <x:filter val="MPS TEMPERATURE CONTROL VALVE FB COOKER 2"/>
            <x:filter val="PHH LOOP PRESSURE"/>
            <x:filter val="PHH LOOP PRESSURE CONTROL VALVE"/>
            <x:filter val="PHHR CONTORL VALVE - DISCHARGE AUGER CART"/>
            <x:filter val="PHHR CONTORL VALVE - MIXER/COOKER 1"/>
            <x:filter val="PHHR CONTORL VALVE - MIXER/COOKER 2"/>
            <x:filter val="PHHR FLOW"/>
            <x:filter val="PHHR FLOW FROM CHUB COOKER SKID"/>
            <x:filter val="PHHR PRESSURE"/>
            <x:filter val="PHHR TEMPERATURE FROM DISCHARGE AUGER CART JACKET"/>
            <x:filter val="PHHR TEMPERATURE FROM MIXER/COOKER 1 JACKET"/>
            <x:filter val="PHHR TEMPERATURE FROM MIXER/COOKER 2 JACKET"/>
            <x:filter val="PHHS FLOW TO DISCHARGE AUGER CART JACKET"/>
            <x:filter val="PHHS FLOW TO MIXER/COOKER 1 JACKET"/>
            <x:filter val="PHHS FLOW TO MIXER/COOKER 2 JACKET"/>
            <x:filter val="PHHS PRESSURE TO MIXER/COOKER 1 JACKET"/>
            <x:filter val="PHHS PRESSURE TO MIXER/COOKER 2 JACKET"/>
            <x:filter val="PHSS PRESSURE TO DISCHARGE AUGER CART JACKET"/>
            <x:filter val="SERPENTINE FALLING FILM CHILLER A TEMPERATURE"/>
            <x:filter val="SERPENTINE FALLING FILM CHILLER B TEMPERATURE"/>
            <x:filter val="SERPENTINE FALLING FILM CHILLER C TEMPERATURE"/>
            <x:filter val="SERPENTINE FLOW TO ZONE 1 HEX"/>
            <x:filter val="SERPENTINE FLOW TO ZONE 2 NORHT TOP WATER TANK"/>
            <x:filter val="SERPENTINE FLOW TO ZONE 2 NORTH HEX"/>
            <x:filter val="SERPENTINE FLOW TO ZONE 2 SOUTH HEX"/>
            <x:filter val="SERPENTINE FLOW TO ZONE 2 SOUTH TOP WATER TANK"/>
            <x:filter val="SERPENTINE PRESSURE TO ZONE 1 HEX"/>
            <x:filter val="SERPENTINE PRESSURE TO ZONE 2 NORH TOP WATER TANK"/>
            <x:filter val="SERPENTINE PRESSURE TO ZONE 2 NORTH HEX"/>
            <x:filter val="SERPENTINE PRESSURE TO ZONE 2 SOUTH HEX"/>
            <x:filter val="SERPENTINE PRESSURE TO ZONE 2 SOUTH SUMP PRESSURE (LEVEL)"/>
            <x:filter val="SERPENTINE PRESSURE TO ZONE 2 SOUTH SUMP TEMPERATURE"/>
            <x:filter val="SERPENTINE PRESSURE TO ZONE 2 SOUTH TOP WATER TANK"/>
            <x:filter val="SERPENTINE TEMPERATURE TO ZONE 1 HEX"/>
            <x:filter val="SERPENTINE TEMPERATURE TO ZONE 2 NORH TOP WATER TANK"/>
            <x:filter val="SERPENTINE TEMPERATURE TO ZONE 2 SOUTH HEX"/>
            <x:filter val="SERPENTINE ZONE 1 SUMP PRESSURE (LEVEL)"/>
            <x:filter val="SERPENTINE ZONE 1 SUMP TEMPERATURE"/>
          </x:filters>
        </filter>
      </columnFilter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961E33-37D5-4B96-94CE-49A034CBB5F7}" name="IO_Index" displayName="IO_Index" ref="A1:Y285" totalsRowShown="0" headerRowDxfId="118" dataDxfId="116" headerRowBorderDxfId="117" tableBorderDxfId="115" totalsRowBorderDxfId="114">
  <autoFilter ref="A1:Y285" xr:uid="{5EB927C6-4AD1-43AC-9ED7-05EF3E49753A}"/>
  <tableColumns count="25">
    <tableColumn id="1" xr3:uid="{D86B59EF-901A-434D-9DB9-5D10889ADB5D}" name="NO" dataDxfId="113"/>
    <tableColumn id="3" xr3:uid="{990A2D2F-77BF-4B14-A9A2-EF853A6665EE}" name="PHASE 2A TAG" dataDxfId="112"/>
    <tableColumn id="4" xr3:uid="{1A6FBC18-1318-49E2-B8A5-9054772162E0}" name="OEM TAG" dataDxfId="111"/>
    <tableColumn id="5" xr3:uid="{7ED31140-BE24-455D-ADEE-B67042918F1E}" name="JB" dataDxfId="110"/>
    <tableColumn id="6" xr3:uid="{3A057B4F-9530-4BDB-9759-4DBA08C402D2}" name="DESCRIPTION" dataDxfId="109"/>
    <tableColumn id="7" xr3:uid="{2EFA4DEC-3602-4070-92EB-490D56C39F34}" name="P&amp;ID" dataDxfId="108"/>
    <tableColumn id="8" xr3:uid="{AD7EA7DB-C885-4638-A657-C18DBC48A0BB}" name="ROOM" dataDxfId="107"/>
    <tableColumn id="9" xr3:uid="{E5602508-920E-4A19-B655-74C26529BFDA}" name="PANEL" dataDxfId="106"/>
    <tableColumn id="10" xr3:uid="{4C94DC3D-CA9A-40EA-B37A-0289726EB3F6}" name="ORDER" dataDxfId="105"/>
    <tableColumn id="11" xr3:uid="{0AFB60C3-F3EA-4287-BDDA-11BD1CD3D520}" name="SLOT" dataDxfId="104"/>
    <tableColumn id="12" xr3:uid="{87D22AC9-C2C7-4B2F-B38C-8066EC4E01A4}" name="CH" dataDxfId="103"/>
    <tableColumn id="13" xr3:uid="{679297CE-30FC-4309-9789-1D332B3EA88F}" name="MODULE _x000a_TYPE" dataDxfId="102"/>
    <tableColumn id="14" xr3:uid="{2F246147-FFB3-4020-B00C-B8C168E330E4}" name="MODULE _x000a_P/N" dataDxfId="101"/>
    <tableColumn id="15" xr3:uid="{F64FF590-C2EF-422B-A790-642C417549F5}" name="RANGE" dataDxfId="100"/>
    <tableColumn id="16" xr3:uid="{F9494CC5-AD3D-473C-817B-55488DDB3089}" name="DEVICE_x000a_INSTALLED" dataDxfId="99"/>
    <tableColumn id="17" xr3:uid="{A0E9F1D4-2A69-446C-B20C-8FEA7BAF517B}" name="DEVICE_x000a_TAGGED" dataDxfId="98"/>
    <tableColumn id="18" xr3:uid="{9ABA3537-27DA-4CA2-8099-2B8E00B4F80E}" name="CA_x000a_INSTALLED" dataDxfId="97"/>
    <tableColumn id="19" xr3:uid="{B77A1650-4C6D-48A9-9BF8-15665399FDE0}" name="RACEWAYS_x000a_COMPLETE" dataDxfId="96"/>
    <tableColumn id="20" xr3:uid="{D937926B-A1FF-4AE9-9D63-15D2FB4E7F38}" name="WIRE_x000a_PULLED" dataDxfId="95"/>
    <tableColumn id="21" xr3:uid="{E8710D53-E72F-4CBF-B134-624169F07CEE}" name="WIRE_x000a_TERMED" dataDxfId="94"/>
    <tableColumn id="22" xr3:uid="{DA301A6B-7350-465B-A865-438F9224057D}" name="WIRE_x000a_TAGGED" dataDxfId="93"/>
    <tableColumn id="23" xr3:uid="{3AA69F75-D15A-4D37-89A0-55847D3B731B}" name="POINT_x000a_TO POINT" dataDxfId="92"/>
    <tableColumn id="24" xr3:uid="{9F7B5E37-2397-4C02-8B68-DA620B6A9F8D}" name="IO CHECK" dataDxfId="91"/>
    <tableColumn id="25" xr3:uid="{80F168AF-D0CC-43DF-8054-D7B19AFB3C71}" name="IO GOOD" dataDxfId="90"/>
    <tableColumn id="26" xr3:uid="{B69670B4-E6A9-4126-9C15-E29E52AF0B17}" name="NOTES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89F54-AE3E-4B0C-896F-A3AEC7E0CB48}" name="MCC_Table" displayName="MCC_Table" ref="A1:AI47" totalsRowShown="0" headerRowDxfId="88" dataDxfId="86" headerRowBorderDxfId="87" tableBorderDxfId="85" totalsRowBorderDxfId="84">
  <autoFilter ref="A1:AI47" xr:uid="{8B489F54-AE3E-4B0C-896F-A3AEC7E0CB48}"/>
  <sortState xmlns:xlrd2="http://schemas.microsoft.com/office/spreadsheetml/2017/richdata2" ref="A2:AI47">
    <sortCondition ref="A1:A47"/>
  </sortState>
  <tableColumns count="35">
    <tableColumn id="7" xr3:uid="{00643A67-8913-4DF8-B967-9D66721FC432}" name="MCC" dataDxfId="83"/>
    <tableColumn id="6" xr3:uid="{B534E263-C7AA-414F-AEE1-640251FEA74E}" name="BUCKET" dataDxfId="82"/>
    <tableColumn id="2" xr3:uid="{BAAEE6D5-8275-499F-A9CC-A523C8AA4C04}" name="EQUIP ID" dataDxfId="81"/>
    <tableColumn id="3" xr3:uid="{1C98E37B-9761-4A6D-9833-FF14083E1117}" name="DESCRIPTION" dataDxfId="80"/>
    <tableColumn id="23" xr3:uid="{1135D64C-0CF3-4128-9C7B-DEB0B66A5242}" name="BUCKET TYPE" dataDxfId="79"/>
    <tableColumn id="35" xr3:uid="{577C9CA1-389E-4356-8424-67D9155F2F0B}" name="REVIT FAMILY" dataDxfId="78"/>
    <tableColumn id="34" xr3:uid="{DEF3AE93-BD65-45C1-810A-8A0DE88D0ADE}" name="FAMILY TYPE" dataDxfId="77"/>
    <tableColumn id="24" xr3:uid="{B7AAB819-54A1-403A-9AB6-8357456EEAF8}" name="SF" dataDxfId="76">
      <calculatedColumnFormula>IF(ISNUMBER(MCC_Table[[#This Row],[SIZE]]), MCC_Table[[#This Row],[SIZE]]/12, 0)</calculatedColumnFormula>
    </tableColumn>
    <tableColumn id="4" xr3:uid="{3E96D90B-AEB7-43CE-A177-CA758A372774}" name="MOTOR HP" dataDxfId="75"/>
    <tableColumn id="5" xr3:uid="{1D0213B6-0EF7-4E02-88E7-B49D77BD54E6}" name="STARTER HP RATING" dataDxfId="74"/>
    <tableColumn id="33" xr3:uid="{3836790E-4182-467A-B222-ADD0A9A7CEFB}" name="VFD AMP RATING" dataDxfId="73"/>
    <tableColumn id="19" xr3:uid="{CEE59E16-9887-40E2-AC24-5C53E60CE160}" name="STARTER SIZE" dataDxfId="72"/>
    <tableColumn id="20" xr3:uid="{4F5FDAB8-20BD-460F-A13F-5B1D33BAC899}" name="CB TRIP" dataDxfId="71"/>
    <tableColumn id="14" xr3:uid="{C70AB0F8-51DF-4C1B-833C-6141649634A2}" name="CB FRAME" dataDxfId="70"/>
    <tableColumn id="31" xr3:uid="{471AC94B-0872-4833-9D20-549C593565EE}" name="FUSE TRIP" dataDxfId="69"/>
    <tableColumn id="32" xr3:uid="{343BE765-FF07-499E-81DB-5D5C51239BBB}" name="CABLE" dataDxfId="68"/>
    <tableColumn id="13" xr3:uid="{51A74598-B5DD-4692-B82E-25BAF2182B86}" name="NOTES" dataDxfId="67"/>
    <tableColumn id="25" xr3:uid="{894644D9-77DA-4471-9367-98AC44209E12}" name="SECTION" dataDxfId="66">
      <calculatedColumnFormula>_xlfn.NUMBERVALUE(LEFT(MCC_Table[[#This Row],[BUCKET]],LEN(MCC_Table[[#This Row],[BUCKET]])-1))</calculatedColumnFormula>
    </tableColumn>
    <tableColumn id="26" xr3:uid="{F08FD65D-46CC-4196-9A12-C423486F3E26}" name="START UNIT" dataDxfId="65">
      <calculatedColumnFormula>RIGHT(MCC_Table[[#This Row],[BUCKET]],1)</calculatedColumnFormula>
    </tableColumn>
    <tableColumn id="27" xr3:uid="{D57984C4-4B2D-4533-B6E3-993ABFBEC085}" name="START INDEX" dataDxfId="64">
      <calculatedColumnFormula>VLOOKUP(MCC_Table[[#This Row],[START UNIT]],UnitMap[],2,FALSE)</calculatedColumnFormula>
    </tableColumn>
    <tableColumn id="28" xr3:uid="{488033D2-A84D-496E-A929-BCE32ACBD973}" name="SIZE" dataDxfId="63">
      <calculatedColumnFormula array="1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calculatedColumnFormula>
    </tableColumn>
    <tableColumn id="29" xr3:uid="{7517BFB3-8E0A-4CC8-8865-E2926F79DA66}" name="UNITS USED" dataDxfId="62">
      <calculatedColumnFormula>IF(ISNUMBER(MCC_Table[[#This Row],[SIZE]]), MCC_Table[[#This Row],[SIZE]]/6, 0)</calculatedColumnFormula>
    </tableColumn>
    <tableColumn id="30" xr3:uid="{C0733A79-AF22-4580-AC52-83011250A617}" name="END INDEX" dataDxfId="61">
      <calculatedColumnFormula>MCC_Table[[#This Row],[START INDEX]]+MCC_Table[[#This Row],[UNITS USED]]-1</calculatedColumnFormula>
    </tableColumn>
    <tableColumn id="21" xr3:uid="{B0F3C284-E8DF-4DEF-8C30-C48B1658CFEB}" name="RACEWAYS_x000a_COMPLETE" dataDxfId="60"/>
    <tableColumn id="1" xr3:uid="{2F4EC268-66C3-4B35-A1A4-D484949A4643}" name="FEEDER_x000a_PULLED" dataDxfId="59"/>
    <tableColumn id="8" xr3:uid="{6E98164B-B513-4E02-80EF-1954BE2A4CEA}" name="FEEDER_x000a_TERMED" dataDxfId="58"/>
    <tableColumn id="11" xr3:uid="{F4A03CF4-1230-4254-A90D-27620518312E}" name="MOTOR_x000a_BUMPED" dataDxfId="57"/>
    <tableColumn id="22" xr3:uid="{14678F33-CF98-413A-9F83-624898FE77A5}" name="AUX POINT TO POINT" dataDxfId="56"/>
    <tableColumn id="18" xr3:uid="{779493E7-25A9-4DA4-B49B-5CC46AD56BF1}" name="AUX _x000a_I/O CHECK" dataDxfId="55"/>
    <tableColumn id="15" xr3:uid="{99D596D1-A2E5-4FE3-A5A0-FE886CFAB8DC}" name="COMMS_x000a_PULLED" dataDxfId="54"/>
    <tableColumn id="16" xr3:uid="{35BB74EF-D573-4DC7-9BE7-394C88DE0E00}" name="COMMS_x000a_TERMED" dataDxfId="53"/>
    <tableColumn id="17" xr3:uid="{3D2438DE-2535-4FE0-AF87-D8097034796B}" name="COMMS_x000a_TESTED" dataDxfId="52"/>
    <tableColumn id="9" xr3:uid="{6A63E21C-513B-4561-B4FA-5B8CCA61B8EB}" name="COMMS_x000a_TAGGED" dataDxfId="51"/>
    <tableColumn id="10" xr3:uid="{A8867343-414C-4230-9E59-0D5770BC4F3A}" name="COMMS CONFIG" dataDxfId="50"/>
    <tableColumn id="12" xr3:uid="{182064A6-747E-4033-A8B2-40A20E7BD7FB}" name="COMMS_x000a_GOOD" dataDxfId="49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ABF6AD-8BED-42F9-8091-D07CD42F5F41}" name="UnitMap" displayName="UnitMap" ref="A1:B13" totalsRowShown="0" headerRowDxfId="46" dataDxfId="45">
  <autoFilter ref="A1:B13" xr:uid="{3AABF6AD-8BED-42F9-8091-D07CD42F5F41}"/>
  <tableColumns count="2">
    <tableColumn id="1" xr3:uid="{6F21CD31-C24B-419C-96CD-B210C59CB095}" name="UnitLetter" dataDxfId="44"/>
    <tableColumn id="2" xr3:uid="{9F3E8E6B-EE75-42EE-A08B-7D9ED4381D90}" name="UnitIndex" dataDxfId="4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4D779C-E2DA-49F1-991A-9CFC172F75B6}" name="FamilyType" displayName="FamilyType" ref="F1:F30" totalsRowShown="0" headerRowDxfId="42">
  <autoFilter ref="F1:F30" xr:uid="{994D779C-E2DA-49F1-991A-9CFC172F75B6}"/>
  <tableColumns count="1">
    <tableColumn id="1" xr3:uid="{3FBD8CBA-9125-4085-B78B-93B6BB1290D1}" name="FamilyTyp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B12E3B-24D4-48FD-9056-77663E74BBE9}" name="LoadOptions" displayName="LoadOptions" ref="H1:H11" totalsRowShown="0" headerRowDxfId="41">
  <autoFilter ref="H1:H11" xr:uid="{5EB12E3B-24D4-48FD-9056-77663E74BBE9}"/>
  <tableColumns count="1">
    <tableColumn id="1" xr3:uid="{9D653A69-BD10-43A8-9CDC-416F8860D5F9}" name="LoadOption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2E649F-012D-4883-8679-06BA6981C386}" name="RevitFamily" displayName="RevitFamily" ref="D1:D8" totalsRowShown="0" headerRowDxfId="40" headerRowBorderDxfId="39" tableBorderDxfId="38">
  <autoFilter ref="D1:D8" xr:uid="{612E649F-012D-4883-8679-06BA6981C386}"/>
  <tableColumns count="1">
    <tableColumn id="1" xr3:uid="{592A5371-7668-4394-87A4-941B9B75AF22}" name="RevitFamily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499025-B54E-4947-8514-C1E84CC83063}" name="MCC_Table6" displayName="MCC_Table6" ref="A1:AG431" totalsRowShown="0" headerRowDxfId="37" dataDxfId="35" headerRowBorderDxfId="36" tableBorderDxfId="34" totalsRowBorderDxfId="33">
  <autoFilter ref="A1:AG431" xr:uid="{8B489F54-AE3E-4B0C-896F-A3AEC7E0CB48}"/>
  <tableColumns count="33">
    <tableColumn id="7" xr3:uid="{21A17123-A82F-405F-9ED4-AC62F341FD4F}" name="MCC" dataDxfId="32"/>
    <tableColumn id="6" xr3:uid="{56D8B14D-F333-4F2F-8310-86F2A0A0B6E9}" name="BUCKET" dataDxfId="31"/>
    <tableColumn id="2" xr3:uid="{6645EE9E-A17D-4269-8F90-048D22DF21E8}" name="EQUIP ID" dataDxfId="30"/>
    <tableColumn id="3" xr3:uid="{4434A1FA-4800-48EB-BD56-6578F6347697}" name="DESCRIPTION" dataDxfId="29"/>
    <tableColumn id="23" xr3:uid="{3F113170-5A09-4953-BD1B-59C7ABFCDB52}" name="BUCKET TYPE" dataDxfId="28"/>
    <tableColumn id="24" xr3:uid="{C334F0D0-6119-4BB7-93C6-2DF4F25FA304}" name="SF" dataDxfId="27">
      <calculatedColumnFormula>IF(ISNUMBER(MCC_Table6[[#This Row],[SIZE]]), MCC_Table6[[#This Row],[SIZE]]/12, 0)</calculatedColumnFormula>
    </tableColumn>
    <tableColumn id="4" xr3:uid="{356A7D6C-C953-47C0-84DF-6C10A86C8320}" name="MOTOR HP" dataDxfId="26"/>
    <tableColumn id="5" xr3:uid="{8632A0A3-C45D-4032-8ACC-C5CCD3A35C64}" name="STARTER HP RATING" dataDxfId="25"/>
    <tableColumn id="33" xr3:uid="{3479EB5E-2EAB-423D-9DBE-E3AD60D4FAE7}" name="VFD AMP RATING" dataDxfId="24"/>
    <tableColumn id="19" xr3:uid="{4AC9A318-11CB-40F7-A4C3-C79B6752F1A6}" name="STARTER SIZE" dataDxfId="23"/>
    <tableColumn id="20" xr3:uid="{16137373-BF61-427E-BB22-79548F5DD0B0}" name="CB TRIP" dataDxfId="22"/>
    <tableColumn id="14" xr3:uid="{A2050AAC-53A2-4688-8C52-5D75DC54010C}" name="CB FRAME" dataDxfId="21"/>
    <tableColumn id="31" xr3:uid="{5E61C23C-622F-45E7-8B74-CBC044D34D5F}" name="FUSE TRIP" dataDxfId="20"/>
    <tableColumn id="32" xr3:uid="{A887CC41-40F4-444E-93D9-98A9AAF44513}" name="CABLE" dataDxfId="19"/>
    <tableColumn id="13" xr3:uid="{D6AD59D7-9F06-4624-AC84-8C01E2BBB52C}" name="NOTES" dataDxfId="18"/>
    <tableColumn id="25" xr3:uid="{865D3117-C5D4-4CC0-B52F-2426E2639649}" name="SECTION" dataDxfId="17">
      <calculatedColumnFormula>_xlfn.NUMBERVALUE(LEFT(MCC_Table6[[#This Row],[BUCKET]],LEN(MCC_Table6[[#This Row],[BUCKET]])-1))</calculatedColumnFormula>
    </tableColumn>
    <tableColumn id="26" xr3:uid="{8851E4F0-B08F-4C61-8449-F7EE9DAECCA8}" name="START UNIT" dataDxfId="16">
      <calculatedColumnFormula>RIGHT(MCC_Table6[[#This Row],[BUCKET]],1)</calculatedColumnFormula>
    </tableColumn>
    <tableColumn id="27" xr3:uid="{3991D191-0222-44EE-B94F-27C2197B212E}" name="START INDEX" dataDxfId="15">
      <calculatedColumnFormula>VLOOKUP(MCC_Table6[[#This Row],[START UNIT]],UnitMap[],2,FALSE)</calculatedColumnFormula>
    </tableColumn>
    <tableColumn id="28" xr3:uid="{7A893D83-D447-466D-A6F5-137B2F52051D}" name="SIZE" dataDxfId="14">
      <calculatedColumnFormula array="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calculatedColumnFormula>
    </tableColumn>
    <tableColumn id="29" xr3:uid="{129AEBF3-CED4-4610-A454-38EAA6541BAB}" name="UNITS USED" dataDxfId="13">
      <calculatedColumnFormula>IF(ISNUMBER(MCC_Table6[[#This Row],[SIZE]]), MCC_Table6[[#This Row],[SIZE]]/6, 0)</calculatedColumnFormula>
    </tableColumn>
    <tableColumn id="30" xr3:uid="{C7476627-1E26-4D7C-AEA4-CE87E97942ED}" name="END INDEX" dataDxfId="12">
      <calculatedColumnFormula>MCC_Table6[[#This Row],[START INDEX]]+MCC_Table6[[#This Row],[UNITS USED]]-1</calculatedColumnFormula>
    </tableColumn>
    <tableColumn id="21" xr3:uid="{40C1C98D-0CA3-449B-9800-58264281E70B}" name="RACEWAYS_x000a_COMPLETE" dataDxfId="11"/>
    <tableColumn id="1" xr3:uid="{3270A1A7-DFCA-4640-A685-4E8B2E805756}" name="FEEDER_x000a_PULLED" dataDxfId="10"/>
    <tableColumn id="8" xr3:uid="{A2BAC749-1822-47CC-A1F8-1FE3A2E0481A}" name="FEEDER_x000a_TERMED" dataDxfId="9"/>
    <tableColumn id="11" xr3:uid="{6A9AADF3-32BF-4044-A897-C0BDCC2526B0}" name="MOTOR_x000a_BUMPED" dataDxfId="8"/>
    <tableColumn id="22" xr3:uid="{8DB53724-9137-4019-87E2-CBB99DF8A064}" name="AUX POINT TO POINT" dataDxfId="7"/>
    <tableColumn id="18" xr3:uid="{0096CCB7-633A-4582-80A6-486A12298C9B}" name="AUX _x000a_I/O CHECK" dataDxfId="6"/>
    <tableColumn id="15" xr3:uid="{2ECE4E92-9B42-42FD-9701-4119C73AFE9D}" name="COMMS_x000a_PULLED" dataDxfId="5"/>
    <tableColumn id="16" xr3:uid="{A2ED49C9-405E-4261-87DB-199C1DB3FE92}" name="COMMS_x000a_TERMED" dataDxfId="4"/>
    <tableColumn id="17" xr3:uid="{832577A0-F18D-443D-8126-92B18930E0F6}" name="COMMS_x000a_TESTED" dataDxfId="3"/>
    <tableColumn id="9" xr3:uid="{D98DAC2A-EBDD-4652-B7A3-94A2AE507335}" name="COMMS_x000a_TAGGED" dataDxfId="2"/>
    <tableColumn id="10" xr3:uid="{0D1527D8-67D8-47D2-920B-FF938BACEF44}" name="COMMS CONFIG" dataDxfId="1"/>
    <tableColumn id="12" xr3:uid="{5043204F-4598-48E7-9DC5-311536ACB087}" name="COMMS_x000a_GOOD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27C6-4AD1-43AC-9ED7-05EF3E49753A}">
  <sheetPr codeName="Sheet1">
    <tabColor theme="4" tint="0.79998168889431442"/>
    <pageSetUpPr fitToPage="1"/>
  </sheetPr>
  <dimension ref="A1:Y324"/>
  <sheetViews>
    <sheetView zoomScaleNormal="100" zoomScaleSheetLayoutView="85" workbookViewId="0">
      <pane xSplit="4" ySplit="1" topLeftCell="E20" activePane="bottomRight" state="frozen"/>
      <selection pane="topRight" activeCell="E1" sqref="E1"/>
      <selection pane="bottomLeft" activeCell="A2" sqref="A2"/>
      <selection pane="bottomRight" activeCell="E20" sqref="E20"/>
    </sheetView>
  </sheetViews>
  <sheetFormatPr defaultColWidth="8.88671875" defaultRowHeight="14.4" x14ac:dyDescent="0.3"/>
  <cols>
    <col min="1" max="1" width="8.44140625" style="73" bestFit="1" customWidth="1"/>
    <col min="2" max="2" width="22.33203125" style="73" customWidth="1"/>
    <col min="3" max="3" width="12.33203125" style="74" customWidth="1"/>
    <col min="4" max="4" width="13.44140625" style="74" bestFit="1" customWidth="1"/>
    <col min="5" max="5" width="86" style="75" customWidth="1"/>
    <col min="6" max="6" width="8.109375" style="73" bestFit="1" customWidth="1"/>
    <col min="7" max="7" width="9" style="74" customWidth="1"/>
    <col min="8" max="8" width="19.5546875" style="74" bestFit="1" customWidth="1"/>
    <col min="9" max="11" width="7.6640625" style="73" customWidth="1"/>
    <col min="12" max="13" width="12.6640625" style="73" customWidth="1"/>
    <col min="14" max="14" width="13.6640625" style="80" customWidth="1"/>
    <col min="15" max="22" width="11.109375" style="73" customWidth="1"/>
    <col min="23" max="24" width="8.33203125" style="73" customWidth="1"/>
    <col min="25" max="25" width="57.109375" style="81" customWidth="1"/>
    <col min="26" max="16384" width="8.88671875" style="77"/>
  </cols>
  <sheetData>
    <row r="1" spans="1:25" s="170" customFormat="1" ht="60.6" customHeight="1" x14ac:dyDescent="0.3">
      <c r="A1" s="244" t="s">
        <v>0</v>
      </c>
      <c r="B1" s="245" t="s">
        <v>1</v>
      </c>
      <c r="C1" s="245" t="s">
        <v>2</v>
      </c>
      <c r="D1" s="245" t="s">
        <v>3</v>
      </c>
      <c r="E1" s="245" t="s">
        <v>4</v>
      </c>
      <c r="F1" s="245" t="s">
        <v>5</v>
      </c>
      <c r="G1" s="245" t="s">
        <v>6</v>
      </c>
      <c r="H1" s="245" t="s">
        <v>7</v>
      </c>
      <c r="I1" s="246" t="s">
        <v>8</v>
      </c>
      <c r="J1" s="246" t="s">
        <v>9</v>
      </c>
      <c r="K1" s="246" t="s">
        <v>10</v>
      </c>
      <c r="L1" s="245" t="s">
        <v>11</v>
      </c>
      <c r="M1" s="245" t="s">
        <v>12</v>
      </c>
      <c r="N1" s="247" t="s">
        <v>13</v>
      </c>
      <c r="O1" s="246" t="s">
        <v>14</v>
      </c>
      <c r="P1" s="246" t="s">
        <v>15</v>
      </c>
      <c r="Q1" s="246" t="s">
        <v>16</v>
      </c>
      <c r="R1" s="246" t="s">
        <v>17</v>
      </c>
      <c r="S1" s="246" t="s">
        <v>18</v>
      </c>
      <c r="T1" s="246" t="s">
        <v>19</v>
      </c>
      <c r="U1" s="246" t="s">
        <v>20</v>
      </c>
      <c r="V1" s="246" t="s">
        <v>21</v>
      </c>
      <c r="W1" s="248" t="s">
        <v>22</v>
      </c>
      <c r="X1" s="248" t="s">
        <v>23</v>
      </c>
      <c r="Y1" s="249" t="s">
        <v>24</v>
      </c>
    </row>
    <row r="2" spans="1:25" s="78" customFormat="1" x14ac:dyDescent="0.3">
      <c r="A2" s="250"/>
      <c r="B2" s="252"/>
      <c r="C2" s="251"/>
      <c r="D2" s="251"/>
      <c r="E2" s="251"/>
      <c r="F2" s="252"/>
      <c r="G2" s="253"/>
      <c r="H2" s="251"/>
      <c r="I2" s="39">
        <v>0</v>
      </c>
      <c r="J2" s="39">
        <v>0</v>
      </c>
      <c r="K2" s="39">
        <v>0</v>
      </c>
      <c r="L2" s="254"/>
      <c r="M2" s="254"/>
      <c r="N2" s="255"/>
      <c r="O2" s="254"/>
      <c r="P2" s="254"/>
      <c r="Q2" s="256"/>
      <c r="R2" s="254"/>
      <c r="S2" s="254"/>
      <c r="T2" s="254"/>
      <c r="U2" s="254"/>
      <c r="V2" s="254"/>
      <c r="W2" s="256"/>
      <c r="X2" s="256"/>
      <c r="Y2" s="257"/>
    </row>
    <row r="3" spans="1:25" s="78" customFormat="1" x14ac:dyDescent="0.3">
      <c r="A3" s="161">
        <f t="shared" ref="A3:A51" si="0">ROW()-2</f>
        <v>1</v>
      </c>
      <c r="B3" s="162" t="s">
        <v>25</v>
      </c>
      <c r="C3" s="162"/>
      <c r="D3" s="162"/>
      <c r="E3" s="237" t="s">
        <v>26</v>
      </c>
      <c r="F3" s="164" t="s">
        <v>27</v>
      </c>
      <c r="G3" s="162" t="s">
        <v>28</v>
      </c>
      <c r="H3" s="164" t="s">
        <v>29</v>
      </c>
      <c r="I3" s="162">
        <v>18</v>
      </c>
      <c r="J3" s="162">
        <v>1</v>
      </c>
      <c r="K3" s="162">
        <v>0</v>
      </c>
      <c r="L3" s="162" t="s">
        <v>30</v>
      </c>
      <c r="M3" s="162" t="s">
        <v>31</v>
      </c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3"/>
    </row>
    <row r="4" spans="1:25" s="78" customFormat="1" x14ac:dyDescent="0.3">
      <c r="A4" s="161">
        <f t="shared" si="0"/>
        <v>2</v>
      </c>
      <c r="B4" s="162" t="s">
        <v>32</v>
      </c>
      <c r="C4" s="162"/>
      <c r="D4" s="162"/>
      <c r="E4" s="237" t="s">
        <v>33</v>
      </c>
      <c r="F4" s="164" t="s">
        <v>27</v>
      </c>
      <c r="G4" s="162" t="s">
        <v>28</v>
      </c>
      <c r="H4" s="164" t="s">
        <v>29</v>
      </c>
      <c r="I4" s="162">
        <v>18</v>
      </c>
      <c r="J4" s="162">
        <v>1</v>
      </c>
      <c r="K4" s="162">
        <v>1</v>
      </c>
      <c r="L4" s="162" t="s">
        <v>30</v>
      </c>
      <c r="M4" s="162" t="s">
        <v>31</v>
      </c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3"/>
    </row>
    <row r="5" spans="1:25" s="78" customFormat="1" x14ac:dyDescent="0.3">
      <c r="A5" s="161">
        <f t="shared" si="0"/>
        <v>3</v>
      </c>
      <c r="B5" s="162" t="s">
        <v>34</v>
      </c>
      <c r="C5" s="162"/>
      <c r="D5" s="162"/>
      <c r="E5" s="237" t="s">
        <v>35</v>
      </c>
      <c r="F5" s="164" t="s">
        <v>36</v>
      </c>
      <c r="G5" s="162" t="s">
        <v>28</v>
      </c>
      <c r="H5" s="164" t="s">
        <v>29</v>
      </c>
      <c r="I5" s="162">
        <v>18</v>
      </c>
      <c r="J5" s="162">
        <v>1</v>
      </c>
      <c r="K5" s="162">
        <v>2</v>
      </c>
      <c r="L5" s="162" t="s">
        <v>30</v>
      </c>
      <c r="M5" s="162" t="s">
        <v>31</v>
      </c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3"/>
    </row>
    <row r="6" spans="1:25" s="84" customFormat="1" x14ac:dyDescent="0.3">
      <c r="A6" s="161">
        <f t="shared" si="0"/>
        <v>4</v>
      </c>
      <c r="B6" s="162" t="s">
        <v>37</v>
      </c>
      <c r="C6" s="162"/>
      <c r="D6" s="162"/>
      <c r="E6" s="237" t="s">
        <v>38</v>
      </c>
      <c r="F6" s="164" t="s">
        <v>36</v>
      </c>
      <c r="G6" s="162" t="s">
        <v>28</v>
      </c>
      <c r="H6" s="164" t="s">
        <v>29</v>
      </c>
      <c r="I6" s="162">
        <v>18</v>
      </c>
      <c r="J6" s="162">
        <v>1</v>
      </c>
      <c r="K6" s="162">
        <v>3</v>
      </c>
      <c r="L6" s="162" t="s">
        <v>30</v>
      </c>
      <c r="M6" s="162" t="s">
        <v>31</v>
      </c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3"/>
    </row>
    <row r="7" spans="1:25" s="84" customFormat="1" x14ac:dyDescent="0.3">
      <c r="A7" s="161">
        <f t="shared" si="0"/>
        <v>5</v>
      </c>
      <c r="B7" s="162" t="s">
        <v>39</v>
      </c>
      <c r="C7" s="162"/>
      <c r="D7" s="162"/>
      <c r="E7" s="237" t="s">
        <v>40</v>
      </c>
      <c r="F7" s="164" t="s">
        <v>41</v>
      </c>
      <c r="G7" s="162" t="s">
        <v>28</v>
      </c>
      <c r="H7" s="164" t="s">
        <v>29</v>
      </c>
      <c r="I7" s="162">
        <v>18</v>
      </c>
      <c r="J7" s="162">
        <v>1</v>
      </c>
      <c r="K7" s="162">
        <v>4</v>
      </c>
      <c r="L7" s="162" t="s">
        <v>30</v>
      </c>
      <c r="M7" s="162" t="s">
        <v>31</v>
      </c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3"/>
    </row>
    <row r="8" spans="1:25" s="84" customFormat="1" x14ac:dyDescent="0.3">
      <c r="A8" s="161">
        <f t="shared" si="0"/>
        <v>6</v>
      </c>
      <c r="B8" s="162" t="s">
        <v>42</v>
      </c>
      <c r="C8" s="162"/>
      <c r="D8" s="162"/>
      <c r="E8" s="237" t="s">
        <v>43</v>
      </c>
      <c r="F8" s="164" t="s">
        <v>41</v>
      </c>
      <c r="G8" s="162" t="s">
        <v>28</v>
      </c>
      <c r="H8" s="164" t="s">
        <v>29</v>
      </c>
      <c r="I8" s="162">
        <v>18</v>
      </c>
      <c r="J8" s="162">
        <v>1</v>
      </c>
      <c r="K8" s="162">
        <v>5</v>
      </c>
      <c r="L8" s="162" t="s">
        <v>30</v>
      </c>
      <c r="M8" s="162" t="s">
        <v>31</v>
      </c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3"/>
    </row>
    <row r="9" spans="1:25" s="84" customFormat="1" x14ac:dyDescent="0.3">
      <c r="A9" s="161">
        <f t="shared" si="0"/>
        <v>7</v>
      </c>
      <c r="B9" s="162" t="s">
        <v>44</v>
      </c>
      <c r="C9" s="162"/>
      <c r="D9" s="162"/>
      <c r="E9" s="237" t="s">
        <v>45</v>
      </c>
      <c r="F9" s="164" t="s">
        <v>46</v>
      </c>
      <c r="G9" s="162" t="s">
        <v>28</v>
      </c>
      <c r="H9" s="164" t="s">
        <v>29</v>
      </c>
      <c r="I9" s="162">
        <v>18</v>
      </c>
      <c r="J9" s="162">
        <v>1</v>
      </c>
      <c r="K9" s="162">
        <v>6</v>
      </c>
      <c r="L9" s="162" t="s">
        <v>30</v>
      </c>
      <c r="M9" s="162" t="s">
        <v>31</v>
      </c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3"/>
    </row>
    <row r="10" spans="1:25" s="84" customFormat="1" x14ac:dyDescent="0.3">
      <c r="A10" s="161">
        <f t="shared" si="0"/>
        <v>8</v>
      </c>
      <c r="B10" s="162" t="s">
        <v>47</v>
      </c>
      <c r="C10" s="162"/>
      <c r="D10" s="162"/>
      <c r="E10" s="237" t="s">
        <v>48</v>
      </c>
      <c r="F10" s="164" t="s">
        <v>46</v>
      </c>
      <c r="G10" s="162" t="s">
        <v>28</v>
      </c>
      <c r="H10" s="164" t="s">
        <v>29</v>
      </c>
      <c r="I10" s="162">
        <v>18</v>
      </c>
      <c r="J10" s="162">
        <v>1</v>
      </c>
      <c r="K10" s="162">
        <v>7</v>
      </c>
      <c r="L10" s="162" t="s">
        <v>30</v>
      </c>
      <c r="M10" s="162" t="s">
        <v>31</v>
      </c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3"/>
    </row>
    <row r="11" spans="1:25" s="84" customFormat="1" x14ac:dyDescent="0.3">
      <c r="A11" s="161">
        <f t="shared" si="0"/>
        <v>9</v>
      </c>
      <c r="B11" s="162" t="s">
        <v>49</v>
      </c>
      <c r="C11" s="162"/>
      <c r="D11" s="162"/>
      <c r="E11" s="237" t="s">
        <v>50</v>
      </c>
      <c r="F11" s="164" t="s">
        <v>46</v>
      </c>
      <c r="G11" s="162" t="s">
        <v>28</v>
      </c>
      <c r="H11" s="164" t="s">
        <v>29</v>
      </c>
      <c r="I11" s="162">
        <v>18</v>
      </c>
      <c r="J11" s="162">
        <v>1</v>
      </c>
      <c r="K11" s="162">
        <v>8</v>
      </c>
      <c r="L11" s="162" t="s">
        <v>30</v>
      </c>
      <c r="M11" s="162" t="s">
        <v>31</v>
      </c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3"/>
    </row>
    <row r="12" spans="1:25" s="84" customFormat="1" x14ac:dyDescent="0.3">
      <c r="A12" s="161">
        <f t="shared" si="0"/>
        <v>10</v>
      </c>
      <c r="B12" s="162" t="s">
        <v>51</v>
      </c>
      <c r="C12" s="162"/>
      <c r="D12" s="162"/>
      <c r="E12" s="237" t="s">
        <v>52</v>
      </c>
      <c r="F12" s="164" t="s">
        <v>46</v>
      </c>
      <c r="G12" s="162" t="s">
        <v>28</v>
      </c>
      <c r="H12" s="164" t="s">
        <v>29</v>
      </c>
      <c r="I12" s="162">
        <v>18</v>
      </c>
      <c r="J12" s="162">
        <v>1</v>
      </c>
      <c r="K12" s="162">
        <v>9</v>
      </c>
      <c r="L12" s="162" t="s">
        <v>30</v>
      </c>
      <c r="M12" s="162" t="s">
        <v>31</v>
      </c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3"/>
    </row>
    <row r="13" spans="1:25" s="84" customFormat="1" x14ac:dyDescent="0.3">
      <c r="A13" s="161">
        <f t="shared" si="0"/>
        <v>11</v>
      </c>
      <c r="B13" s="162"/>
      <c r="C13" s="162"/>
      <c r="D13" s="162"/>
      <c r="E13" s="237" t="s">
        <v>53</v>
      </c>
      <c r="F13" s="164"/>
      <c r="G13" s="162"/>
      <c r="H13" s="164" t="s">
        <v>29</v>
      </c>
      <c r="I13" s="162">
        <v>18</v>
      </c>
      <c r="J13" s="162">
        <v>1</v>
      </c>
      <c r="K13" s="162">
        <v>10</v>
      </c>
      <c r="L13" s="162" t="s">
        <v>30</v>
      </c>
      <c r="M13" s="162" t="s">
        <v>31</v>
      </c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3"/>
    </row>
    <row r="14" spans="1:25" s="84" customFormat="1" x14ac:dyDescent="0.3">
      <c r="A14" s="161">
        <f t="shared" si="0"/>
        <v>12</v>
      </c>
      <c r="B14" s="162"/>
      <c r="C14" s="162"/>
      <c r="D14" s="162"/>
      <c r="E14" s="237" t="s">
        <v>53</v>
      </c>
      <c r="F14" s="164"/>
      <c r="G14" s="162"/>
      <c r="H14" s="164" t="s">
        <v>29</v>
      </c>
      <c r="I14" s="162">
        <v>18</v>
      </c>
      <c r="J14" s="162">
        <v>1</v>
      </c>
      <c r="K14" s="162">
        <v>11</v>
      </c>
      <c r="L14" s="162" t="s">
        <v>30</v>
      </c>
      <c r="M14" s="162" t="s">
        <v>31</v>
      </c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3"/>
    </row>
    <row r="15" spans="1:25" s="84" customFormat="1" x14ac:dyDescent="0.3">
      <c r="A15" s="161">
        <f t="shared" si="0"/>
        <v>13</v>
      </c>
      <c r="B15" s="162"/>
      <c r="C15" s="162"/>
      <c r="D15" s="162"/>
      <c r="E15" s="237" t="s">
        <v>53</v>
      </c>
      <c r="F15" s="164"/>
      <c r="G15" s="162"/>
      <c r="H15" s="164" t="s">
        <v>29</v>
      </c>
      <c r="I15" s="162">
        <v>18</v>
      </c>
      <c r="J15" s="162">
        <v>1</v>
      </c>
      <c r="K15" s="162">
        <v>12</v>
      </c>
      <c r="L15" s="162" t="s">
        <v>30</v>
      </c>
      <c r="M15" s="162" t="s">
        <v>31</v>
      </c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3"/>
    </row>
    <row r="16" spans="1:25" s="84" customFormat="1" x14ac:dyDescent="0.3">
      <c r="A16" s="161">
        <f t="shared" si="0"/>
        <v>14</v>
      </c>
      <c r="B16" s="162"/>
      <c r="C16" s="162"/>
      <c r="D16" s="162"/>
      <c r="E16" s="237" t="s">
        <v>53</v>
      </c>
      <c r="F16" s="164"/>
      <c r="G16" s="162"/>
      <c r="H16" s="164" t="s">
        <v>29</v>
      </c>
      <c r="I16" s="162">
        <v>18</v>
      </c>
      <c r="J16" s="162">
        <v>1</v>
      </c>
      <c r="K16" s="162">
        <v>13</v>
      </c>
      <c r="L16" s="162" t="s">
        <v>30</v>
      </c>
      <c r="M16" s="162" t="s">
        <v>31</v>
      </c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3"/>
    </row>
    <row r="17" spans="1:25" s="78" customFormat="1" x14ac:dyDescent="0.3">
      <c r="A17" s="161">
        <f t="shared" si="0"/>
        <v>15</v>
      </c>
      <c r="B17" s="162"/>
      <c r="C17" s="162"/>
      <c r="D17" s="162"/>
      <c r="E17" s="237" t="s">
        <v>53</v>
      </c>
      <c r="F17" s="164"/>
      <c r="G17" s="162"/>
      <c r="H17" s="164" t="s">
        <v>29</v>
      </c>
      <c r="I17" s="162">
        <v>18</v>
      </c>
      <c r="J17" s="162">
        <v>1</v>
      </c>
      <c r="K17" s="162">
        <v>14</v>
      </c>
      <c r="L17" s="162" t="s">
        <v>30</v>
      </c>
      <c r="M17" s="162" t="s">
        <v>31</v>
      </c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3"/>
    </row>
    <row r="18" spans="1:25" s="78" customFormat="1" x14ac:dyDescent="0.3">
      <c r="A18" s="161">
        <f t="shared" si="0"/>
        <v>16</v>
      </c>
      <c r="B18" s="162"/>
      <c r="C18" s="162"/>
      <c r="D18" s="162"/>
      <c r="E18" s="237" t="s">
        <v>53</v>
      </c>
      <c r="F18" s="164"/>
      <c r="G18" s="162"/>
      <c r="H18" s="164" t="s">
        <v>29</v>
      </c>
      <c r="I18" s="162">
        <v>18</v>
      </c>
      <c r="J18" s="162">
        <v>1</v>
      </c>
      <c r="K18" s="162">
        <v>15</v>
      </c>
      <c r="L18" s="162" t="s">
        <v>30</v>
      </c>
      <c r="M18" s="162" t="s">
        <v>31</v>
      </c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3"/>
    </row>
    <row r="19" spans="1:25" s="78" customFormat="1" x14ac:dyDescent="0.3">
      <c r="A19" s="161">
        <f t="shared" si="0"/>
        <v>17</v>
      </c>
      <c r="B19" s="162" t="s">
        <v>54</v>
      </c>
      <c r="C19" s="162"/>
      <c r="D19" s="162"/>
      <c r="E19" s="237" t="s">
        <v>55</v>
      </c>
      <c r="F19" s="164" t="s">
        <v>56</v>
      </c>
      <c r="G19" s="162" t="s">
        <v>28</v>
      </c>
      <c r="H19" s="164" t="s">
        <v>29</v>
      </c>
      <c r="I19" s="162">
        <v>18</v>
      </c>
      <c r="J19" s="162">
        <v>2</v>
      </c>
      <c r="K19" s="162">
        <v>0</v>
      </c>
      <c r="L19" s="162" t="s">
        <v>30</v>
      </c>
      <c r="M19" s="162" t="s">
        <v>31</v>
      </c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3"/>
    </row>
    <row r="20" spans="1:25" s="78" customFormat="1" x14ac:dyDescent="0.3">
      <c r="A20" s="161">
        <f t="shared" si="0"/>
        <v>18</v>
      </c>
      <c r="B20" s="162" t="s">
        <v>57</v>
      </c>
      <c r="C20" s="162"/>
      <c r="D20" s="162"/>
      <c r="E20" s="237" t="s">
        <v>58</v>
      </c>
      <c r="F20" s="164" t="s">
        <v>56</v>
      </c>
      <c r="G20" s="162" t="s">
        <v>28</v>
      </c>
      <c r="H20" s="164" t="s">
        <v>29</v>
      </c>
      <c r="I20" s="162">
        <v>18</v>
      </c>
      <c r="J20" s="162">
        <v>2</v>
      </c>
      <c r="K20" s="162">
        <v>1</v>
      </c>
      <c r="L20" s="162" t="s">
        <v>30</v>
      </c>
      <c r="M20" s="162" t="s">
        <v>31</v>
      </c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3"/>
    </row>
    <row r="21" spans="1:25" s="78" customFormat="1" x14ac:dyDescent="0.3">
      <c r="A21" s="161">
        <f t="shared" si="0"/>
        <v>19</v>
      </c>
      <c r="B21" s="162" t="s">
        <v>59</v>
      </c>
      <c r="C21" s="162"/>
      <c r="D21" s="162"/>
      <c r="E21" s="237" t="s">
        <v>60</v>
      </c>
      <c r="F21" s="164" t="s">
        <v>36</v>
      </c>
      <c r="G21" s="162" t="s">
        <v>28</v>
      </c>
      <c r="H21" s="164" t="s">
        <v>29</v>
      </c>
      <c r="I21" s="162">
        <v>18</v>
      </c>
      <c r="J21" s="162">
        <v>2</v>
      </c>
      <c r="K21" s="162">
        <v>2</v>
      </c>
      <c r="L21" s="162" t="s">
        <v>30</v>
      </c>
      <c r="M21" s="162" t="s">
        <v>31</v>
      </c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3"/>
    </row>
    <row r="22" spans="1:25" s="78" customFormat="1" x14ac:dyDescent="0.3">
      <c r="A22" s="161">
        <f t="shared" si="0"/>
        <v>20</v>
      </c>
      <c r="B22" s="162" t="s">
        <v>61</v>
      </c>
      <c r="C22" s="162"/>
      <c r="D22" s="162"/>
      <c r="E22" s="237" t="s">
        <v>62</v>
      </c>
      <c r="F22" s="164" t="s">
        <v>36</v>
      </c>
      <c r="G22" s="162" t="s">
        <v>28</v>
      </c>
      <c r="H22" s="164" t="s">
        <v>29</v>
      </c>
      <c r="I22" s="162">
        <v>18</v>
      </c>
      <c r="J22" s="162">
        <v>2</v>
      </c>
      <c r="K22" s="162">
        <v>3</v>
      </c>
      <c r="L22" s="162" t="s">
        <v>30</v>
      </c>
      <c r="M22" s="162" t="s">
        <v>31</v>
      </c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3"/>
    </row>
    <row r="23" spans="1:25" s="78" customFormat="1" x14ac:dyDescent="0.3">
      <c r="A23" s="161">
        <f t="shared" si="0"/>
        <v>21</v>
      </c>
      <c r="B23" s="162" t="s">
        <v>63</v>
      </c>
      <c r="C23" s="162"/>
      <c r="D23" s="162"/>
      <c r="E23" s="237" t="s">
        <v>64</v>
      </c>
      <c r="F23" s="164" t="s">
        <v>41</v>
      </c>
      <c r="G23" s="162" t="s">
        <v>28</v>
      </c>
      <c r="H23" s="164" t="s">
        <v>29</v>
      </c>
      <c r="I23" s="162">
        <v>18</v>
      </c>
      <c r="J23" s="162">
        <v>2</v>
      </c>
      <c r="K23" s="162">
        <v>4</v>
      </c>
      <c r="L23" s="162" t="s">
        <v>30</v>
      </c>
      <c r="M23" s="162" t="s">
        <v>31</v>
      </c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3"/>
    </row>
    <row r="24" spans="1:25" s="84" customFormat="1" x14ac:dyDescent="0.3">
      <c r="A24" s="161">
        <f t="shared" si="0"/>
        <v>22</v>
      </c>
      <c r="B24" s="162" t="s">
        <v>65</v>
      </c>
      <c r="C24" s="162"/>
      <c r="D24" s="162"/>
      <c r="E24" s="237" t="s">
        <v>66</v>
      </c>
      <c r="F24" s="164" t="s">
        <v>41</v>
      </c>
      <c r="G24" s="162" t="s">
        <v>28</v>
      </c>
      <c r="H24" s="164" t="s">
        <v>29</v>
      </c>
      <c r="I24" s="162">
        <v>18</v>
      </c>
      <c r="J24" s="162">
        <v>2</v>
      </c>
      <c r="K24" s="162">
        <v>5</v>
      </c>
      <c r="L24" s="162" t="s">
        <v>30</v>
      </c>
      <c r="M24" s="162" t="s">
        <v>31</v>
      </c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3"/>
    </row>
    <row r="25" spans="1:25" s="84" customFormat="1" x14ac:dyDescent="0.3">
      <c r="A25" s="161">
        <f t="shared" si="0"/>
        <v>23</v>
      </c>
      <c r="B25" s="162" t="s">
        <v>67</v>
      </c>
      <c r="C25" s="162"/>
      <c r="D25" s="162"/>
      <c r="E25" s="237" t="s">
        <v>68</v>
      </c>
      <c r="F25" s="164" t="s">
        <v>46</v>
      </c>
      <c r="G25" s="162" t="s">
        <v>28</v>
      </c>
      <c r="H25" s="164" t="s">
        <v>29</v>
      </c>
      <c r="I25" s="162">
        <v>18</v>
      </c>
      <c r="J25" s="162">
        <v>2</v>
      </c>
      <c r="K25" s="162">
        <v>6</v>
      </c>
      <c r="L25" s="162" t="s">
        <v>30</v>
      </c>
      <c r="M25" s="162" t="s">
        <v>31</v>
      </c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3"/>
    </row>
    <row r="26" spans="1:25" s="78" customFormat="1" x14ac:dyDescent="0.3">
      <c r="A26" s="161">
        <f t="shared" si="0"/>
        <v>24</v>
      </c>
      <c r="B26" s="162" t="s">
        <v>69</v>
      </c>
      <c r="C26" s="162"/>
      <c r="D26" s="162"/>
      <c r="E26" s="237" t="s">
        <v>70</v>
      </c>
      <c r="F26" s="164" t="s">
        <v>46</v>
      </c>
      <c r="G26" s="162" t="s">
        <v>28</v>
      </c>
      <c r="H26" s="164" t="s">
        <v>29</v>
      </c>
      <c r="I26" s="162">
        <v>18</v>
      </c>
      <c r="J26" s="162">
        <v>2</v>
      </c>
      <c r="K26" s="162">
        <v>7</v>
      </c>
      <c r="L26" s="162" t="s">
        <v>30</v>
      </c>
      <c r="M26" s="162" t="s">
        <v>31</v>
      </c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3"/>
    </row>
    <row r="27" spans="1:25" s="78" customFormat="1" x14ac:dyDescent="0.3">
      <c r="A27" s="161">
        <f t="shared" si="0"/>
        <v>25</v>
      </c>
      <c r="B27" s="162" t="s">
        <v>71</v>
      </c>
      <c r="C27" s="162"/>
      <c r="D27" s="162"/>
      <c r="E27" s="237" t="s">
        <v>72</v>
      </c>
      <c r="F27" s="164" t="s">
        <v>36</v>
      </c>
      <c r="G27" s="162" t="s">
        <v>28</v>
      </c>
      <c r="H27" s="164" t="s">
        <v>29</v>
      </c>
      <c r="I27" s="162">
        <v>18</v>
      </c>
      <c r="J27" s="162">
        <v>2</v>
      </c>
      <c r="K27" s="162">
        <v>8</v>
      </c>
      <c r="L27" s="162" t="s">
        <v>30</v>
      </c>
      <c r="M27" s="162" t="s">
        <v>31</v>
      </c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3"/>
    </row>
    <row r="28" spans="1:25" s="78" customFormat="1" x14ac:dyDescent="0.3">
      <c r="A28" s="161">
        <f t="shared" si="0"/>
        <v>26</v>
      </c>
      <c r="B28" s="162" t="s">
        <v>73</v>
      </c>
      <c r="C28" s="162"/>
      <c r="D28" s="162"/>
      <c r="E28" s="237" t="s">
        <v>74</v>
      </c>
      <c r="F28" s="164" t="s">
        <v>36</v>
      </c>
      <c r="G28" s="162" t="s">
        <v>28</v>
      </c>
      <c r="H28" s="164" t="s">
        <v>29</v>
      </c>
      <c r="I28" s="162">
        <v>18</v>
      </c>
      <c r="J28" s="162">
        <v>2</v>
      </c>
      <c r="K28" s="162">
        <v>9</v>
      </c>
      <c r="L28" s="162" t="s">
        <v>30</v>
      </c>
      <c r="M28" s="162" t="s">
        <v>31</v>
      </c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3"/>
    </row>
    <row r="29" spans="1:25" s="78" customFormat="1" x14ac:dyDescent="0.3">
      <c r="A29" s="161">
        <f t="shared" si="0"/>
        <v>27</v>
      </c>
      <c r="B29" s="162"/>
      <c r="C29" s="162"/>
      <c r="D29" s="162"/>
      <c r="E29" s="237" t="s">
        <v>53</v>
      </c>
      <c r="F29" s="164"/>
      <c r="G29" s="162"/>
      <c r="H29" s="164" t="s">
        <v>29</v>
      </c>
      <c r="I29" s="162">
        <v>18</v>
      </c>
      <c r="J29" s="162">
        <v>2</v>
      </c>
      <c r="K29" s="162">
        <v>10</v>
      </c>
      <c r="L29" s="162" t="s">
        <v>30</v>
      </c>
      <c r="M29" s="162" t="s">
        <v>31</v>
      </c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3"/>
    </row>
    <row r="30" spans="1:25" s="78" customFormat="1" x14ac:dyDescent="0.3">
      <c r="A30" s="161">
        <f t="shared" si="0"/>
        <v>28</v>
      </c>
      <c r="B30" s="162"/>
      <c r="C30" s="162"/>
      <c r="D30" s="162"/>
      <c r="E30" s="237" t="s">
        <v>53</v>
      </c>
      <c r="F30" s="164"/>
      <c r="G30" s="162"/>
      <c r="H30" s="164" t="s">
        <v>29</v>
      </c>
      <c r="I30" s="162">
        <v>18</v>
      </c>
      <c r="J30" s="162">
        <v>2</v>
      </c>
      <c r="K30" s="162">
        <v>11</v>
      </c>
      <c r="L30" s="162" t="s">
        <v>30</v>
      </c>
      <c r="M30" s="162" t="s">
        <v>31</v>
      </c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3"/>
    </row>
    <row r="31" spans="1:25" s="78" customFormat="1" x14ac:dyDescent="0.3">
      <c r="A31" s="161">
        <f t="shared" si="0"/>
        <v>29</v>
      </c>
      <c r="B31" s="162"/>
      <c r="C31" s="162"/>
      <c r="D31" s="162"/>
      <c r="E31" s="237" t="s">
        <v>53</v>
      </c>
      <c r="F31" s="164"/>
      <c r="G31" s="162"/>
      <c r="H31" s="164" t="s">
        <v>29</v>
      </c>
      <c r="I31" s="162">
        <v>18</v>
      </c>
      <c r="J31" s="162">
        <v>2</v>
      </c>
      <c r="K31" s="162">
        <v>12</v>
      </c>
      <c r="L31" s="162" t="s">
        <v>30</v>
      </c>
      <c r="M31" s="162" t="s">
        <v>31</v>
      </c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3"/>
    </row>
    <row r="32" spans="1:25" s="84" customFormat="1" x14ac:dyDescent="0.3">
      <c r="A32" s="161">
        <f t="shared" si="0"/>
        <v>30</v>
      </c>
      <c r="B32" s="162"/>
      <c r="C32" s="162"/>
      <c r="D32" s="162"/>
      <c r="E32" s="237" t="s">
        <v>53</v>
      </c>
      <c r="F32" s="164"/>
      <c r="G32" s="162"/>
      <c r="H32" s="164" t="s">
        <v>29</v>
      </c>
      <c r="I32" s="162">
        <v>18</v>
      </c>
      <c r="J32" s="162">
        <v>2</v>
      </c>
      <c r="K32" s="162">
        <v>13</v>
      </c>
      <c r="L32" s="162" t="s">
        <v>30</v>
      </c>
      <c r="M32" s="162" t="s">
        <v>31</v>
      </c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3"/>
    </row>
    <row r="33" spans="1:25" s="84" customFormat="1" x14ac:dyDescent="0.3">
      <c r="A33" s="161">
        <f t="shared" si="0"/>
        <v>31</v>
      </c>
      <c r="B33" s="162"/>
      <c r="C33" s="162"/>
      <c r="D33" s="162"/>
      <c r="E33" s="237" t="s">
        <v>53</v>
      </c>
      <c r="F33" s="164"/>
      <c r="G33" s="162"/>
      <c r="H33" s="164" t="s">
        <v>29</v>
      </c>
      <c r="I33" s="162">
        <v>18</v>
      </c>
      <c r="J33" s="162">
        <v>2</v>
      </c>
      <c r="K33" s="162">
        <v>14</v>
      </c>
      <c r="L33" s="162" t="s">
        <v>30</v>
      </c>
      <c r="M33" s="162" t="s">
        <v>31</v>
      </c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3"/>
    </row>
    <row r="34" spans="1:25" s="78" customFormat="1" x14ac:dyDescent="0.3">
      <c r="A34" s="161">
        <f t="shared" si="0"/>
        <v>32</v>
      </c>
      <c r="B34" s="162"/>
      <c r="C34" s="162"/>
      <c r="D34" s="162"/>
      <c r="E34" s="237" t="s">
        <v>53</v>
      </c>
      <c r="F34" s="164"/>
      <c r="G34" s="162"/>
      <c r="H34" s="164" t="s">
        <v>29</v>
      </c>
      <c r="I34" s="162">
        <v>18</v>
      </c>
      <c r="J34" s="162">
        <v>2</v>
      </c>
      <c r="K34" s="162">
        <v>15</v>
      </c>
      <c r="L34" s="162" t="s">
        <v>30</v>
      </c>
      <c r="M34" s="162" t="s">
        <v>31</v>
      </c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3"/>
    </row>
    <row r="35" spans="1:25" s="78" customFormat="1" x14ac:dyDescent="0.3">
      <c r="A35" s="161">
        <f t="shared" si="0"/>
        <v>33</v>
      </c>
      <c r="B35" s="162" t="s">
        <v>75</v>
      </c>
      <c r="C35" s="162"/>
      <c r="D35" s="162"/>
      <c r="E35" s="237" t="s">
        <v>76</v>
      </c>
      <c r="F35" s="164" t="s">
        <v>77</v>
      </c>
      <c r="G35" s="162" t="s">
        <v>28</v>
      </c>
      <c r="H35" s="164" t="s">
        <v>29</v>
      </c>
      <c r="I35" s="162">
        <v>18</v>
      </c>
      <c r="J35" s="162">
        <v>3</v>
      </c>
      <c r="K35" s="162">
        <v>0</v>
      </c>
      <c r="L35" s="162" t="s">
        <v>78</v>
      </c>
      <c r="M35" s="162" t="s">
        <v>79</v>
      </c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3"/>
    </row>
    <row r="36" spans="1:25" s="78" customFormat="1" x14ac:dyDescent="0.3">
      <c r="A36" s="161">
        <f t="shared" si="0"/>
        <v>34</v>
      </c>
      <c r="B36" s="162" t="s">
        <v>80</v>
      </c>
      <c r="C36" s="162"/>
      <c r="D36" s="162"/>
      <c r="E36" s="237" t="s">
        <v>81</v>
      </c>
      <c r="F36" s="164" t="s">
        <v>41</v>
      </c>
      <c r="G36" s="162" t="s">
        <v>28</v>
      </c>
      <c r="H36" s="164" t="s">
        <v>29</v>
      </c>
      <c r="I36" s="162">
        <v>18</v>
      </c>
      <c r="J36" s="162">
        <v>3</v>
      </c>
      <c r="K36" s="162">
        <v>1</v>
      </c>
      <c r="L36" s="162" t="s">
        <v>78</v>
      </c>
      <c r="M36" s="162" t="s">
        <v>79</v>
      </c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3"/>
    </row>
    <row r="37" spans="1:25" s="84" customFormat="1" x14ac:dyDescent="0.3">
      <c r="A37" s="161">
        <f t="shared" si="0"/>
        <v>35</v>
      </c>
      <c r="B37" s="162" t="s">
        <v>82</v>
      </c>
      <c r="C37" s="162"/>
      <c r="D37" s="162"/>
      <c r="E37" s="237" t="s">
        <v>83</v>
      </c>
      <c r="F37" s="164" t="s">
        <v>27</v>
      </c>
      <c r="G37" s="162" t="s">
        <v>28</v>
      </c>
      <c r="H37" s="164" t="s">
        <v>29</v>
      </c>
      <c r="I37" s="162">
        <v>18</v>
      </c>
      <c r="J37" s="162">
        <v>3</v>
      </c>
      <c r="K37" s="162">
        <v>2</v>
      </c>
      <c r="L37" s="162" t="s">
        <v>78</v>
      </c>
      <c r="M37" s="162" t="s">
        <v>79</v>
      </c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3"/>
    </row>
    <row r="38" spans="1:25" s="84" customFormat="1" x14ac:dyDescent="0.3">
      <c r="A38" s="161">
        <f t="shared" si="0"/>
        <v>36</v>
      </c>
      <c r="B38" s="162" t="s">
        <v>84</v>
      </c>
      <c r="C38" s="162"/>
      <c r="D38" s="162"/>
      <c r="E38" s="237" t="s">
        <v>85</v>
      </c>
      <c r="F38" s="164" t="s">
        <v>46</v>
      </c>
      <c r="G38" s="162" t="s">
        <v>28</v>
      </c>
      <c r="H38" s="164" t="s">
        <v>29</v>
      </c>
      <c r="I38" s="162">
        <v>18</v>
      </c>
      <c r="J38" s="162">
        <v>3</v>
      </c>
      <c r="K38" s="162">
        <v>3</v>
      </c>
      <c r="L38" s="162" t="s">
        <v>78</v>
      </c>
      <c r="M38" s="162" t="s">
        <v>79</v>
      </c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3"/>
    </row>
    <row r="39" spans="1:25" s="84" customFormat="1" x14ac:dyDescent="0.3">
      <c r="A39" s="161">
        <f t="shared" si="0"/>
        <v>37</v>
      </c>
      <c r="B39" s="162" t="s">
        <v>86</v>
      </c>
      <c r="C39" s="162"/>
      <c r="D39" s="162"/>
      <c r="E39" s="237" t="s">
        <v>87</v>
      </c>
      <c r="F39" s="164" t="s">
        <v>88</v>
      </c>
      <c r="G39" s="162" t="s">
        <v>89</v>
      </c>
      <c r="H39" s="164" t="s">
        <v>29</v>
      </c>
      <c r="I39" s="162">
        <v>18</v>
      </c>
      <c r="J39" s="162">
        <v>3</v>
      </c>
      <c r="K39" s="162">
        <v>4</v>
      </c>
      <c r="L39" s="162" t="s">
        <v>78</v>
      </c>
      <c r="M39" s="162" t="s">
        <v>79</v>
      </c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3"/>
    </row>
    <row r="40" spans="1:25" s="84" customFormat="1" x14ac:dyDescent="0.3">
      <c r="A40" s="161">
        <f t="shared" si="0"/>
        <v>38</v>
      </c>
      <c r="B40" s="162" t="s">
        <v>90</v>
      </c>
      <c r="C40" s="162"/>
      <c r="D40" s="162"/>
      <c r="E40" s="237" t="s">
        <v>91</v>
      </c>
      <c r="F40" s="164" t="s">
        <v>88</v>
      </c>
      <c r="G40" s="162" t="s">
        <v>89</v>
      </c>
      <c r="H40" s="164" t="s">
        <v>29</v>
      </c>
      <c r="I40" s="162">
        <v>18</v>
      </c>
      <c r="J40" s="162">
        <v>3</v>
      </c>
      <c r="K40" s="162">
        <v>5</v>
      </c>
      <c r="L40" s="162" t="s">
        <v>78</v>
      </c>
      <c r="M40" s="162" t="s">
        <v>79</v>
      </c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3"/>
    </row>
    <row r="41" spans="1:25" s="84" customFormat="1" x14ac:dyDescent="0.3">
      <c r="A41" s="161">
        <f t="shared" si="0"/>
        <v>39</v>
      </c>
      <c r="B41" s="162" t="s">
        <v>92</v>
      </c>
      <c r="C41" s="162"/>
      <c r="D41" s="162"/>
      <c r="E41" s="237" t="s">
        <v>93</v>
      </c>
      <c r="F41" s="164" t="s">
        <v>88</v>
      </c>
      <c r="G41" s="162" t="s">
        <v>89</v>
      </c>
      <c r="H41" s="164" t="s">
        <v>29</v>
      </c>
      <c r="I41" s="162">
        <v>18</v>
      </c>
      <c r="J41" s="162">
        <v>3</v>
      </c>
      <c r="K41" s="162">
        <v>6</v>
      </c>
      <c r="L41" s="162" t="s">
        <v>78</v>
      </c>
      <c r="M41" s="162" t="s">
        <v>79</v>
      </c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3"/>
    </row>
    <row r="42" spans="1:25" s="78" customFormat="1" x14ac:dyDescent="0.3">
      <c r="A42" s="161">
        <f t="shared" si="0"/>
        <v>40</v>
      </c>
      <c r="B42" s="162" t="s">
        <v>94</v>
      </c>
      <c r="C42" s="162"/>
      <c r="D42" s="162"/>
      <c r="E42" s="237" t="s">
        <v>95</v>
      </c>
      <c r="F42" s="164" t="s">
        <v>88</v>
      </c>
      <c r="G42" s="162" t="s">
        <v>89</v>
      </c>
      <c r="H42" s="164" t="s">
        <v>29</v>
      </c>
      <c r="I42" s="162">
        <v>18</v>
      </c>
      <c r="J42" s="162">
        <v>3</v>
      </c>
      <c r="K42" s="162">
        <v>7</v>
      </c>
      <c r="L42" s="162" t="s">
        <v>78</v>
      </c>
      <c r="M42" s="162" t="s">
        <v>79</v>
      </c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3"/>
    </row>
    <row r="43" spans="1:25" s="78" customFormat="1" x14ac:dyDescent="0.3">
      <c r="A43" s="161">
        <f t="shared" si="0"/>
        <v>41</v>
      </c>
      <c r="B43" s="162" t="s">
        <v>96</v>
      </c>
      <c r="C43" s="162"/>
      <c r="D43" s="162"/>
      <c r="E43" s="237" t="s">
        <v>97</v>
      </c>
      <c r="F43" s="164" t="s">
        <v>88</v>
      </c>
      <c r="G43" s="162" t="s">
        <v>89</v>
      </c>
      <c r="H43" s="164" t="s">
        <v>29</v>
      </c>
      <c r="I43" s="162">
        <v>18</v>
      </c>
      <c r="J43" s="162">
        <v>3</v>
      </c>
      <c r="K43" s="162">
        <v>8</v>
      </c>
      <c r="L43" s="162" t="s">
        <v>78</v>
      </c>
      <c r="M43" s="162" t="s">
        <v>79</v>
      </c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3"/>
    </row>
    <row r="44" spans="1:25" s="78" customFormat="1" x14ac:dyDescent="0.3">
      <c r="A44" s="161">
        <f t="shared" si="0"/>
        <v>42</v>
      </c>
      <c r="B44" s="162"/>
      <c r="C44" s="162"/>
      <c r="D44" s="162"/>
      <c r="E44" s="237" t="s">
        <v>53</v>
      </c>
      <c r="F44" s="164"/>
      <c r="G44" s="162"/>
      <c r="H44" s="164" t="s">
        <v>29</v>
      </c>
      <c r="I44" s="162">
        <v>18</v>
      </c>
      <c r="J44" s="162">
        <v>3</v>
      </c>
      <c r="K44" s="162">
        <v>9</v>
      </c>
      <c r="L44" s="162" t="s">
        <v>78</v>
      </c>
      <c r="M44" s="162" t="s">
        <v>79</v>
      </c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3"/>
    </row>
    <row r="45" spans="1:25" s="78" customFormat="1" x14ac:dyDescent="0.3">
      <c r="A45" s="161">
        <f t="shared" si="0"/>
        <v>43</v>
      </c>
      <c r="B45" s="162"/>
      <c r="C45" s="162"/>
      <c r="D45" s="162"/>
      <c r="E45" s="237" t="s">
        <v>53</v>
      </c>
      <c r="F45" s="164"/>
      <c r="G45" s="162"/>
      <c r="H45" s="164" t="s">
        <v>29</v>
      </c>
      <c r="I45" s="162">
        <v>18</v>
      </c>
      <c r="J45" s="162">
        <v>3</v>
      </c>
      <c r="K45" s="162">
        <v>10</v>
      </c>
      <c r="L45" s="162" t="s">
        <v>78</v>
      </c>
      <c r="M45" s="162" t="s">
        <v>79</v>
      </c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3"/>
    </row>
    <row r="46" spans="1:25" s="84" customFormat="1" x14ac:dyDescent="0.3">
      <c r="A46" s="161">
        <f t="shared" si="0"/>
        <v>44</v>
      </c>
      <c r="B46" s="162"/>
      <c r="C46" s="162"/>
      <c r="D46" s="162"/>
      <c r="E46" s="237" t="s">
        <v>53</v>
      </c>
      <c r="F46" s="164"/>
      <c r="G46" s="162"/>
      <c r="H46" s="164" t="s">
        <v>29</v>
      </c>
      <c r="I46" s="162">
        <v>18</v>
      </c>
      <c r="J46" s="162">
        <v>3</v>
      </c>
      <c r="K46" s="162">
        <v>11</v>
      </c>
      <c r="L46" s="162" t="s">
        <v>78</v>
      </c>
      <c r="M46" s="162" t="s">
        <v>79</v>
      </c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3"/>
    </row>
    <row r="47" spans="1:25" s="84" customFormat="1" x14ac:dyDescent="0.3">
      <c r="A47" s="161">
        <f t="shared" si="0"/>
        <v>45</v>
      </c>
      <c r="B47" s="162"/>
      <c r="C47" s="162"/>
      <c r="D47" s="162"/>
      <c r="E47" s="237" t="s">
        <v>53</v>
      </c>
      <c r="F47" s="164"/>
      <c r="G47" s="162"/>
      <c r="H47" s="164" t="s">
        <v>29</v>
      </c>
      <c r="I47" s="162">
        <v>18</v>
      </c>
      <c r="J47" s="162">
        <v>3</v>
      </c>
      <c r="K47" s="162">
        <v>12</v>
      </c>
      <c r="L47" s="162" t="s">
        <v>78</v>
      </c>
      <c r="M47" s="162" t="s">
        <v>79</v>
      </c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3"/>
    </row>
    <row r="48" spans="1:25" s="84" customFormat="1" x14ac:dyDescent="0.3">
      <c r="A48" s="161">
        <f t="shared" si="0"/>
        <v>46</v>
      </c>
      <c r="B48" s="162"/>
      <c r="C48" s="162"/>
      <c r="D48" s="162"/>
      <c r="E48" s="237" t="s">
        <v>53</v>
      </c>
      <c r="F48" s="164"/>
      <c r="G48" s="162"/>
      <c r="H48" s="164" t="s">
        <v>29</v>
      </c>
      <c r="I48" s="162">
        <v>18</v>
      </c>
      <c r="J48" s="162">
        <v>3</v>
      </c>
      <c r="K48" s="162">
        <v>13</v>
      </c>
      <c r="L48" s="162" t="s">
        <v>78</v>
      </c>
      <c r="M48" s="162" t="s">
        <v>79</v>
      </c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3"/>
    </row>
    <row r="49" spans="1:25" s="84" customFormat="1" x14ac:dyDescent="0.3">
      <c r="A49" s="161">
        <f t="shared" si="0"/>
        <v>47</v>
      </c>
      <c r="B49" s="162"/>
      <c r="C49" s="162"/>
      <c r="D49" s="162"/>
      <c r="E49" s="237" t="s">
        <v>53</v>
      </c>
      <c r="F49" s="164"/>
      <c r="G49" s="162"/>
      <c r="H49" s="164" t="s">
        <v>29</v>
      </c>
      <c r="I49" s="162">
        <v>18</v>
      </c>
      <c r="J49" s="162">
        <v>3</v>
      </c>
      <c r="K49" s="162">
        <v>14</v>
      </c>
      <c r="L49" s="162" t="s">
        <v>78</v>
      </c>
      <c r="M49" s="162" t="s">
        <v>79</v>
      </c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3"/>
    </row>
    <row r="50" spans="1:25" s="78" customFormat="1" x14ac:dyDescent="0.3">
      <c r="A50" s="161">
        <f t="shared" si="0"/>
        <v>48</v>
      </c>
      <c r="B50" s="162"/>
      <c r="C50" s="162"/>
      <c r="D50" s="162"/>
      <c r="E50" s="237" t="s">
        <v>53</v>
      </c>
      <c r="F50" s="164"/>
      <c r="G50" s="162"/>
      <c r="H50" s="164" t="s">
        <v>29</v>
      </c>
      <c r="I50" s="162">
        <v>18</v>
      </c>
      <c r="J50" s="162">
        <v>3</v>
      </c>
      <c r="K50" s="162">
        <v>15</v>
      </c>
      <c r="L50" s="162" t="s">
        <v>78</v>
      </c>
      <c r="M50" s="162" t="s">
        <v>79</v>
      </c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3"/>
    </row>
    <row r="51" spans="1:25" s="78" customFormat="1" x14ac:dyDescent="0.3">
      <c r="A51" s="161">
        <f t="shared" si="0"/>
        <v>49</v>
      </c>
      <c r="B51" s="162" t="s">
        <v>98</v>
      </c>
      <c r="C51" s="162"/>
      <c r="D51" s="162"/>
      <c r="E51" s="237" t="s">
        <v>99</v>
      </c>
      <c r="F51" s="164" t="s">
        <v>36</v>
      </c>
      <c r="G51" s="162" t="s">
        <v>28</v>
      </c>
      <c r="H51" s="164" t="s">
        <v>29</v>
      </c>
      <c r="I51" s="162">
        <v>18</v>
      </c>
      <c r="J51" s="162">
        <v>4</v>
      </c>
      <c r="K51" s="162">
        <v>0</v>
      </c>
      <c r="L51" s="162" t="s">
        <v>78</v>
      </c>
      <c r="M51" s="162" t="s">
        <v>79</v>
      </c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3"/>
    </row>
    <row r="52" spans="1:25" s="78" customFormat="1" x14ac:dyDescent="0.3">
      <c r="A52" s="161">
        <f t="shared" ref="A52:A115" si="1">ROW()-2</f>
        <v>50</v>
      </c>
      <c r="B52" s="162" t="s">
        <v>100</v>
      </c>
      <c r="C52" s="162"/>
      <c r="D52" s="162"/>
      <c r="E52" s="237" t="s">
        <v>101</v>
      </c>
      <c r="F52" s="164" t="s">
        <v>41</v>
      </c>
      <c r="G52" s="162" t="s">
        <v>28</v>
      </c>
      <c r="H52" s="164" t="s">
        <v>29</v>
      </c>
      <c r="I52" s="162">
        <v>18</v>
      </c>
      <c r="J52" s="162">
        <v>4</v>
      </c>
      <c r="K52" s="162">
        <v>1</v>
      </c>
      <c r="L52" s="162" t="s">
        <v>78</v>
      </c>
      <c r="M52" s="162" t="s">
        <v>79</v>
      </c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3"/>
    </row>
    <row r="53" spans="1:25" s="78" customFormat="1" x14ac:dyDescent="0.3">
      <c r="A53" s="161">
        <f t="shared" si="1"/>
        <v>51</v>
      </c>
      <c r="B53" s="162" t="s">
        <v>102</v>
      </c>
      <c r="C53" s="162"/>
      <c r="D53" s="162"/>
      <c r="E53" s="237" t="s">
        <v>103</v>
      </c>
      <c r="F53" s="164" t="s">
        <v>56</v>
      </c>
      <c r="G53" s="162" t="s">
        <v>28</v>
      </c>
      <c r="H53" s="164" t="s">
        <v>29</v>
      </c>
      <c r="I53" s="162">
        <v>18</v>
      </c>
      <c r="J53" s="162">
        <v>4</v>
      </c>
      <c r="K53" s="162">
        <v>2</v>
      </c>
      <c r="L53" s="162" t="s">
        <v>78</v>
      </c>
      <c r="M53" s="162" t="s">
        <v>79</v>
      </c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3"/>
    </row>
    <row r="54" spans="1:25" s="78" customFormat="1" x14ac:dyDescent="0.3">
      <c r="A54" s="161">
        <f t="shared" si="1"/>
        <v>52</v>
      </c>
      <c r="B54" s="162" t="s">
        <v>104</v>
      </c>
      <c r="C54" s="162"/>
      <c r="D54" s="162"/>
      <c r="E54" s="237" t="s">
        <v>105</v>
      </c>
      <c r="F54" s="164" t="s">
        <v>46</v>
      </c>
      <c r="G54" s="162" t="s">
        <v>28</v>
      </c>
      <c r="H54" s="164" t="s">
        <v>29</v>
      </c>
      <c r="I54" s="162">
        <v>18</v>
      </c>
      <c r="J54" s="162">
        <v>4</v>
      </c>
      <c r="K54" s="162">
        <v>3</v>
      </c>
      <c r="L54" s="162" t="s">
        <v>78</v>
      </c>
      <c r="M54" s="162" t="s">
        <v>79</v>
      </c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3"/>
    </row>
    <row r="55" spans="1:25" s="84" customFormat="1" x14ac:dyDescent="0.3">
      <c r="A55" s="161">
        <f t="shared" si="1"/>
        <v>53</v>
      </c>
      <c r="B55" s="162" t="s">
        <v>106</v>
      </c>
      <c r="C55" s="162"/>
      <c r="D55" s="162"/>
      <c r="E55" s="237" t="s">
        <v>107</v>
      </c>
      <c r="F55" s="164" t="s">
        <v>36</v>
      </c>
      <c r="G55" s="162" t="s">
        <v>28</v>
      </c>
      <c r="H55" s="164" t="s">
        <v>29</v>
      </c>
      <c r="I55" s="162">
        <v>18</v>
      </c>
      <c r="J55" s="162">
        <v>4</v>
      </c>
      <c r="K55" s="162">
        <v>4</v>
      </c>
      <c r="L55" s="162" t="s">
        <v>78</v>
      </c>
      <c r="M55" s="162" t="s">
        <v>79</v>
      </c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3"/>
    </row>
    <row r="56" spans="1:25" s="84" customFormat="1" x14ac:dyDescent="0.3">
      <c r="A56" s="161">
        <f t="shared" si="1"/>
        <v>54</v>
      </c>
      <c r="B56" s="162"/>
      <c r="C56" s="162"/>
      <c r="D56" s="162"/>
      <c r="E56" s="237" t="s">
        <v>53</v>
      </c>
      <c r="F56" s="164"/>
      <c r="G56" s="162"/>
      <c r="H56" s="164" t="s">
        <v>29</v>
      </c>
      <c r="I56" s="162">
        <v>18</v>
      </c>
      <c r="J56" s="162">
        <v>4</v>
      </c>
      <c r="K56" s="162">
        <v>5</v>
      </c>
      <c r="L56" s="162" t="s">
        <v>78</v>
      </c>
      <c r="M56" s="162" t="s">
        <v>79</v>
      </c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3"/>
    </row>
    <row r="57" spans="1:25" s="84" customFormat="1" x14ac:dyDescent="0.3">
      <c r="A57" s="161">
        <f t="shared" si="1"/>
        <v>55</v>
      </c>
      <c r="B57" s="162"/>
      <c r="C57" s="162"/>
      <c r="D57" s="162"/>
      <c r="E57" s="237" t="s">
        <v>53</v>
      </c>
      <c r="F57" s="164"/>
      <c r="G57" s="162"/>
      <c r="H57" s="164" t="s">
        <v>29</v>
      </c>
      <c r="I57" s="162">
        <v>18</v>
      </c>
      <c r="J57" s="162">
        <v>4</v>
      </c>
      <c r="K57" s="162">
        <v>6</v>
      </c>
      <c r="L57" s="162" t="s">
        <v>78</v>
      </c>
      <c r="M57" s="162" t="s">
        <v>79</v>
      </c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3"/>
    </row>
    <row r="58" spans="1:25" s="78" customFormat="1" x14ac:dyDescent="0.3">
      <c r="A58" s="161">
        <f t="shared" si="1"/>
        <v>56</v>
      </c>
      <c r="B58" s="162"/>
      <c r="C58" s="162"/>
      <c r="D58" s="162"/>
      <c r="E58" s="237" t="s">
        <v>53</v>
      </c>
      <c r="F58" s="164"/>
      <c r="G58" s="162"/>
      <c r="H58" s="164" t="s">
        <v>29</v>
      </c>
      <c r="I58" s="162">
        <v>18</v>
      </c>
      <c r="J58" s="162">
        <v>4</v>
      </c>
      <c r="K58" s="162">
        <v>7</v>
      </c>
      <c r="L58" s="162" t="s">
        <v>78</v>
      </c>
      <c r="M58" s="162" t="s">
        <v>79</v>
      </c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3"/>
    </row>
    <row r="59" spans="1:25" s="78" customFormat="1" x14ac:dyDescent="0.3">
      <c r="A59" s="161">
        <f t="shared" si="1"/>
        <v>57</v>
      </c>
      <c r="B59" s="162"/>
      <c r="C59" s="162"/>
      <c r="D59" s="162"/>
      <c r="E59" s="237" t="s">
        <v>53</v>
      </c>
      <c r="F59" s="164"/>
      <c r="G59" s="162"/>
      <c r="H59" s="164" t="s">
        <v>29</v>
      </c>
      <c r="I59" s="162">
        <v>18</v>
      </c>
      <c r="J59" s="162">
        <v>4</v>
      </c>
      <c r="K59" s="162">
        <v>8</v>
      </c>
      <c r="L59" s="162" t="s">
        <v>78</v>
      </c>
      <c r="M59" s="162" t="s">
        <v>79</v>
      </c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3"/>
    </row>
    <row r="60" spans="1:25" s="78" customFormat="1" x14ac:dyDescent="0.3">
      <c r="A60" s="161">
        <f t="shared" si="1"/>
        <v>58</v>
      </c>
      <c r="B60" s="162"/>
      <c r="C60" s="162"/>
      <c r="D60" s="162"/>
      <c r="E60" s="237" t="s">
        <v>53</v>
      </c>
      <c r="F60" s="164"/>
      <c r="G60" s="162"/>
      <c r="H60" s="164" t="s">
        <v>29</v>
      </c>
      <c r="I60" s="162">
        <v>18</v>
      </c>
      <c r="J60" s="162">
        <v>4</v>
      </c>
      <c r="K60" s="162">
        <v>9</v>
      </c>
      <c r="L60" s="162" t="s">
        <v>78</v>
      </c>
      <c r="M60" s="162" t="s">
        <v>79</v>
      </c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3"/>
    </row>
    <row r="61" spans="1:25" s="78" customFormat="1" x14ac:dyDescent="0.3">
      <c r="A61" s="161">
        <f t="shared" si="1"/>
        <v>59</v>
      </c>
      <c r="B61" s="162"/>
      <c r="C61" s="162"/>
      <c r="D61" s="162"/>
      <c r="E61" s="237" t="s">
        <v>53</v>
      </c>
      <c r="F61" s="164"/>
      <c r="G61" s="162"/>
      <c r="H61" s="164" t="s">
        <v>29</v>
      </c>
      <c r="I61" s="162">
        <v>18</v>
      </c>
      <c r="J61" s="162">
        <v>4</v>
      </c>
      <c r="K61" s="162">
        <v>10</v>
      </c>
      <c r="L61" s="162" t="s">
        <v>78</v>
      </c>
      <c r="M61" s="162" t="s">
        <v>79</v>
      </c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3"/>
    </row>
    <row r="62" spans="1:25" s="78" customFormat="1" x14ac:dyDescent="0.3">
      <c r="A62" s="161">
        <f t="shared" si="1"/>
        <v>60</v>
      </c>
      <c r="B62" s="162"/>
      <c r="C62" s="162"/>
      <c r="D62" s="162"/>
      <c r="E62" s="237" t="s">
        <v>53</v>
      </c>
      <c r="F62" s="164"/>
      <c r="G62" s="162"/>
      <c r="H62" s="164" t="s">
        <v>29</v>
      </c>
      <c r="I62" s="162">
        <v>18</v>
      </c>
      <c r="J62" s="162">
        <v>4</v>
      </c>
      <c r="K62" s="162">
        <v>11</v>
      </c>
      <c r="L62" s="162" t="s">
        <v>78</v>
      </c>
      <c r="M62" s="162" t="s">
        <v>79</v>
      </c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3"/>
    </row>
    <row r="63" spans="1:25" s="84" customFormat="1" x14ac:dyDescent="0.3">
      <c r="A63" s="161">
        <f t="shared" si="1"/>
        <v>61</v>
      </c>
      <c r="B63" s="162"/>
      <c r="C63" s="162"/>
      <c r="D63" s="162"/>
      <c r="E63" s="237" t="s">
        <v>53</v>
      </c>
      <c r="F63" s="164"/>
      <c r="G63" s="162"/>
      <c r="H63" s="164" t="s">
        <v>29</v>
      </c>
      <c r="I63" s="162">
        <v>18</v>
      </c>
      <c r="J63" s="162">
        <v>4</v>
      </c>
      <c r="K63" s="162">
        <v>12</v>
      </c>
      <c r="L63" s="162" t="s">
        <v>78</v>
      </c>
      <c r="M63" s="162" t="s">
        <v>79</v>
      </c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3"/>
    </row>
    <row r="64" spans="1:25" s="84" customFormat="1" x14ac:dyDescent="0.3">
      <c r="A64" s="161">
        <f t="shared" si="1"/>
        <v>62</v>
      </c>
      <c r="B64" s="162"/>
      <c r="C64" s="162"/>
      <c r="D64" s="162"/>
      <c r="E64" s="237" t="s">
        <v>53</v>
      </c>
      <c r="F64" s="164"/>
      <c r="G64" s="162"/>
      <c r="H64" s="164" t="s">
        <v>29</v>
      </c>
      <c r="I64" s="162">
        <v>18</v>
      </c>
      <c r="J64" s="162">
        <v>4</v>
      </c>
      <c r="K64" s="162">
        <v>13</v>
      </c>
      <c r="L64" s="162" t="s">
        <v>78</v>
      </c>
      <c r="M64" s="162" t="s">
        <v>79</v>
      </c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3"/>
    </row>
    <row r="65" spans="1:25" s="84" customFormat="1" x14ac:dyDescent="0.3">
      <c r="A65" s="161">
        <f t="shared" si="1"/>
        <v>63</v>
      </c>
      <c r="B65" s="162"/>
      <c r="C65" s="162"/>
      <c r="D65" s="162"/>
      <c r="E65" s="237" t="s">
        <v>53</v>
      </c>
      <c r="F65" s="164"/>
      <c r="G65" s="162"/>
      <c r="H65" s="164" t="s">
        <v>29</v>
      </c>
      <c r="I65" s="162">
        <v>18</v>
      </c>
      <c r="J65" s="162">
        <v>4</v>
      </c>
      <c r="K65" s="162">
        <v>14</v>
      </c>
      <c r="L65" s="162" t="s">
        <v>78</v>
      </c>
      <c r="M65" s="162" t="s">
        <v>79</v>
      </c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3"/>
    </row>
    <row r="66" spans="1:25" s="84" customFormat="1" x14ac:dyDescent="0.3">
      <c r="A66" s="161">
        <f t="shared" si="1"/>
        <v>64</v>
      </c>
      <c r="B66" s="162"/>
      <c r="C66" s="162"/>
      <c r="D66" s="162"/>
      <c r="E66" s="237" t="s">
        <v>53</v>
      </c>
      <c r="F66" s="164"/>
      <c r="G66" s="162"/>
      <c r="H66" s="164" t="s">
        <v>29</v>
      </c>
      <c r="I66" s="162">
        <v>18</v>
      </c>
      <c r="J66" s="162">
        <v>4</v>
      </c>
      <c r="K66" s="162">
        <v>15</v>
      </c>
      <c r="L66" s="162" t="s">
        <v>78</v>
      </c>
      <c r="M66" s="162" t="s">
        <v>79</v>
      </c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3"/>
    </row>
    <row r="67" spans="1:25" s="78" customFormat="1" x14ac:dyDescent="0.3">
      <c r="A67" s="161">
        <f t="shared" si="1"/>
        <v>65</v>
      </c>
      <c r="B67" s="162"/>
      <c r="C67" s="162"/>
      <c r="D67" s="162"/>
      <c r="E67" s="237" t="s">
        <v>108</v>
      </c>
      <c r="F67" s="164"/>
      <c r="G67" s="162"/>
      <c r="H67" s="164" t="s">
        <v>29</v>
      </c>
      <c r="I67" s="162">
        <v>18</v>
      </c>
      <c r="J67" s="162">
        <v>5</v>
      </c>
      <c r="K67" s="162">
        <v>0</v>
      </c>
      <c r="L67" s="162" t="s">
        <v>109</v>
      </c>
      <c r="M67" s="162" t="s">
        <v>110</v>
      </c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3"/>
    </row>
    <row r="68" spans="1:25" s="78" customFormat="1" x14ac:dyDescent="0.3">
      <c r="A68" s="161">
        <f t="shared" si="1"/>
        <v>66</v>
      </c>
      <c r="B68" s="162" t="s">
        <v>111</v>
      </c>
      <c r="C68" s="162"/>
      <c r="D68" s="162"/>
      <c r="E68" s="237" t="s">
        <v>112</v>
      </c>
      <c r="F68" s="164" t="s">
        <v>41</v>
      </c>
      <c r="G68" s="162" t="s">
        <v>28</v>
      </c>
      <c r="H68" s="164" t="s">
        <v>29</v>
      </c>
      <c r="I68" s="162">
        <v>18</v>
      </c>
      <c r="J68" s="162">
        <v>6</v>
      </c>
      <c r="K68" s="162">
        <v>0</v>
      </c>
      <c r="L68" s="162" t="s">
        <v>113</v>
      </c>
      <c r="M68" s="162" t="s">
        <v>114</v>
      </c>
      <c r="N68" s="164" t="s">
        <v>115</v>
      </c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3"/>
    </row>
    <row r="69" spans="1:25" s="78" customFormat="1" x14ac:dyDescent="0.3">
      <c r="A69" s="161">
        <f t="shared" si="1"/>
        <v>67</v>
      </c>
      <c r="B69" s="162" t="s">
        <v>116</v>
      </c>
      <c r="C69" s="162"/>
      <c r="D69" s="162"/>
      <c r="E69" s="237" t="s">
        <v>117</v>
      </c>
      <c r="F69" s="164" t="s">
        <v>41</v>
      </c>
      <c r="G69" s="162" t="s">
        <v>28</v>
      </c>
      <c r="H69" s="164" t="s">
        <v>29</v>
      </c>
      <c r="I69" s="162">
        <v>18</v>
      </c>
      <c r="J69" s="162">
        <v>6</v>
      </c>
      <c r="K69" s="162">
        <v>1</v>
      </c>
      <c r="L69" s="162" t="s">
        <v>113</v>
      </c>
      <c r="M69" s="162" t="s">
        <v>114</v>
      </c>
      <c r="N69" s="164" t="s">
        <v>118</v>
      </c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3"/>
    </row>
    <row r="70" spans="1:25" s="78" customFormat="1" x14ac:dyDescent="0.3">
      <c r="A70" s="161">
        <f t="shared" si="1"/>
        <v>68</v>
      </c>
      <c r="B70" s="162" t="s">
        <v>119</v>
      </c>
      <c r="C70" s="162"/>
      <c r="D70" s="162"/>
      <c r="E70" s="237" t="s">
        <v>120</v>
      </c>
      <c r="F70" s="164" t="s">
        <v>41</v>
      </c>
      <c r="G70" s="162" t="s">
        <v>28</v>
      </c>
      <c r="H70" s="164" t="s">
        <v>29</v>
      </c>
      <c r="I70" s="162">
        <v>18</v>
      </c>
      <c r="J70" s="162">
        <v>6</v>
      </c>
      <c r="K70" s="162">
        <v>2</v>
      </c>
      <c r="L70" s="162" t="s">
        <v>113</v>
      </c>
      <c r="M70" s="162" t="s">
        <v>114</v>
      </c>
      <c r="N70" s="164" t="s">
        <v>118</v>
      </c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3"/>
    </row>
    <row r="71" spans="1:25" s="84" customFormat="1" x14ac:dyDescent="0.3">
      <c r="A71" s="161">
        <f t="shared" si="1"/>
        <v>69</v>
      </c>
      <c r="B71" s="162" t="s">
        <v>121</v>
      </c>
      <c r="C71" s="162"/>
      <c r="D71" s="162"/>
      <c r="E71" s="237" t="s">
        <v>122</v>
      </c>
      <c r="F71" s="164" t="s">
        <v>41</v>
      </c>
      <c r="G71" s="162" t="s">
        <v>28</v>
      </c>
      <c r="H71" s="164" t="s">
        <v>29</v>
      </c>
      <c r="I71" s="162">
        <v>18</v>
      </c>
      <c r="J71" s="162">
        <v>6</v>
      </c>
      <c r="K71" s="162">
        <v>3</v>
      </c>
      <c r="L71" s="162" t="s">
        <v>113</v>
      </c>
      <c r="M71" s="162" t="s">
        <v>114</v>
      </c>
      <c r="N71" s="164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238" t="s">
        <v>123</v>
      </c>
    </row>
    <row r="72" spans="1:25" s="84" customFormat="1" x14ac:dyDescent="0.3">
      <c r="A72" s="161">
        <f t="shared" si="1"/>
        <v>70</v>
      </c>
      <c r="B72" s="162" t="s">
        <v>124</v>
      </c>
      <c r="C72" s="162"/>
      <c r="D72" s="162"/>
      <c r="E72" s="237" t="s">
        <v>125</v>
      </c>
      <c r="F72" s="164" t="s">
        <v>27</v>
      </c>
      <c r="G72" s="162" t="s">
        <v>28</v>
      </c>
      <c r="H72" s="164" t="s">
        <v>29</v>
      </c>
      <c r="I72" s="162">
        <v>18</v>
      </c>
      <c r="J72" s="162">
        <v>6</v>
      </c>
      <c r="K72" s="162">
        <v>4</v>
      </c>
      <c r="L72" s="162" t="s">
        <v>113</v>
      </c>
      <c r="M72" s="162" t="s">
        <v>114</v>
      </c>
      <c r="N72" s="164" t="s">
        <v>118</v>
      </c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238" t="s">
        <v>126</v>
      </c>
    </row>
    <row r="73" spans="1:25" s="84" customFormat="1" x14ac:dyDescent="0.3">
      <c r="A73" s="161">
        <f t="shared" si="1"/>
        <v>71</v>
      </c>
      <c r="B73" s="162" t="s">
        <v>127</v>
      </c>
      <c r="C73" s="162"/>
      <c r="D73" s="162"/>
      <c r="E73" s="237" t="s">
        <v>128</v>
      </c>
      <c r="F73" s="164" t="s">
        <v>36</v>
      </c>
      <c r="G73" s="162" t="s">
        <v>28</v>
      </c>
      <c r="H73" s="164" t="s">
        <v>29</v>
      </c>
      <c r="I73" s="162">
        <v>18</v>
      </c>
      <c r="J73" s="162">
        <v>6</v>
      </c>
      <c r="K73" s="162">
        <v>5</v>
      </c>
      <c r="L73" s="162" t="s">
        <v>113</v>
      </c>
      <c r="M73" s="162" t="s">
        <v>114</v>
      </c>
      <c r="N73" s="164" t="s">
        <v>129</v>
      </c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3"/>
    </row>
    <row r="74" spans="1:25" s="84" customFormat="1" x14ac:dyDescent="0.3">
      <c r="A74" s="161">
        <f t="shared" si="1"/>
        <v>72</v>
      </c>
      <c r="B74" s="162"/>
      <c r="C74" s="162"/>
      <c r="D74" s="162"/>
      <c r="E74" s="237" t="s">
        <v>53</v>
      </c>
      <c r="F74" s="164"/>
      <c r="G74" s="162"/>
      <c r="H74" s="164" t="s">
        <v>29</v>
      </c>
      <c r="I74" s="162">
        <v>18</v>
      </c>
      <c r="J74" s="162">
        <v>6</v>
      </c>
      <c r="K74" s="162">
        <v>6</v>
      </c>
      <c r="L74" s="162" t="s">
        <v>113</v>
      </c>
      <c r="M74" s="162" t="s">
        <v>114</v>
      </c>
      <c r="N74" s="164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3"/>
    </row>
    <row r="75" spans="1:25" s="78" customFormat="1" x14ac:dyDescent="0.3">
      <c r="A75" s="161">
        <f t="shared" si="1"/>
        <v>73</v>
      </c>
      <c r="B75" s="162"/>
      <c r="C75" s="162"/>
      <c r="D75" s="162"/>
      <c r="E75" s="237" t="s">
        <v>53</v>
      </c>
      <c r="F75" s="164"/>
      <c r="G75" s="162"/>
      <c r="H75" s="164" t="s">
        <v>29</v>
      </c>
      <c r="I75" s="162">
        <v>18</v>
      </c>
      <c r="J75" s="162">
        <v>6</v>
      </c>
      <c r="K75" s="162">
        <v>7</v>
      </c>
      <c r="L75" s="162" t="s">
        <v>113</v>
      </c>
      <c r="M75" s="162" t="s">
        <v>114</v>
      </c>
      <c r="N75" s="164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3"/>
    </row>
    <row r="76" spans="1:25" s="78" customFormat="1" x14ac:dyDescent="0.3">
      <c r="A76" s="161">
        <f t="shared" si="1"/>
        <v>74</v>
      </c>
      <c r="B76" s="162" t="s">
        <v>130</v>
      </c>
      <c r="C76" s="162"/>
      <c r="D76" s="162"/>
      <c r="E76" s="237" t="s">
        <v>131</v>
      </c>
      <c r="F76" s="164" t="s">
        <v>41</v>
      </c>
      <c r="G76" s="162" t="s">
        <v>28</v>
      </c>
      <c r="H76" s="164" t="s">
        <v>29</v>
      </c>
      <c r="I76" s="162">
        <v>18</v>
      </c>
      <c r="J76" s="162">
        <v>7</v>
      </c>
      <c r="K76" s="162">
        <v>0</v>
      </c>
      <c r="L76" s="162" t="s">
        <v>113</v>
      </c>
      <c r="M76" s="162" t="s">
        <v>114</v>
      </c>
      <c r="N76" s="164" t="s">
        <v>115</v>
      </c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3"/>
    </row>
    <row r="77" spans="1:25" s="78" customFormat="1" x14ac:dyDescent="0.3">
      <c r="A77" s="161">
        <f t="shared" si="1"/>
        <v>75</v>
      </c>
      <c r="B77" s="162" t="s">
        <v>132</v>
      </c>
      <c r="C77" s="162"/>
      <c r="D77" s="162"/>
      <c r="E77" s="237" t="s">
        <v>133</v>
      </c>
      <c r="F77" s="164" t="s">
        <v>41</v>
      </c>
      <c r="G77" s="162" t="s">
        <v>28</v>
      </c>
      <c r="H77" s="164" t="s">
        <v>29</v>
      </c>
      <c r="I77" s="162">
        <v>18</v>
      </c>
      <c r="J77" s="162">
        <v>7</v>
      </c>
      <c r="K77" s="162">
        <v>1</v>
      </c>
      <c r="L77" s="162" t="s">
        <v>113</v>
      </c>
      <c r="M77" s="162" t="s">
        <v>114</v>
      </c>
      <c r="N77" s="164" t="s">
        <v>118</v>
      </c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3"/>
    </row>
    <row r="78" spans="1:25" s="78" customFormat="1" x14ac:dyDescent="0.3">
      <c r="A78" s="161">
        <f t="shared" si="1"/>
        <v>76</v>
      </c>
      <c r="B78" s="162" t="s">
        <v>134</v>
      </c>
      <c r="C78" s="162"/>
      <c r="D78" s="162"/>
      <c r="E78" s="237" t="s">
        <v>135</v>
      </c>
      <c r="F78" s="164" t="s">
        <v>41</v>
      </c>
      <c r="G78" s="162" t="s">
        <v>28</v>
      </c>
      <c r="H78" s="164" t="s">
        <v>29</v>
      </c>
      <c r="I78" s="162">
        <v>18</v>
      </c>
      <c r="J78" s="162">
        <v>7</v>
      </c>
      <c r="K78" s="162">
        <v>2</v>
      </c>
      <c r="L78" s="162" t="s">
        <v>113</v>
      </c>
      <c r="M78" s="162" t="s">
        <v>114</v>
      </c>
      <c r="N78" s="164" t="s">
        <v>118</v>
      </c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3"/>
    </row>
    <row r="79" spans="1:25" s="84" customFormat="1" x14ac:dyDescent="0.3">
      <c r="A79" s="161">
        <f t="shared" si="1"/>
        <v>77</v>
      </c>
      <c r="B79" s="162" t="s">
        <v>136</v>
      </c>
      <c r="C79" s="162"/>
      <c r="D79" s="162"/>
      <c r="E79" s="237" t="s">
        <v>137</v>
      </c>
      <c r="F79" s="164" t="s">
        <v>41</v>
      </c>
      <c r="G79" s="162" t="s">
        <v>28</v>
      </c>
      <c r="H79" s="164" t="s">
        <v>29</v>
      </c>
      <c r="I79" s="162">
        <v>18</v>
      </c>
      <c r="J79" s="162">
        <v>7</v>
      </c>
      <c r="K79" s="162">
        <v>3</v>
      </c>
      <c r="L79" s="162" t="s">
        <v>113</v>
      </c>
      <c r="M79" s="162" t="s">
        <v>114</v>
      </c>
      <c r="N79" s="164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238" t="s">
        <v>138</v>
      </c>
    </row>
    <row r="80" spans="1:25" s="84" customFormat="1" x14ac:dyDescent="0.3">
      <c r="A80" s="161">
        <f t="shared" si="1"/>
        <v>78</v>
      </c>
      <c r="B80" s="162" t="s">
        <v>139</v>
      </c>
      <c r="C80" s="162"/>
      <c r="D80" s="162"/>
      <c r="E80" s="237" t="s">
        <v>140</v>
      </c>
      <c r="F80" s="164" t="s">
        <v>56</v>
      </c>
      <c r="G80" s="162" t="s">
        <v>28</v>
      </c>
      <c r="H80" s="164" t="s">
        <v>29</v>
      </c>
      <c r="I80" s="162">
        <v>18</v>
      </c>
      <c r="J80" s="162">
        <v>7</v>
      </c>
      <c r="K80" s="162">
        <v>4</v>
      </c>
      <c r="L80" s="162" t="s">
        <v>113</v>
      </c>
      <c r="M80" s="162" t="s">
        <v>114</v>
      </c>
      <c r="N80" s="164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3"/>
    </row>
    <row r="81" spans="1:25" s="84" customFormat="1" x14ac:dyDescent="0.3">
      <c r="A81" s="161">
        <f t="shared" si="1"/>
        <v>79</v>
      </c>
      <c r="B81" s="162" t="s">
        <v>141</v>
      </c>
      <c r="C81" s="162"/>
      <c r="D81" s="239"/>
      <c r="E81" s="237" t="s">
        <v>142</v>
      </c>
      <c r="F81" s="164" t="s">
        <v>36</v>
      </c>
      <c r="G81" s="162" t="s">
        <v>28</v>
      </c>
      <c r="H81" s="164" t="s">
        <v>29</v>
      </c>
      <c r="I81" s="162">
        <v>18</v>
      </c>
      <c r="J81" s="162">
        <v>7</v>
      </c>
      <c r="K81" s="162">
        <v>5</v>
      </c>
      <c r="L81" s="162" t="s">
        <v>113</v>
      </c>
      <c r="M81" s="162" t="s">
        <v>114</v>
      </c>
      <c r="N81" s="164" t="s">
        <v>143</v>
      </c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3"/>
    </row>
    <row r="82" spans="1:25" s="84" customFormat="1" x14ac:dyDescent="0.3">
      <c r="A82" s="161">
        <f t="shared" si="1"/>
        <v>80</v>
      </c>
      <c r="B82" s="162"/>
      <c r="C82" s="162"/>
      <c r="D82" s="162"/>
      <c r="E82" s="237" t="s">
        <v>53</v>
      </c>
      <c r="F82" s="164"/>
      <c r="G82" s="162"/>
      <c r="H82" s="164" t="s">
        <v>29</v>
      </c>
      <c r="I82" s="162">
        <v>18</v>
      </c>
      <c r="J82" s="162">
        <v>7</v>
      </c>
      <c r="K82" s="162">
        <v>6</v>
      </c>
      <c r="L82" s="162" t="s">
        <v>113</v>
      </c>
      <c r="M82" s="162" t="s">
        <v>114</v>
      </c>
      <c r="N82" s="164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3"/>
    </row>
    <row r="83" spans="1:25" s="84" customFormat="1" x14ac:dyDescent="0.3">
      <c r="A83" s="161">
        <f t="shared" si="1"/>
        <v>81</v>
      </c>
      <c r="B83" s="162"/>
      <c r="C83" s="162"/>
      <c r="D83" s="162"/>
      <c r="E83" s="237" t="s">
        <v>53</v>
      </c>
      <c r="F83" s="164"/>
      <c r="G83" s="162"/>
      <c r="H83" s="164" t="s">
        <v>29</v>
      </c>
      <c r="I83" s="162">
        <v>18</v>
      </c>
      <c r="J83" s="162">
        <v>7</v>
      </c>
      <c r="K83" s="162">
        <v>7</v>
      </c>
      <c r="L83" s="162" t="s">
        <v>113</v>
      </c>
      <c r="M83" s="162" t="s">
        <v>114</v>
      </c>
      <c r="N83" s="164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3"/>
    </row>
    <row r="84" spans="1:25" s="84" customFormat="1" x14ac:dyDescent="0.3">
      <c r="A84" s="161">
        <f t="shared" si="1"/>
        <v>82</v>
      </c>
      <c r="B84" s="162" t="s">
        <v>144</v>
      </c>
      <c r="C84" s="162"/>
      <c r="D84" s="162"/>
      <c r="E84" s="237" t="s">
        <v>145</v>
      </c>
      <c r="F84" s="164" t="s">
        <v>146</v>
      </c>
      <c r="G84" s="162" t="s">
        <v>28</v>
      </c>
      <c r="H84" s="164" t="s">
        <v>29</v>
      </c>
      <c r="I84" s="162">
        <v>18</v>
      </c>
      <c r="J84" s="162">
        <v>8</v>
      </c>
      <c r="K84" s="162">
        <v>0</v>
      </c>
      <c r="L84" s="162" t="s">
        <v>113</v>
      </c>
      <c r="M84" s="162" t="s">
        <v>114</v>
      </c>
      <c r="N84" s="164" t="s">
        <v>118</v>
      </c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238" t="s">
        <v>147</v>
      </c>
    </row>
    <row r="85" spans="1:25" s="84" customFormat="1" x14ac:dyDescent="0.3">
      <c r="A85" s="161">
        <f t="shared" si="1"/>
        <v>83</v>
      </c>
      <c r="B85" s="162" t="s">
        <v>148</v>
      </c>
      <c r="C85" s="162"/>
      <c r="D85" s="162"/>
      <c r="E85" s="237" t="s">
        <v>149</v>
      </c>
      <c r="F85" s="164" t="s">
        <v>36</v>
      </c>
      <c r="G85" s="162" t="s">
        <v>28</v>
      </c>
      <c r="H85" s="164" t="s">
        <v>29</v>
      </c>
      <c r="I85" s="162">
        <v>18</v>
      </c>
      <c r="J85" s="162">
        <v>8</v>
      </c>
      <c r="K85" s="162">
        <v>1</v>
      </c>
      <c r="L85" s="162" t="s">
        <v>113</v>
      </c>
      <c r="M85" s="162" t="s">
        <v>114</v>
      </c>
      <c r="N85" s="164" t="s">
        <v>150</v>
      </c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3"/>
    </row>
    <row r="86" spans="1:25" s="84" customFormat="1" x14ac:dyDescent="0.3">
      <c r="A86" s="161">
        <f t="shared" si="1"/>
        <v>84</v>
      </c>
      <c r="B86" s="162" t="s">
        <v>151</v>
      </c>
      <c r="C86" s="162"/>
      <c r="D86" s="162"/>
      <c r="E86" s="237" t="s">
        <v>152</v>
      </c>
      <c r="F86" s="164" t="s">
        <v>88</v>
      </c>
      <c r="G86" s="162" t="s">
        <v>28</v>
      </c>
      <c r="H86" s="164" t="s">
        <v>29</v>
      </c>
      <c r="I86" s="162">
        <v>18</v>
      </c>
      <c r="J86" s="162">
        <v>8</v>
      </c>
      <c r="K86" s="162">
        <v>2</v>
      </c>
      <c r="L86" s="162" t="s">
        <v>113</v>
      </c>
      <c r="M86" s="162" t="s">
        <v>114</v>
      </c>
      <c r="N86" s="164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3"/>
    </row>
    <row r="87" spans="1:25" s="84" customFormat="1" x14ac:dyDescent="0.3">
      <c r="A87" s="161">
        <f t="shared" si="1"/>
        <v>85</v>
      </c>
      <c r="B87" s="162" t="s">
        <v>153</v>
      </c>
      <c r="C87" s="162"/>
      <c r="D87" s="162"/>
      <c r="E87" s="237" t="s">
        <v>154</v>
      </c>
      <c r="F87" s="164" t="s">
        <v>41</v>
      </c>
      <c r="G87" s="162" t="s">
        <v>28</v>
      </c>
      <c r="H87" s="164" t="s">
        <v>29</v>
      </c>
      <c r="I87" s="162">
        <v>18</v>
      </c>
      <c r="J87" s="162">
        <v>8</v>
      </c>
      <c r="K87" s="162">
        <v>3</v>
      </c>
      <c r="L87" s="162" t="s">
        <v>113</v>
      </c>
      <c r="M87" s="162" t="s">
        <v>114</v>
      </c>
      <c r="N87" s="164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3"/>
    </row>
    <row r="88" spans="1:25" s="84" customFormat="1" x14ac:dyDescent="0.3">
      <c r="A88" s="161">
        <f t="shared" si="1"/>
        <v>86</v>
      </c>
      <c r="B88" s="162"/>
      <c r="C88" s="162"/>
      <c r="D88" s="162"/>
      <c r="E88" s="237" t="s">
        <v>53</v>
      </c>
      <c r="F88" s="164"/>
      <c r="G88" s="162"/>
      <c r="H88" s="164" t="s">
        <v>29</v>
      </c>
      <c r="I88" s="162">
        <v>18</v>
      </c>
      <c r="J88" s="162">
        <v>8</v>
      </c>
      <c r="K88" s="162">
        <v>4</v>
      </c>
      <c r="L88" s="162" t="s">
        <v>113</v>
      </c>
      <c r="M88" s="162" t="s">
        <v>114</v>
      </c>
      <c r="N88" s="164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3"/>
    </row>
    <row r="89" spans="1:25" s="84" customFormat="1" x14ac:dyDescent="0.3">
      <c r="A89" s="161">
        <f t="shared" si="1"/>
        <v>87</v>
      </c>
      <c r="B89" s="162"/>
      <c r="C89" s="162"/>
      <c r="D89" s="162"/>
      <c r="E89" s="237" t="s">
        <v>53</v>
      </c>
      <c r="F89" s="164"/>
      <c r="G89" s="162"/>
      <c r="H89" s="164" t="s">
        <v>29</v>
      </c>
      <c r="I89" s="162">
        <v>18</v>
      </c>
      <c r="J89" s="162">
        <v>8</v>
      </c>
      <c r="K89" s="162">
        <v>5</v>
      </c>
      <c r="L89" s="162" t="s">
        <v>113</v>
      </c>
      <c r="M89" s="162" t="s">
        <v>114</v>
      </c>
      <c r="N89" s="164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3"/>
    </row>
    <row r="90" spans="1:25" s="84" customFormat="1" x14ac:dyDescent="0.3">
      <c r="A90" s="161">
        <f t="shared" si="1"/>
        <v>88</v>
      </c>
      <c r="B90" s="162"/>
      <c r="C90" s="162"/>
      <c r="D90" s="162"/>
      <c r="E90" s="237" t="s">
        <v>53</v>
      </c>
      <c r="F90" s="164"/>
      <c r="G90" s="162"/>
      <c r="H90" s="164" t="s">
        <v>29</v>
      </c>
      <c r="I90" s="162">
        <v>18</v>
      </c>
      <c r="J90" s="162">
        <v>8</v>
      </c>
      <c r="K90" s="162">
        <v>6</v>
      </c>
      <c r="L90" s="162" t="s">
        <v>113</v>
      </c>
      <c r="M90" s="162" t="s">
        <v>114</v>
      </c>
      <c r="N90" s="164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3"/>
    </row>
    <row r="91" spans="1:25" s="78" customFormat="1" x14ac:dyDescent="0.3">
      <c r="A91" s="161">
        <f t="shared" si="1"/>
        <v>89</v>
      </c>
      <c r="B91" s="162"/>
      <c r="C91" s="162"/>
      <c r="D91" s="162"/>
      <c r="E91" s="237" t="s">
        <v>53</v>
      </c>
      <c r="F91" s="164"/>
      <c r="G91" s="162"/>
      <c r="H91" s="164" t="s">
        <v>29</v>
      </c>
      <c r="I91" s="162">
        <v>18</v>
      </c>
      <c r="J91" s="162">
        <v>8</v>
      </c>
      <c r="K91" s="162">
        <v>7</v>
      </c>
      <c r="L91" s="162" t="s">
        <v>113</v>
      </c>
      <c r="M91" s="162" t="s">
        <v>114</v>
      </c>
      <c r="N91" s="164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3"/>
    </row>
    <row r="92" spans="1:25" s="78" customFormat="1" x14ac:dyDescent="0.3">
      <c r="A92" s="161">
        <f t="shared" si="1"/>
        <v>90</v>
      </c>
      <c r="B92" s="162" t="s">
        <v>155</v>
      </c>
      <c r="C92" s="162"/>
      <c r="D92" s="162"/>
      <c r="E92" s="237" t="s">
        <v>156</v>
      </c>
      <c r="F92" s="164" t="s">
        <v>36</v>
      </c>
      <c r="G92" s="162" t="s">
        <v>28</v>
      </c>
      <c r="H92" s="164" t="s">
        <v>29</v>
      </c>
      <c r="I92" s="162">
        <v>18</v>
      </c>
      <c r="J92" s="162">
        <v>9</v>
      </c>
      <c r="K92" s="162">
        <v>0</v>
      </c>
      <c r="L92" s="162" t="s">
        <v>113</v>
      </c>
      <c r="M92" s="162" t="s">
        <v>114</v>
      </c>
      <c r="N92" s="164" t="s">
        <v>157</v>
      </c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3"/>
    </row>
    <row r="93" spans="1:25" s="78" customFormat="1" x14ac:dyDescent="0.3">
      <c r="A93" s="161">
        <f t="shared" si="1"/>
        <v>91</v>
      </c>
      <c r="B93" s="162" t="s">
        <v>158</v>
      </c>
      <c r="C93" s="162"/>
      <c r="D93" s="162"/>
      <c r="E93" s="237" t="s">
        <v>159</v>
      </c>
      <c r="F93" s="164" t="s">
        <v>36</v>
      </c>
      <c r="G93" s="162" t="s">
        <v>28</v>
      </c>
      <c r="H93" s="164" t="s">
        <v>29</v>
      </c>
      <c r="I93" s="162">
        <v>18</v>
      </c>
      <c r="J93" s="162">
        <v>9</v>
      </c>
      <c r="K93" s="162">
        <v>1</v>
      </c>
      <c r="L93" s="162" t="s">
        <v>113</v>
      </c>
      <c r="M93" s="162" t="s">
        <v>114</v>
      </c>
      <c r="N93" s="164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3"/>
    </row>
    <row r="94" spans="1:25" s="78" customFormat="1" x14ac:dyDescent="0.3">
      <c r="A94" s="161">
        <f t="shared" si="1"/>
        <v>92</v>
      </c>
      <c r="B94" s="162" t="s">
        <v>160</v>
      </c>
      <c r="C94" s="162"/>
      <c r="D94" s="162"/>
      <c r="E94" s="237" t="s">
        <v>161</v>
      </c>
      <c r="F94" s="164" t="s">
        <v>27</v>
      </c>
      <c r="G94" s="162" t="s">
        <v>28</v>
      </c>
      <c r="H94" s="164" t="s">
        <v>29</v>
      </c>
      <c r="I94" s="162">
        <v>18</v>
      </c>
      <c r="J94" s="162">
        <v>9</v>
      </c>
      <c r="K94" s="162">
        <v>2</v>
      </c>
      <c r="L94" s="162" t="s">
        <v>113</v>
      </c>
      <c r="M94" s="162" t="s">
        <v>114</v>
      </c>
      <c r="N94" s="164" t="s">
        <v>162</v>
      </c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3"/>
    </row>
    <row r="95" spans="1:25" s="78" customFormat="1" x14ac:dyDescent="0.3">
      <c r="A95" s="161">
        <f t="shared" si="1"/>
        <v>93</v>
      </c>
      <c r="B95" s="162" t="s">
        <v>163</v>
      </c>
      <c r="C95" s="162"/>
      <c r="D95" s="162"/>
      <c r="E95" s="237" t="s">
        <v>164</v>
      </c>
      <c r="F95" s="164" t="s">
        <v>88</v>
      </c>
      <c r="G95" s="162" t="s">
        <v>28</v>
      </c>
      <c r="H95" s="164" t="s">
        <v>29</v>
      </c>
      <c r="I95" s="162">
        <v>18</v>
      </c>
      <c r="J95" s="162">
        <v>9</v>
      </c>
      <c r="K95" s="162">
        <v>3</v>
      </c>
      <c r="L95" s="162" t="s">
        <v>113</v>
      </c>
      <c r="M95" s="162" t="s">
        <v>114</v>
      </c>
      <c r="N95" s="164" t="s">
        <v>162</v>
      </c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3"/>
    </row>
    <row r="96" spans="1:25" s="78" customFormat="1" x14ac:dyDescent="0.3">
      <c r="A96" s="161">
        <f t="shared" si="1"/>
        <v>94</v>
      </c>
      <c r="B96" s="162"/>
      <c r="C96" s="162"/>
      <c r="D96" s="162"/>
      <c r="E96" s="237" t="s">
        <v>53</v>
      </c>
      <c r="F96" s="164"/>
      <c r="G96" s="162"/>
      <c r="H96" s="164" t="s">
        <v>29</v>
      </c>
      <c r="I96" s="162">
        <v>18</v>
      </c>
      <c r="J96" s="162">
        <v>9</v>
      </c>
      <c r="K96" s="162">
        <v>4</v>
      </c>
      <c r="L96" s="162" t="s">
        <v>113</v>
      </c>
      <c r="M96" s="162" t="s">
        <v>114</v>
      </c>
      <c r="N96" s="164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3"/>
    </row>
    <row r="97" spans="1:25" s="78" customFormat="1" x14ac:dyDescent="0.3">
      <c r="A97" s="161">
        <f t="shared" si="1"/>
        <v>95</v>
      </c>
      <c r="B97" s="162"/>
      <c r="C97" s="162"/>
      <c r="D97" s="162"/>
      <c r="E97" s="237" t="s">
        <v>53</v>
      </c>
      <c r="F97" s="164"/>
      <c r="G97" s="162"/>
      <c r="H97" s="164" t="s">
        <v>29</v>
      </c>
      <c r="I97" s="162">
        <v>18</v>
      </c>
      <c r="J97" s="162">
        <v>9</v>
      </c>
      <c r="K97" s="162">
        <v>5</v>
      </c>
      <c r="L97" s="162" t="s">
        <v>113</v>
      </c>
      <c r="M97" s="162" t="s">
        <v>114</v>
      </c>
      <c r="N97" s="164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3"/>
    </row>
    <row r="98" spans="1:25" s="78" customFormat="1" x14ac:dyDescent="0.3">
      <c r="A98" s="161">
        <f t="shared" si="1"/>
        <v>96</v>
      </c>
      <c r="B98" s="162"/>
      <c r="C98" s="162"/>
      <c r="D98" s="162"/>
      <c r="E98" s="237" t="s">
        <v>53</v>
      </c>
      <c r="F98" s="164"/>
      <c r="G98" s="162"/>
      <c r="H98" s="164" t="s">
        <v>29</v>
      </c>
      <c r="I98" s="162">
        <v>18</v>
      </c>
      <c r="J98" s="162">
        <v>9</v>
      </c>
      <c r="K98" s="162">
        <v>6</v>
      </c>
      <c r="L98" s="162" t="s">
        <v>113</v>
      </c>
      <c r="M98" s="162" t="s">
        <v>114</v>
      </c>
      <c r="N98" s="164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3"/>
    </row>
    <row r="99" spans="1:25" s="78" customFormat="1" x14ac:dyDescent="0.3">
      <c r="A99" s="161">
        <f t="shared" si="1"/>
        <v>97</v>
      </c>
      <c r="B99" s="162"/>
      <c r="C99" s="162"/>
      <c r="D99" s="162"/>
      <c r="E99" s="237" t="s">
        <v>53</v>
      </c>
      <c r="F99" s="164"/>
      <c r="G99" s="162"/>
      <c r="H99" s="164" t="s">
        <v>29</v>
      </c>
      <c r="I99" s="162">
        <v>18</v>
      </c>
      <c r="J99" s="162">
        <v>9</v>
      </c>
      <c r="K99" s="162">
        <v>7</v>
      </c>
      <c r="L99" s="162" t="s">
        <v>113</v>
      </c>
      <c r="M99" s="162" t="s">
        <v>114</v>
      </c>
      <c r="N99" s="164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3"/>
    </row>
    <row r="100" spans="1:25" s="78" customFormat="1" x14ac:dyDescent="0.3">
      <c r="A100" s="161">
        <f t="shared" si="1"/>
        <v>98</v>
      </c>
      <c r="B100" s="162" t="s">
        <v>165</v>
      </c>
      <c r="C100" s="162"/>
      <c r="D100" s="162"/>
      <c r="E100" s="237" t="s">
        <v>166</v>
      </c>
      <c r="F100" s="164" t="s">
        <v>36</v>
      </c>
      <c r="G100" s="162" t="s">
        <v>28</v>
      </c>
      <c r="H100" s="164" t="s">
        <v>29</v>
      </c>
      <c r="I100" s="162">
        <v>18</v>
      </c>
      <c r="J100" s="162">
        <v>10</v>
      </c>
      <c r="K100" s="162">
        <v>0</v>
      </c>
      <c r="L100" s="162" t="s">
        <v>113</v>
      </c>
      <c r="M100" s="162" t="s">
        <v>114</v>
      </c>
      <c r="N100" s="164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3"/>
    </row>
    <row r="101" spans="1:25" s="78" customFormat="1" x14ac:dyDescent="0.3">
      <c r="A101" s="161">
        <f t="shared" si="1"/>
        <v>99</v>
      </c>
      <c r="B101" s="162" t="s">
        <v>167</v>
      </c>
      <c r="C101" s="162"/>
      <c r="D101" s="162"/>
      <c r="E101" s="237" t="s">
        <v>168</v>
      </c>
      <c r="F101" s="164" t="s">
        <v>36</v>
      </c>
      <c r="G101" s="162" t="s">
        <v>28</v>
      </c>
      <c r="H101" s="164" t="s">
        <v>29</v>
      </c>
      <c r="I101" s="162">
        <v>18</v>
      </c>
      <c r="J101" s="162">
        <v>10</v>
      </c>
      <c r="K101" s="162">
        <v>1</v>
      </c>
      <c r="L101" s="162" t="s">
        <v>113</v>
      </c>
      <c r="M101" s="162" t="s">
        <v>114</v>
      </c>
      <c r="N101" s="164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3"/>
    </row>
    <row r="102" spans="1:25" s="78" customFormat="1" x14ac:dyDescent="0.3">
      <c r="A102" s="161">
        <f t="shared" si="1"/>
        <v>100</v>
      </c>
      <c r="B102" s="162" t="s">
        <v>169</v>
      </c>
      <c r="C102" s="162"/>
      <c r="D102" s="162"/>
      <c r="E102" s="237" t="s">
        <v>170</v>
      </c>
      <c r="F102" s="164" t="s">
        <v>56</v>
      </c>
      <c r="G102" s="162" t="s">
        <v>28</v>
      </c>
      <c r="H102" s="164" t="s">
        <v>29</v>
      </c>
      <c r="I102" s="162">
        <v>18</v>
      </c>
      <c r="J102" s="162">
        <v>10</v>
      </c>
      <c r="K102" s="162">
        <v>2</v>
      </c>
      <c r="L102" s="162" t="s">
        <v>113</v>
      </c>
      <c r="M102" s="162" t="s">
        <v>114</v>
      </c>
      <c r="N102" s="164" t="s">
        <v>162</v>
      </c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3"/>
    </row>
    <row r="103" spans="1:25" s="78" customFormat="1" x14ac:dyDescent="0.3">
      <c r="A103" s="161">
        <f t="shared" si="1"/>
        <v>101</v>
      </c>
      <c r="B103" s="162" t="s">
        <v>171</v>
      </c>
      <c r="C103" s="162"/>
      <c r="D103" s="162"/>
      <c r="E103" s="237" t="s">
        <v>172</v>
      </c>
      <c r="F103" s="164" t="s">
        <v>36</v>
      </c>
      <c r="G103" s="162" t="s">
        <v>28</v>
      </c>
      <c r="H103" s="164" t="s">
        <v>29</v>
      </c>
      <c r="I103" s="162">
        <v>18</v>
      </c>
      <c r="J103" s="162">
        <v>10</v>
      </c>
      <c r="K103" s="162">
        <v>3</v>
      </c>
      <c r="L103" s="162" t="s">
        <v>113</v>
      </c>
      <c r="M103" s="162" t="s">
        <v>114</v>
      </c>
      <c r="N103" s="164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3"/>
    </row>
    <row r="104" spans="1:25" s="78" customFormat="1" x14ac:dyDescent="0.3">
      <c r="A104" s="161">
        <f t="shared" si="1"/>
        <v>102</v>
      </c>
      <c r="B104" s="162" t="s">
        <v>173</v>
      </c>
      <c r="C104" s="162"/>
      <c r="D104" s="162"/>
      <c r="E104" s="237" t="s">
        <v>174</v>
      </c>
      <c r="F104" s="164" t="s">
        <v>36</v>
      </c>
      <c r="G104" s="162" t="s">
        <v>28</v>
      </c>
      <c r="H104" s="164" t="s">
        <v>29</v>
      </c>
      <c r="I104" s="162">
        <v>18</v>
      </c>
      <c r="J104" s="162">
        <v>10</v>
      </c>
      <c r="K104" s="162">
        <v>4</v>
      </c>
      <c r="L104" s="162" t="s">
        <v>113</v>
      </c>
      <c r="M104" s="162" t="s">
        <v>114</v>
      </c>
      <c r="N104" s="164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3"/>
    </row>
    <row r="105" spans="1:25" s="78" customFormat="1" x14ac:dyDescent="0.3">
      <c r="A105" s="161">
        <f t="shared" si="1"/>
        <v>103</v>
      </c>
      <c r="B105" s="162"/>
      <c r="C105" s="162"/>
      <c r="D105" s="162"/>
      <c r="E105" s="237" t="s">
        <v>53</v>
      </c>
      <c r="F105" s="164"/>
      <c r="G105" s="162"/>
      <c r="H105" s="164" t="s">
        <v>29</v>
      </c>
      <c r="I105" s="162">
        <v>18</v>
      </c>
      <c r="J105" s="162">
        <v>10</v>
      </c>
      <c r="K105" s="162">
        <v>5</v>
      </c>
      <c r="L105" s="162" t="s">
        <v>113</v>
      </c>
      <c r="M105" s="162" t="s">
        <v>114</v>
      </c>
      <c r="N105" s="164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3"/>
    </row>
    <row r="106" spans="1:25" s="78" customFormat="1" x14ac:dyDescent="0.3">
      <c r="A106" s="161">
        <f t="shared" si="1"/>
        <v>104</v>
      </c>
      <c r="B106" s="162"/>
      <c r="C106" s="162"/>
      <c r="D106" s="162"/>
      <c r="E106" s="237" t="s">
        <v>53</v>
      </c>
      <c r="F106" s="164"/>
      <c r="G106" s="162"/>
      <c r="H106" s="164" t="s">
        <v>29</v>
      </c>
      <c r="I106" s="162">
        <v>18</v>
      </c>
      <c r="J106" s="162">
        <v>10</v>
      </c>
      <c r="K106" s="162">
        <v>6</v>
      </c>
      <c r="L106" s="162" t="s">
        <v>113</v>
      </c>
      <c r="M106" s="162" t="s">
        <v>114</v>
      </c>
      <c r="N106" s="164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3"/>
    </row>
    <row r="107" spans="1:25" s="78" customFormat="1" x14ac:dyDescent="0.3">
      <c r="A107" s="161">
        <f t="shared" si="1"/>
        <v>105</v>
      </c>
      <c r="B107" s="162"/>
      <c r="C107" s="162"/>
      <c r="D107" s="162"/>
      <c r="E107" s="237" t="s">
        <v>53</v>
      </c>
      <c r="F107" s="164"/>
      <c r="G107" s="162"/>
      <c r="H107" s="164" t="s">
        <v>29</v>
      </c>
      <c r="I107" s="162">
        <v>18</v>
      </c>
      <c r="J107" s="162">
        <v>10</v>
      </c>
      <c r="K107" s="162">
        <v>7</v>
      </c>
      <c r="L107" s="162" t="s">
        <v>113</v>
      </c>
      <c r="M107" s="162" t="s">
        <v>114</v>
      </c>
      <c r="N107" s="164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3"/>
    </row>
    <row r="108" spans="1:25" s="78" customFormat="1" x14ac:dyDescent="0.3">
      <c r="A108" s="161">
        <f t="shared" si="1"/>
        <v>106</v>
      </c>
      <c r="B108" s="162"/>
      <c r="C108" s="162"/>
      <c r="D108" s="162"/>
      <c r="E108" s="237" t="s">
        <v>108</v>
      </c>
      <c r="F108" s="164"/>
      <c r="G108" s="162"/>
      <c r="H108" s="164" t="s">
        <v>29</v>
      </c>
      <c r="I108" s="162">
        <v>18</v>
      </c>
      <c r="J108" s="162">
        <v>11</v>
      </c>
      <c r="K108" s="162">
        <v>0</v>
      </c>
      <c r="L108" s="162" t="s">
        <v>109</v>
      </c>
      <c r="M108" s="162" t="s">
        <v>110</v>
      </c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3"/>
    </row>
    <row r="109" spans="1:25" s="78" customFormat="1" x14ac:dyDescent="0.3">
      <c r="A109" s="161">
        <f t="shared" si="1"/>
        <v>107</v>
      </c>
      <c r="B109" s="162" t="s">
        <v>175</v>
      </c>
      <c r="C109" s="162"/>
      <c r="D109" s="162"/>
      <c r="E109" s="237" t="s">
        <v>176</v>
      </c>
      <c r="F109" s="164" t="s">
        <v>41</v>
      </c>
      <c r="G109" s="162" t="s">
        <v>28</v>
      </c>
      <c r="H109" s="164" t="s">
        <v>29</v>
      </c>
      <c r="I109" s="162">
        <v>18</v>
      </c>
      <c r="J109" s="162">
        <v>12</v>
      </c>
      <c r="K109" s="162">
        <v>0</v>
      </c>
      <c r="L109" s="162" t="s">
        <v>177</v>
      </c>
      <c r="M109" s="162" t="s">
        <v>178</v>
      </c>
      <c r="N109" s="164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3"/>
    </row>
    <row r="110" spans="1:25" s="78" customFormat="1" x14ac:dyDescent="0.3">
      <c r="A110" s="161">
        <f t="shared" si="1"/>
        <v>108</v>
      </c>
      <c r="B110" s="162" t="s">
        <v>179</v>
      </c>
      <c r="C110" s="162"/>
      <c r="D110" s="162"/>
      <c r="E110" s="237" t="s">
        <v>180</v>
      </c>
      <c r="F110" s="164" t="s">
        <v>36</v>
      </c>
      <c r="G110" s="162" t="s">
        <v>28</v>
      </c>
      <c r="H110" s="164" t="s">
        <v>29</v>
      </c>
      <c r="I110" s="162">
        <v>18</v>
      </c>
      <c r="J110" s="162">
        <v>12</v>
      </c>
      <c r="K110" s="162">
        <v>1</v>
      </c>
      <c r="L110" s="162" t="s">
        <v>177</v>
      </c>
      <c r="M110" s="162" t="s">
        <v>178</v>
      </c>
      <c r="N110" s="164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3"/>
    </row>
    <row r="111" spans="1:25" s="78" customFormat="1" x14ac:dyDescent="0.3">
      <c r="A111" s="161">
        <f t="shared" si="1"/>
        <v>109</v>
      </c>
      <c r="B111" s="162" t="s">
        <v>181</v>
      </c>
      <c r="C111" s="162"/>
      <c r="D111" s="162"/>
      <c r="E111" s="237" t="s">
        <v>182</v>
      </c>
      <c r="F111" s="164" t="s">
        <v>27</v>
      </c>
      <c r="G111" s="162" t="s">
        <v>28</v>
      </c>
      <c r="H111" s="164" t="s">
        <v>29</v>
      </c>
      <c r="I111" s="162">
        <v>18</v>
      </c>
      <c r="J111" s="162">
        <v>12</v>
      </c>
      <c r="K111" s="162">
        <v>2</v>
      </c>
      <c r="L111" s="162" t="s">
        <v>177</v>
      </c>
      <c r="M111" s="162" t="s">
        <v>178</v>
      </c>
      <c r="N111" s="164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3"/>
    </row>
    <row r="112" spans="1:25" s="78" customFormat="1" x14ac:dyDescent="0.3">
      <c r="A112" s="161">
        <f t="shared" si="1"/>
        <v>110</v>
      </c>
      <c r="B112" s="162" t="s">
        <v>183</v>
      </c>
      <c r="C112" s="162"/>
      <c r="D112" s="162"/>
      <c r="E112" s="237" t="s">
        <v>152</v>
      </c>
      <c r="F112" s="164" t="s">
        <v>88</v>
      </c>
      <c r="G112" s="162" t="s">
        <v>28</v>
      </c>
      <c r="H112" s="164" t="s">
        <v>29</v>
      </c>
      <c r="I112" s="162">
        <v>18</v>
      </c>
      <c r="J112" s="162">
        <v>12</v>
      </c>
      <c r="K112" s="162">
        <v>3</v>
      </c>
      <c r="L112" s="162" t="s">
        <v>177</v>
      </c>
      <c r="M112" s="162" t="s">
        <v>178</v>
      </c>
      <c r="N112" s="164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3"/>
    </row>
    <row r="113" spans="1:25" s="78" customFormat="1" x14ac:dyDescent="0.3">
      <c r="A113" s="161">
        <f t="shared" si="1"/>
        <v>111</v>
      </c>
      <c r="B113" s="162"/>
      <c r="C113" s="162"/>
      <c r="D113" s="162"/>
      <c r="E113" s="237" t="s">
        <v>53</v>
      </c>
      <c r="F113" s="164"/>
      <c r="G113" s="162"/>
      <c r="H113" s="164" t="s">
        <v>29</v>
      </c>
      <c r="I113" s="162">
        <v>18</v>
      </c>
      <c r="J113" s="162">
        <v>12</v>
      </c>
      <c r="K113" s="162">
        <v>4</v>
      </c>
      <c r="L113" s="162" t="s">
        <v>177</v>
      </c>
      <c r="M113" s="162" t="s">
        <v>178</v>
      </c>
      <c r="N113" s="164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3"/>
    </row>
    <row r="114" spans="1:25" s="78" customFormat="1" x14ac:dyDescent="0.3">
      <c r="A114" s="161">
        <f t="shared" si="1"/>
        <v>112</v>
      </c>
      <c r="B114" s="162"/>
      <c r="C114" s="162"/>
      <c r="D114" s="162"/>
      <c r="E114" s="237" t="s">
        <v>53</v>
      </c>
      <c r="F114" s="164"/>
      <c r="G114" s="162"/>
      <c r="H114" s="164" t="s">
        <v>29</v>
      </c>
      <c r="I114" s="162">
        <v>18</v>
      </c>
      <c r="J114" s="162">
        <v>12</v>
      </c>
      <c r="K114" s="162">
        <v>5</v>
      </c>
      <c r="L114" s="162" t="s">
        <v>177</v>
      </c>
      <c r="M114" s="162" t="s">
        <v>178</v>
      </c>
      <c r="N114" s="164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3"/>
    </row>
    <row r="115" spans="1:25" s="78" customFormat="1" x14ac:dyDescent="0.3">
      <c r="A115" s="161">
        <f t="shared" si="1"/>
        <v>113</v>
      </c>
      <c r="B115" s="162"/>
      <c r="C115" s="162"/>
      <c r="D115" s="162"/>
      <c r="E115" s="237" t="s">
        <v>53</v>
      </c>
      <c r="F115" s="164"/>
      <c r="G115" s="162"/>
      <c r="H115" s="164" t="s">
        <v>29</v>
      </c>
      <c r="I115" s="162">
        <v>18</v>
      </c>
      <c r="J115" s="162">
        <v>12</v>
      </c>
      <c r="K115" s="162">
        <v>6</v>
      </c>
      <c r="L115" s="162" t="s">
        <v>177</v>
      </c>
      <c r="M115" s="162" t="s">
        <v>178</v>
      </c>
      <c r="N115" s="164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3"/>
    </row>
    <row r="116" spans="1:25" s="78" customFormat="1" x14ac:dyDescent="0.3">
      <c r="A116" s="161">
        <f t="shared" ref="A116:A179" si="2">ROW()-2</f>
        <v>114</v>
      </c>
      <c r="B116" s="162"/>
      <c r="C116" s="162"/>
      <c r="D116" s="162"/>
      <c r="E116" s="237" t="s">
        <v>53</v>
      </c>
      <c r="F116" s="164"/>
      <c r="G116" s="162"/>
      <c r="H116" s="164" t="s">
        <v>29</v>
      </c>
      <c r="I116" s="162">
        <v>18</v>
      </c>
      <c r="J116" s="162">
        <v>12</v>
      </c>
      <c r="K116" s="162">
        <v>7</v>
      </c>
      <c r="L116" s="162" t="s">
        <v>177</v>
      </c>
      <c r="M116" s="162" t="s">
        <v>178</v>
      </c>
      <c r="N116" s="164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3"/>
    </row>
    <row r="117" spans="1:25" s="78" customFormat="1" x14ac:dyDescent="0.3">
      <c r="A117" s="161">
        <f t="shared" si="2"/>
        <v>115</v>
      </c>
      <c r="B117" s="162" t="s">
        <v>184</v>
      </c>
      <c r="C117" s="162"/>
      <c r="D117" s="162"/>
      <c r="E117" s="237" t="s">
        <v>185</v>
      </c>
      <c r="F117" s="164" t="s">
        <v>36</v>
      </c>
      <c r="G117" s="162" t="s">
        <v>28</v>
      </c>
      <c r="H117" s="164" t="s">
        <v>29</v>
      </c>
      <c r="I117" s="162">
        <v>18</v>
      </c>
      <c r="J117" s="162">
        <v>13</v>
      </c>
      <c r="K117" s="162">
        <v>0</v>
      </c>
      <c r="L117" s="162" t="s">
        <v>177</v>
      </c>
      <c r="M117" s="162" t="s">
        <v>178</v>
      </c>
      <c r="N117" s="164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3"/>
    </row>
    <row r="118" spans="1:25" s="78" customFormat="1" x14ac:dyDescent="0.3">
      <c r="A118" s="161">
        <f t="shared" si="2"/>
        <v>116</v>
      </c>
      <c r="B118" s="162" t="s">
        <v>186</v>
      </c>
      <c r="C118" s="162"/>
      <c r="D118" s="162"/>
      <c r="E118" s="237" t="s">
        <v>187</v>
      </c>
      <c r="F118" s="164" t="s">
        <v>77</v>
      </c>
      <c r="G118" s="162" t="s">
        <v>28</v>
      </c>
      <c r="H118" s="164" t="s">
        <v>29</v>
      </c>
      <c r="I118" s="162">
        <v>18</v>
      </c>
      <c r="J118" s="162">
        <v>13</v>
      </c>
      <c r="K118" s="162">
        <v>1</v>
      </c>
      <c r="L118" s="162" t="s">
        <v>177</v>
      </c>
      <c r="M118" s="162" t="s">
        <v>178</v>
      </c>
      <c r="N118" s="164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3"/>
    </row>
    <row r="119" spans="1:25" s="78" customFormat="1" x14ac:dyDescent="0.3">
      <c r="A119" s="161">
        <f t="shared" si="2"/>
        <v>117</v>
      </c>
      <c r="B119" s="162" t="s">
        <v>188</v>
      </c>
      <c r="C119" s="162"/>
      <c r="D119" s="162"/>
      <c r="E119" s="237" t="s">
        <v>189</v>
      </c>
      <c r="F119" s="164" t="s">
        <v>56</v>
      </c>
      <c r="G119" s="162" t="s">
        <v>28</v>
      </c>
      <c r="H119" s="164" t="s">
        <v>29</v>
      </c>
      <c r="I119" s="162">
        <v>18</v>
      </c>
      <c r="J119" s="162">
        <v>13</v>
      </c>
      <c r="K119" s="162">
        <v>2</v>
      </c>
      <c r="L119" s="162" t="s">
        <v>177</v>
      </c>
      <c r="M119" s="162" t="s">
        <v>178</v>
      </c>
      <c r="N119" s="164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3"/>
    </row>
    <row r="120" spans="1:25" s="78" customFormat="1" x14ac:dyDescent="0.3">
      <c r="A120" s="161">
        <f t="shared" si="2"/>
        <v>118</v>
      </c>
      <c r="B120" s="162" t="s">
        <v>190</v>
      </c>
      <c r="C120" s="162"/>
      <c r="D120" s="162"/>
      <c r="E120" s="237" t="s">
        <v>191</v>
      </c>
      <c r="F120" s="164" t="s">
        <v>36</v>
      </c>
      <c r="G120" s="162" t="s">
        <v>28</v>
      </c>
      <c r="H120" s="164" t="s">
        <v>29</v>
      </c>
      <c r="I120" s="162">
        <v>18</v>
      </c>
      <c r="J120" s="162">
        <v>13</v>
      </c>
      <c r="K120" s="162">
        <v>3</v>
      </c>
      <c r="L120" s="162" t="s">
        <v>177</v>
      </c>
      <c r="M120" s="162" t="s">
        <v>178</v>
      </c>
      <c r="N120" s="164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3"/>
    </row>
    <row r="121" spans="1:25" s="78" customFormat="1" x14ac:dyDescent="0.3">
      <c r="A121" s="161">
        <f t="shared" si="2"/>
        <v>119</v>
      </c>
      <c r="B121" s="162"/>
      <c r="C121" s="162"/>
      <c r="D121" s="162"/>
      <c r="E121" s="237" t="s">
        <v>53</v>
      </c>
      <c r="F121" s="164"/>
      <c r="G121" s="162"/>
      <c r="H121" s="164" t="s">
        <v>29</v>
      </c>
      <c r="I121" s="162">
        <v>18</v>
      </c>
      <c r="J121" s="162">
        <v>13</v>
      </c>
      <c r="K121" s="162">
        <v>4</v>
      </c>
      <c r="L121" s="162" t="s">
        <v>177</v>
      </c>
      <c r="M121" s="162" t="s">
        <v>178</v>
      </c>
      <c r="N121" s="164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3"/>
    </row>
    <row r="122" spans="1:25" s="78" customFormat="1" x14ac:dyDescent="0.3">
      <c r="A122" s="161">
        <f t="shared" si="2"/>
        <v>120</v>
      </c>
      <c r="B122" s="162"/>
      <c r="C122" s="162"/>
      <c r="D122" s="162"/>
      <c r="E122" s="237" t="s">
        <v>53</v>
      </c>
      <c r="F122" s="164"/>
      <c r="G122" s="162"/>
      <c r="H122" s="164" t="s">
        <v>29</v>
      </c>
      <c r="I122" s="162">
        <v>18</v>
      </c>
      <c r="J122" s="162">
        <v>13</v>
      </c>
      <c r="K122" s="162">
        <v>5</v>
      </c>
      <c r="L122" s="162" t="s">
        <v>177</v>
      </c>
      <c r="M122" s="162" t="s">
        <v>178</v>
      </c>
      <c r="N122" s="164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3"/>
    </row>
    <row r="123" spans="1:25" s="78" customFormat="1" x14ac:dyDescent="0.3">
      <c r="A123" s="161">
        <f t="shared" si="2"/>
        <v>121</v>
      </c>
      <c r="B123" s="162"/>
      <c r="C123" s="162"/>
      <c r="D123" s="162"/>
      <c r="E123" s="237" t="s">
        <v>53</v>
      </c>
      <c r="F123" s="164"/>
      <c r="G123" s="162"/>
      <c r="H123" s="164" t="s">
        <v>29</v>
      </c>
      <c r="I123" s="162">
        <v>18</v>
      </c>
      <c r="J123" s="162">
        <v>13</v>
      </c>
      <c r="K123" s="162">
        <v>6</v>
      </c>
      <c r="L123" s="162" t="s">
        <v>177</v>
      </c>
      <c r="M123" s="162" t="s">
        <v>178</v>
      </c>
      <c r="N123" s="164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3"/>
    </row>
    <row r="124" spans="1:25" s="78" customFormat="1" x14ac:dyDescent="0.3">
      <c r="A124" s="161">
        <f t="shared" si="2"/>
        <v>122</v>
      </c>
      <c r="B124" s="162"/>
      <c r="C124" s="162"/>
      <c r="D124" s="162"/>
      <c r="E124" s="237" t="s">
        <v>53</v>
      </c>
      <c r="F124" s="164"/>
      <c r="G124" s="162"/>
      <c r="H124" s="164" t="s">
        <v>29</v>
      </c>
      <c r="I124" s="162">
        <v>18</v>
      </c>
      <c r="J124" s="162">
        <v>13</v>
      </c>
      <c r="K124" s="162">
        <v>7</v>
      </c>
      <c r="L124" s="162" t="s">
        <v>177</v>
      </c>
      <c r="M124" s="162" t="s">
        <v>178</v>
      </c>
      <c r="N124" s="164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3"/>
    </row>
    <row r="125" spans="1:25" s="78" customFormat="1" x14ac:dyDescent="0.3">
      <c r="A125" s="161">
        <f t="shared" si="2"/>
        <v>123</v>
      </c>
      <c r="B125" s="162" t="s">
        <v>192</v>
      </c>
      <c r="C125" s="162"/>
      <c r="D125" s="162"/>
      <c r="E125" s="237" t="s">
        <v>193</v>
      </c>
      <c r="F125" s="164" t="s">
        <v>27</v>
      </c>
      <c r="G125" s="162" t="s">
        <v>194</v>
      </c>
      <c r="H125" s="164" t="s">
        <v>29</v>
      </c>
      <c r="I125" s="162">
        <v>18</v>
      </c>
      <c r="J125" s="162">
        <v>14</v>
      </c>
      <c r="K125" s="162">
        <v>0</v>
      </c>
      <c r="L125" s="162" t="s">
        <v>78</v>
      </c>
      <c r="M125" s="162" t="s">
        <v>79</v>
      </c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3"/>
    </row>
    <row r="126" spans="1:25" s="78" customFormat="1" x14ac:dyDescent="0.3">
      <c r="A126" s="161">
        <f t="shared" si="2"/>
        <v>124</v>
      </c>
      <c r="B126" s="162" t="s">
        <v>195</v>
      </c>
      <c r="C126" s="162"/>
      <c r="D126" s="162"/>
      <c r="E126" s="237" t="s">
        <v>196</v>
      </c>
      <c r="F126" s="164" t="s">
        <v>56</v>
      </c>
      <c r="G126" s="162" t="s">
        <v>194</v>
      </c>
      <c r="H126" s="164" t="s">
        <v>29</v>
      </c>
      <c r="I126" s="162">
        <v>18</v>
      </c>
      <c r="J126" s="162">
        <v>14</v>
      </c>
      <c r="K126" s="162">
        <v>1</v>
      </c>
      <c r="L126" s="162" t="s">
        <v>78</v>
      </c>
      <c r="M126" s="162" t="s">
        <v>79</v>
      </c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3"/>
    </row>
    <row r="127" spans="1:25" s="84" customFormat="1" x14ac:dyDescent="0.3">
      <c r="A127" s="161">
        <f t="shared" si="2"/>
        <v>125</v>
      </c>
      <c r="B127" s="162" t="s">
        <v>197</v>
      </c>
      <c r="C127" s="162"/>
      <c r="D127" s="162"/>
      <c r="E127" s="237" t="s">
        <v>198</v>
      </c>
      <c r="F127" s="164" t="s">
        <v>199</v>
      </c>
      <c r="G127" s="162" t="s">
        <v>194</v>
      </c>
      <c r="H127" s="164" t="s">
        <v>29</v>
      </c>
      <c r="I127" s="162">
        <v>18</v>
      </c>
      <c r="J127" s="162">
        <v>14</v>
      </c>
      <c r="K127" s="162">
        <v>2</v>
      </c>
      <c r="L127" s="162" t="s">
        <v>78</v>
      </c>
      <c r="M127" s="162" t="s">
        <v>79</v>
      </c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3"/>
    </row>
    <row r="128" spans="1:25" s="84" customFormat="1" x14ac:dyDescent="0.3">
      <c r="A128" s="161">
        <f t="shared" si="2"/>
        <v>126</v>
      </c>
      <c r="B128" s="162" t="s">
        <v>200</v>
      </c>
      <c r="C128" s="162"/>
      <c r="D128" s="162"/>
      <c r="E128" s="237" t="s">
        <v>201</v>
      </c>
      <c r="F128" s="164" t="s">
        <v>199</v>
      </c>
      <c r="G128" s="162" t="s">
        <v>194</v>
      </c>
      <c r="H128" s="164" t="s">
        <v>29</v>
      </c>
      <c r="I128" s="162">
        <v>18</v>
      </c>
      <c r="J128" s="162">
        <v>14</v>
      </c>
      <c r="K128" s="162">
        <v>3</v>
      </c>
      <c r="L128" s="162" t="s">
        <v>78</v>
      </c>
      <c r="M128" s="162" t="s">
        <v>79</v>
      </c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3"/>
    </row>
    <row r="129" spans="1:25" s="84" customFormat="1" x14ac:dyDescent="0.3">
      <c r="A129" s="161">
        <f t="shared" si="2"/>
        <v>127</v>
      </c>
      <c r="B129" s="162" t="s">
        <v>202</v>
      </c>
      <c r="C129" s="162"/>
      <c r="D129" s="162"/>
      <c r="E129" s="237" t="s">
        <v>203</v>
      </c>
      <c r="F129" s="164" t="s">
        <v>204</v>
      </c>
      <c r="G129" s="162" t="s">
        <v>194</v>
      </c>
      <c r="H129" s="164" t="s">
        <v>29</v>
      </c>
      <c r="I129" s="162">
        <v>18</v>
      </c>
      <c r="J129" s="162">
        <v>14</v>
      </c>
      <c r="K129" s="162">
        <v>4</v>
      </c>
      <c r="L129" s="162" t="s">
        <v>78</v>
      </c>
      <c r="M129" s="162" t="s">
        <v>79</v>
      </c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3"/>
    </row>
    <row r="130" spans="1:25" s="84" customFormat="1" x14ac:dyDescent="0.3">
      <c r="A130" s="161">
        <f t="shared" si="2"/>
        <v>128</v>
      </c>
      <c r="B130" s="162" t="s">
        <v>205</v>
      </c>
      <c r="C130" s="162"/>
      <c r="D130" s="162"/>
      <c r="E130" s="237" t="s">
        <v>206</v>
      </c>
      <c r="F130" s="164" t="s">
        <v>207</v>
      </c>
      <c r="G130" s="162" t="s">
        <v>194</v>
      </c>
      <c r="H130" s="164" t="s">
        <v>29</v>
      </c>
      <c r="I130" s="162">
        <v>18</v>
      </c>
      <c r="J130" s="162">
        <v>14</v>
      </c>
      <c r="K130" s="162">
        <v>5</v>
      </c>
      <c r="L130" s="162" t="s">
        <v>78</v>
      </c>
      <c r="M130" s="162" t="s">
        <v>79</v>
      </c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3"/>
    </row>
    <row r="131" spans="1:25" s="78" customFormat="1" x14ac:dyDescent="0.3">
      <c r="A131" s="161">
        <f t="shared" si="2"/>
        <v>129</v>
      </c>
      <c r="B131" s="162" t="s">
        <v>208</v>
      </c>
      <c r="C131" s="162"/>
      <c r="D131" s="162"/>
      <c r="E131" s="237" t="s">
        <v>209</v>
      </c>
      <c r="F131" s="164" t="s">
        <v>204</v>
      </c>
      <c r="G131" s="162" t="s">
        <v>194</v>
      </c>
      <c r="H131" s="164" t="s">
        <v>29</v>
      </c>
      <c r="I131" s="162">
        <v>18</v>
      </c>
      <c r="J131" s="162">
        <v>14</v>
      </c>
      <c r="K131" s="162">
        <v>6</v>
      </c>
      <c r="L131" s="162" t="s">
        <v>78</v>
      </c>
      <c r="M131" s="162" t="s">
        <v>79</v>
      </c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3"/>
    </row>
    <row r="132" spans="1:25" s="78" customFormat="1" x14ac:dyDescent="0.3">
      <c r="A132" s="161">
        <f t="shared" si="2"/>
        <v>130</v>
      </c>
      <c r="B132" s="162" t="s">
        <v>210</v>
      </c>
      <c r="C132" s="164"/>
      <c r="D132" s="164"/>
      <c r="E132" s="237" t="s">
        <v>211</v>
      </c>
      <c r="F132" s="164" t="s">
        <v>212</v>
      </c>
      <c r="G132" s="162" t="s">
        <v>194</v>
      </c>
      <c r="H132" s="164" t="s">
        <v>29</v>
      </c>
      <c r="I132" s="162">
        <v>18</v>
      </c>
      <c r="J132" s="162">
        <v>14</v>
      </c>
      <c r="K132" s="162">
        <v>7</v>
      </c>
      <c r="L132" s="162" t="s">
        <v>78</v>
      </c>
      <c r="M132" s="162" t="s">
        <v>79</v>
      </c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3"/>
    </row>
    <row r="133" spans="1:25" s="78" customFormat="1" x14ac:dyDescent="0.3">
      <c r="A133" s="161">
        <f t="shared" si="2"/>
        <v>131</v>
      </c>
      <c r="B133" s="162" t="s">
        <v>213</v>
      </c>
      <c r="C133" s="164"/>
      <c r="D133" s="164"/>
      <c r="E133" s="237" t="s">
        <v>214</v>
      </c>
      <c r="F133" s="164" t="s">
        <v>88</v>
      </c>
      <c r="G133" s="162" t="s">
        <v>194</v>
      </c>
      <c r="H133" s="164" t="s">
        <v>29</v>
      </c>
      <c r="I133" s="162">
        <v>18</v>
      </c>
      <c r="J133" s="162">
        <v>14</v>
      </c>
      <c r="K133" s="162">
        <v>8</v>
      </c>
      <c r="L133" s="162" t="s">
        <v>78</v>
      </c>
      <c r="M133" s="162" t="s">
        <v>79</v>
      </c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3"/>
    </row>
    <row r="134" spans="1:25" s="78" customFormat="1" x14ac:dyDescent="0.3">
      <c r="A134" s="161">
        <f t="shared" si="2"/>
        <v>132</v>
      </c>
      <c r="B134" s="162" t="s">
        <v>215</v>
      </c>
      <c r="C134" s="164"/>
      <c r="D134" s="164"/>
      <c r="E134" s="237" t="s">
        <v>216</v>
      </c>
      <c r="F134" s="164" t="s">
        <v>217</v>
      </c>
      <c r="G134" s="162" t="s">
        <v>194</v>
      </c>
      <c r="H134" s="164" t="s">
        <v>29</v>
      </c>
      <c r="I134" s="162">
        <v>18</v>
      </c>
      <c r="J134" s="162">
        <v>14</v>
      </c>
      <c r="K134" s="162">
        <v>9</v>
      </c>
      <c r="L134" s="162" t="s">
        <v>78</v>
      </c>
      <c r="M134" s="162" t="s">
        <v>79</v>
      </c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3"/>
    </row>
    <row r="135" spans="1:25" s="78" customFormat="1" x14ac:dyDescent="0.3">
      <c r="A135" s="161">
        <f t="shared" si="2"/>
        <v>133</v>
      </c>
      <c r="B135" s="162"/>
      <c r="C135" s="162"/>
      <c r="D135" s="162"/>
      <c r="E135" s="237" t="s">
        <v>53</v>
      </c>
      <c r="F135" s="164"/>
      <c r="G135" s="162"/>
      <c r="H135" s="164" t="s">
        <v>29</v>
      </c>
      <c r="I135" s="162">
        <v>18</v>
      </c>
      <c r="J135" s="162">
        <v>14</v>
      </c>
      <c r="K135" s="162">
        <v>10</v>
      </c>
      <c r="L135" s="162" t="s">
        <v>78</v>
      </c>
      <c r="M135" s="162" t="s">
        <v>79</v>
      </c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3"/>
    </row>
    <row r="136" spans="1:25" s="78" customFormat="1" x14ac:dyDescent="0.3">
      <c r="A136" s="161">
        <f t="shared" si="2"/>
        <v>134</v>
      </c>
      <c r="B136" s="162"/>
      <c r="C136" s="162"/>
      <c r="D136" s="162"/>
      <c r="E136" s="237" t="s">
        <v>53</v>
      </c>
      <c r="F136" s="164"/>
      <c r="G136" s="162"/>
      <c r="H136" s="164" t="s">
        <v>29</v>
      </c>
      <c r="I136" s="162">
        <v>18</v>
      </c>
      <c r="J136" s="162">
        <v>14</v>
      </c>
      <c r="K136" s="162">
        <v>11</v>
      </c>
      <c r="L136" s="162" t="s">
        <v>78</v>
      </c>
      <c r="M136" s="162" t="s">
        <v>79</v>
      </c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3"/>
    </row>
    <row r="137" spans="1:25" s="78" customFormat="1" x14ac:dyDescent="0.3">
      <c r="A137" s="161">
        <f t="shared" si="2"/>
        <v>135</v>
      </c>
      <c r="B137" s="162"/>
      <c r="C137" s="162"/>
      <c r="D137" s="162"/>
      <c r="E137" s="237" t="s">
        <v>53</v>
      </c>
      <c r="F137" s="164"/>
      <c r="G137" s="162"/>
      <c r="H137" s="164" t="s">
        <v>29</v>
      </c>
      <c r="I137" s="162">
        <v>18</v>
      </c>
      <c r="J137" s="162">
        <v>14</v>
      </c>
      <c r="K137" s="162">
        <v>12</v>
      </c>
      <c r="L137" s="162" t="s">
        <v>78</v>
      </c>
      <c r="M137" s="162" t="s">
        <v>79</v>
      </c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3"/>
    </row>
    <row r="138" spans="1:25" s="78" customFormat="1" x14ac:dyDescent="0.3">
      <c r="A138" s="161">
        <f t="shared" si="2"/>
        <v>136</v>
      </c>
      <c r="B138" s="162"/>
      <c r="C138" s="162"/>
      <c r="D138" s="162"/>
      <c r="E138" s="237" t="s">
        <v>53</v>
      </c>
      <c r="F138" s="164"/>
      <c r="G138" s="162"/>
      <c r="H138" s="164" t="s">
        <v>29</v>
      </c>
      <c r="I138" s="162">
        <v>18</v>
      </c>
      <c r="J138" s="162">
        <v>14</v>
      </c>
      <c r="K138" s="162">
        <v>13</v>
      </c>
      <c r="L138" s="162" t="s">
        <v>78</v>
      </c>
      <c r="M138" s="162" t="s">
        <v>79</v>
      </c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3"/>
    </row>
    <row r="139" spans="1:25" s="78" customFormat="1" x14ac:dyDescent="0.3">
      <c r="A139" s="161">
        <f t="shared" si="2"/>
        <v>137</v>
      </c>
      <c r="B139" s="162"/>
      <c r="C139" s="162"/>
      <c r="D139" s="162"/>
      <c r="E139" s="237" t="s">
        <v>53</v>
      </c>
      <c r="F139" s="164"/>
      <c r="G139" s="162"/>
      <c r="H139" s="164" t="s">
        <v>29</v>
      </c>
      <c r="I139" s="162">
        <v>18</v>
      </c>
      <c r="J139" s="162">
        <v>14</v>
      </c>
      <c r="K139" s="162">
        <v>14</v>
      </c>
      <c r="L139" s="162" t="s">
        <v>78</v>
      </c>
      <c r="M139" s="162" t="s">
        <v>79</v>
      </c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3"/>
    </row>
    <row r="140" spans="1:25" s="78" customFormat="1" x14ac:dyDescent="0.3">
      <c r="A140" s="161">
        <f t="shared" si="2"/>
        <v>138</v>
      </c>
      <c r="B140" s="162"/>
      <c r="C140" s="162"/>
      <c r="D140" s="162"/>
      <c r="E140" s="237" t="s">
        <v>53</v>
      </c>
      <c r="F140" s="164"/>
      <c r="G140" s="162"/>
      <c r="H140" s="164" t="s">
        <v>29</v>
      </c>
      <c r="I140" s="162">
        <v>18</v>
      </c>
      <c r="J140" s="162">
        <v>14</v>
      </c>
      <c r="K140" s="162">
        <v>15</v>
      </c>
      <c r="L140" s="162" t="s">
        <v>78</v>
      </c>
      <c r="M140" s="162" t="s">
        <v>79</v>
      </c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3"/>
    </row>
    <row r="141" spans="1:25" s="78" customFormat="1" x14ac:dyDescent="0.3">
      <c r="A141" s="161">
        <f t="shared" si="2"/>
        <v>139</v>
      </c>
      <c r="B141" s="162" t="s">
        <v>218</v>
      </c>
      <c r="C141" s="162"/>
      <c r="D141" s="162"/>
      <c r="E141" s="240" t="s">
        <v>219</v>
      </c>
      <c r="F141" s="164" t="s">
        <v>88</v>
      </c>
      <c r="G141" s="162" t="s">
        <v>89</v>
      </c>
      <c r="H141" s="164" t="s">
        <v>29</v>
      </c>
      <c r="I141" s="162">
        <v>18</v>
      </c>
      <c r="J141" s="162">
        <v>15</v>
      </c>
      <c r="K141" s="162">
        <v>0</v>
      </c>
      <c r="L141" s="162" t="s">
        <v>220</v>
      </c>
      <c r="M141" s="162" t="s">
        <v>221</v>
      </c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5"/>
    </row>
    <row r="142" spans="1:25" s="84" customFormat="1" x14ac:dyDescent="0.3">
      <c r="A142" s="161">
        <f t="shared" si="2"/>
        <v>140</v>
      </c>
      <c r="B142" s="162" t="s">
        <v>218</v>
      </c>
      <c r="C142" s="162"/>
      <c r="D142" s="162"/>
      <c r="E142" s="240" t="s">
        <v>222</v>
      </c>
      <c r="F142" s="164" t="s">
        <v>88</v>
      </c>
      <c r="G142" s="162" t="s">
        <v>89</v>
      </c>
      <c r="H142" s="164" t="s">
        <v>29</v>
      </c>
      <c r="I142" s="162">
        <v>18</v>
      </c>
      <c r="J142" s="162">
        <v>15</v>
      </c>
      <c r="K142" s="162">
        <v>1</v>
      </c>
      <c r="L142" s="162" t="s">
        <v>220</v>
      </c>
      <c r="M142" s="162" t="s">
        <v>221</v>
      </c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5"/>
    </row>
    <row r="143" spans="1:25" s="84" customFormat="1" x14ac:dyDescent="0.3">
      <c r="A143" s="161">
        <f t="shared" si="2"/>
        <v>141</v>
      </c>
      <c r="B143" s="162"/>
      <c r="C143" s="162"/>
      <c r="D143" s="162"/>
      <c r="E143" s="237" t="s">
        <v>53</v>
      </c>
      <c r="F143" s="164"/>
      <c r="G143" s="162"/>
      <c r="H143" s="164" t="s">
        <v>29</v>
      </c>
      <c r="I143" s="162">
        <v>18</v>
      </c>
      <c r="J143" s="162">
        <v>15</v>
      </c>
      <c r="K143" s="162">
        <v>2</v>
      </c>
      <c r="L143" s="162" t="s">
        <v>220</v>
      </c>
      <c r="M143" s="162" t="s">
        <v>221</v>
      </c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5"/>
    </row>
    <row r="144" spans="1:25" s="84" customFormat="1" x14ac:dyDescent="0.3">
      <c r="A144" s="161">
        <f t="shared" si="2"/>
        <v>142</v>
      </c>
      <c r="B144" s="162"/>
      <c r="C144" s="162"/>
      <c r="D144" s="162"/>
      <c r="E144" s="237" t="s">
        <v>53</v>
      </c>
      <c r="F144" s="164"/>
      <c r="G144" s="162"/>
      <c r="H144" s="164" t="s">
        <v>29</v>
      </c>
      <c r="I144" s="162">
        <v>18</v>
      </c>
      <c r="J144" s="162">
        <v>15</v>
      </c>
      <c r="K144" s="162">
        <v>3</v>
      </c>
      <c r="L144" s="162" t="s">
        <v>220</v>
      </c>
      <c r="M144" s="162" t="s">
        <v>221</v>
      </c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5"/>
    </row>
    <row r="145" spans="1:25" s="84" customFormat="1" x14ac:dyDescent="0.3">
      <c r="A145" s="161">
        <f t="shared" si="2"/>
        <v>143</v>
      </c>
      <c r="B145" s="162"/>
      <c r="C145" s="162"/>
      <c r="D145" s="162"/>
      <c r="E145" s="237" t="s">
        <v>53</v>
      </c>
      <c r="F145" s="164"/>
      <c r="G145" s="162"/>
      <c r="H145" s="164" t="s">
        <v>29</v>
      </c>
      <c r="I145" s="162">
        <v>18</v>
      </c>
      <c r="J145" s="162">
        <v>15</v>
      </c>
      <c r="K145" s="162">
        <v>4</v>
      </c>
      <c r="L145" s="162" t="s">
        <v>220</v>
      </c>
      <c r="M145" s="162" t="s">
        <v>221</v>
      </c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5"/>
    </row>
    <row r="146" spans="1:25" s="84" customFormat="1" x14ac:dyDescent="0.3">
      <c r="A146" s="161">
        <f t="shared" si="2"/>
        <v>144</v>
      </c>
      <c r="B146" s="162"/>
      <c r="C146" s="162"/>
      <c r="D146" s="162"/>
      <c r="E146" s="237" t="s">
        <v>53</v>
      </c>
      <c r="F146" s="164"/>
      <c r="G146" s="162"/>
      <c r="H146" s="164" t="s">
        <v>29</v>
      </c>
      <c r="I146" s="162">
        <v>18</v>
      </c>
      <c r="J146" s="162">
        <v>15</v>
      </c>
      <c r="K146" s="162">
        <v>5</v>
      </c>
      <c r="L146" s="162" t="s">
        <v>220</v>
      </c>
      <c r="M146" s="162" t="s">
        <v>221</v>
      </c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5"/>
    </row>
    <row r="147" spans="1:25" s="78" customFormat="1" x14ac:dyDescent="0.3">
      <c r="A147" s="161">
        <f t="shared" si="2"/>
        <v>145</v>
      </c>
      <c r="B147" s="162"/>
      <c r="C147" s="162"/>
      <c r="D147" s="162"/>
      <c r="E147" s="237" t="s">
        <v>53</v>
      </c>
      <c r="F147" s="164"/>
      <c r="G147" s="162"/>
      <c r="H147" s="164" t="s">
        <v>29</v>
      </c>
      <c r="I147" s="162">
        <v>18</v>
      </c>
      <c r="J147" s="162">
        <v>15</v>
      </c>
      <c r="K147" s="162">
        <v>6</v>
      </c>
      <c r="L147" s="162" t="s">
        <v>220</v>
      </c>
      <c r="M147" s="162" t="s">
        <v>221</v>
      </c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5"/>
    </row>
    <row r="148" spans="1:25" s="78" customFormat="1" x14ac:dyDescent="0.3">
      <c r="A148" s="161">
        <f t="shared" si="2"/>
        <v>146</v>
      </c>
      <c r="B148" s="162"/>
      <c r="C148" s="162"/>
      <c r="D148" s="162"/>
      <c r="E148" s="237" t="s">
        <v>53</v>
      </c>
      <c r="F148" s="164"/>
      <c r="G148" s="162"/>
      <c r="H148" s="164" t="s">
        <v>29</v>
      </c>
      <c r="I148" s="162">
        <v>18</v>
      </c>
      <c r="J148" s="162">
        <v>15</v>
      </c>
      <c r="K148" s="162">
        <v>7</v>
      </c>
      <c r="L148" s="162" t="s">
        <v>220</v>
      </c>
      <c r="M148" s="162" t="s">
        <v>221</v>
      </c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5"/>
    </row>
    <row r="149" spans="1:25" s="78" customFormat="1" x14ac:dyDescent="0.3">
      <c r="A149" s="161">
        <f t="shared" si="2"/>
        <v>147</v>
      </c>
      <c r="B149" s="162" t="s">
        <v>223</v>
      </c>
      <c r="C149" s="162"/>
      <c r="D149" s="162"/>
      <c r="E149" s="237" t="s">
        <v>224</v>
      </c>
      <c r="F149" s="164" t="s">
        <v>225</v>
      </c>
      <c r="G149" s="162" t="s">
        <v>28</v>
      </c>
      <c r="H149" s="164" t="s">
        <v>226</v>
      </c>
      <c r="I149" s="162">
        <v>19</v>
      </c>
      <c r="J149" s="162">
        <v>1</v>
      </c>
      <c r="K149" s="162">
        <v>0</v>
      </c>
      <c r="L149" s="162" t="s">
        <v>30</v>
      </c>
      <c r="M149" s="162" t="s">
        <v>31</v>
      </c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3"/>
    </row>
    <row r="150" spans="1:25" s="78" customFormat="1" x14ac:dyDescent="0.3">
      <c r="A150" s="161">
        <f t="shared" si="2"/>
        <v>148</v>
      </c>
      <c r="B150" s="162" t="s">
        <v>227</v>
      </c>
      <c r="C150" s="162"/>
      <c r="D150" s="162"/>
      <c r="E150" s="237" t="s">
        <v>228</v>
      </c>
      <c r="F150" s="164" t="s">
        <v>225</v>
      </c>
      <c r="G150" s="162" t="s">
        <v>28</v>
      </c>
      <c r="H150" s="164" t="s">
        <v>226</v>
      </c>
      <c r="I150" s="162">
        <v>19</v>
      </c>
      <c r="J150" s="162">
        <v>1</v>
      </c>
      <c r="K150" s="162">
        <v>1</v>
      </c>
      <c r="L150" s="162" t="s">
        <v>30</v>
      </c>
      <c r="M150" s="162" t="s">
        <v>31</v>
      </c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3"/>
    </row>
    <row r="151" spans="1:25" s="78" customFormat="1" x14ac:dyDescent="0.3">
      <c r="A151" s="161">
        <f t="shared" si="2"/>
        <v>149</v>
      </c>
      <c r="B151" s="162" t="s">
        <v>229</v>
      </c>
      <c r="C151" s="162"/>
      <c r="D151" s="162"/>
      <c r="E151" s="237" t="s">
        <v>230</v>
      </c>
      <c r="F151" s="164" t="s">
        <v>225</v>
      </c>
      <c r="G151" s="162" t="s">
        <v>28</v>
      </c>
      <c r="H151" s="164" t="s">
        <v>226</v>
      </c>
      <c r="I151" s="162">
        <v>19</v>
      </c>
      <c r="J151" s="162">
        <v>1</v>
      </c>
      <c r="K151" s="162">
        <v>2</v>
      </c>
      <c r="L151" s="162" t="s">
        <v>30</v>
      </c>
      <c r="M151" s="162" t="s">
        <v>31</v>
      </c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3"/>
    </row>
    <row r="152" spans="1:25" s="78" customFormat="1" x14ac:dyDescent="0.3">
      <c r="A152" s="161">
        <f t="shared" si="2"/>
        <v>150</v>
      </c>
      <c r="B152" s="162" t="s">
        <v>231</v>
      </c>
      <c r="C152" s="162"/>
      <c r="D152" s="162"/>
      <c r="E152" s="237" t="s">
        <v>232</v>
      </c>
      <c r="F152" s="164" t="s">
        <v>225</v>
      </c>
      <c r="G152" s="162" t="s">
        <v>28</v>
      </c>
      <c r="H152" s="164" t="s">
        <v>226</v>
      </c>
      <c r="I152" s="162">
        <v>19</v>
      </c>
      <c r="J152" s="162">
        <v>1</v>
      </c>
      <c r="K152" s="162">
        <v>3</v>
      </c>
      <c r="L152" s="162" t="s">
        <v>30</v>
      </c>
      <c r="M152" s="162" t="s">
        <v>31</v>
      </c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3"/>
    </row>
    <row r="153" spans="1:25" s="78" customFormat="1" x14ac:dyDescent="0.3">
      <c r="A153" s="161">
        <f t="shared" si="2"/>
        <v>151</v>
      </c>
      <c r="B153" s="162" t="s">
        <v>233</v>
      </c>
      <c r="C153" s="162"/>
      <c r="D153" s="162"/>
      <c r="E153" s="237" t="s">
        <v>234</v>
      </c>
      <c r="F153" s="164" t="s">
        <v>225</v>
      </c>
      <c r="G153" s="162" t="s">
        <v>28</v>
      </c>
      <c r="H153" s="164" t="s">
        <v>226</v>
      </c>
      <c r="I153" s="162">
        <v>19</v>
      </c>
      <c r="J153" s="162">
        <v>1</v>
      </c>
      <c r="K153" s="162">
        <v>4</v>
      </c>
      <c r="L153" s="162" t="s">
        <v>30</v>
      </c>
      <c r="M153" s="162" t="s">
        <v>31</v>
      </c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3"/>
    </row>
    <row r="154" spans="1:25" s="78" customFormat="1" x14ac:dyDescent="0.3">
      <c r="A154" s="161">
        <f t="shared" si="2"/>
        <v>152</v>
      </c>
      <c r="B154" s="162" t="s">
        <v>235</v>
      </c>
      <c r="C154" s="162"/>
      <c r="D154" s="166"/>
      <c r="E154" s="237" t="s">
        <v>236</v>
      </c>
      <c r="F154" s="164" t="s">
        <v>225</v>
      </c>
      <c r="G154" s="162" t="s">
        <v>28</v>
      </c>
      <c r="H154" s="164" t="s">
        <v>226</v>
      </c>
      <c r="I154" s="162">
        <v>19</v>
      </c>
      <c r="J154" s="162">
        <v>1</v>
      </c>
      <c r="K154" s="162">
        <v>5</v>
      </c>
      <c r="L154" s="162" t="s">
        <v>30</v>
      </c>
      <c r="M154" s="162" t="s">
        <v>31</v>
      </c>
      <c r="N154" s="166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3"/>
    </row>
    <row r="155" spans="1:25" s="78" customFormat="1" x14ac:dyDescent="0.3">
      <c r="A155" s="161">
        <f t="shared" si="2"/>
        <v>153</v>
      </c>
      <c r="B155" s="162" t="s">
        <v>237</v>
      </c>
      <c r="C155" s="162"/>
      <c r="D155" s="162"/>
      <c r="E155" s="237" t="s">
        <v>238</v>
      </c>
      <c r="F155" s="164" t="s">
        <v>225</v>
      </c>
      <c r="G155" s="162" t="s">
        <v>28</v>
      </c>
      <c r="H155" s="164" t="s">
        <v>226</v>
      </c>
      <c r="I155" s="162">
        <v>19</v>
      </c>
      <c r="J155" s="162">
        <v>1</v>
      </c>
      <c r="K155" s="162">
        <v>6</v>
      </c>
      <c r="L155" s="162" t="s">
        <v>30</v>
      </c>
      <c r="M155" s="162" t="s">
        <v>31</v>
      </c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3"/>
    </row>
    <row r="156" spans="1:25" s="78" customFormat="1" x14ac:dyDescent="0.3">
      <c r="A156" s="161">
        <f t="shared" si="2"/>
        <v>154</v>
      </c>
      <c r="B156" s="162" t="s">
        <v>239</v>
      </c>
      <c r="C156" s="162"/>
      <c r="D156" s="162"/>
      <c r="E156" s="237" t="s">
        <v>240</v>
      </c>
      <c r="F156" s="164" t="s">
        <v>225</v>
      </c>
      <c r="G156" s="162" t="s">
        <v>28</v>
      </c>
      <c r="H156" s="164" t="s">
        <v>226</v>
      </c>
      <c r="I156" s="162">
        <v>19</v>
      </c>
      <c r="J156" s="162">
        <v>1</v>
      </c>
      <c r="K156" s="162">
        <v>7</v>
      </c>
      <c r="L156" s="162" t="s">
        <v>30</v>
      </c>
      <c r="M156" s="162" t="s">
        <v>31</v>
      </c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3"/>
    </row>
    <row r="157" spans="1:25" s="84" customFormat="1" x14ac:dyDescent="0.3">
      <c r="A157" s="161">
        <f t="shared" si="2"/>
        <v>155</v>
      </c>
      <c r="B157" s="162" t="s">
        <v>241</v>
      </c>
      <c r="C157" s="162"/>
      <c r="D157" s="162"/>
      <c r="E157" s="237" t="s">
        <v>242</v>
      </c>
      <c r="F157" s="164" t="s">
        <v>225</v>
      </c>
      <c r="G157" s="162" t="s">
        <v>28</v>
      </c>
      <c r="H157" s="164" t="s">
        <v>226</v>
      </c>
      <c r="I157" s="162">
        <v>19</v>
      </c>
      <c r="J157" s="162">
        <v>1</v>
      </c>
      <c r="K157" s="162">
        <v>8</v>
      </c>
      <c r="L157" s="162" t="s">
        <v>30</v>
      </c>
      <c r="M157" s="162" t="s">
        <v>31</v>
      </c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3"/>
    </row>
    <row r="158" spans="1:25" s="84" customFormat="1" x14ac:dyDescent="0.3">
      <c r="A158" s="161">
        <f t="shared" si="2"/>
        <v>156</v>
      </c>
      <c r="B158" s="162" t="s">
        <v>243</v>
      </c>
      <c r="C158" s="162"/>
      <c r="D158" s="162"/>
      <c r="E158" s="237" t="s">
        <v>244</v>
      </c>
      <c r="F158" s="164" t="s">
        <v>225</v>
      </c>
      <c r="G158" s="162" t="s">
        <v>28</v>
      </c>
      <c r="H158" s="164" t="s">
        <v>226</v>
      </c>
      <c r="I158" s="162">
        <v>19</v>
      </c>
      <c r="J158" s="162">
        <v>1</v>
      </c>
      <c r="K158" s="162">
        <v>9</v>
      </c>
      <c r="L158" s="162" t="s">
        <v>30</v>
      </c>
      <c r="M158" s="162" t="s">
        <v>31</v>
      </c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3"/>
    </row>
    <row r="159" spans="1:25" s="84" customFormat="1" x14ac:dyDescent="0.3">
      <c r="A159" s="161">
        <f t="shared" si="2"/>
        <v>157</v>
      </c>
      <c r="B159" s="162" t="s">
        <v>245</v>
      </c>
      <c r="C159" s="162"/>
      <c r="D159" s="162"/>
      <c r="E159" s="237" t="s">
        <v>246</v>
      </c>
      <c r="F159" s="164" t="s">
        <v>225</v>
      </c>
      <c r="G159" s="162" t="s">
        <v>28</v>
      </c>
      <c r="H159" s="164" t="s">
        <v>226</v>
      </c>
      <c r="I159" s="162">
        <v>19</v>
      </c>
      <c r="J159" s="162">
        <v>1</v>
      </c>
      <c r="K159" s="162">
        <v>10</v>
      </c>
      <c r="L159" s="162" t="s">
        <v>30</v>
      </c>
      <c r="M159" s="162" t="s">
        <v>31</v>
      </c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3"/>
    </row>
    <row r="160" spans="1:25" s="84" customFormat="1" x14ac:dyDescent="0.3">
      <c r="A160" s="161">
        <f t="shared" si="2"/>
        <v>158</v>
      </c>
      <c r="B160" s="162" t="s">
        <v>247</v>
      </c>
      <c r="C160" s="162"/>
      <c r="D160" s="162"/>
      <c r="E160" s="237" t="s">
        <v>248</v>
      </c>
      <c r="F160" s="164" t="s">
        <v>225</v>
      </c>
      <c r="G160" s="162" t="s">
        <v>28</v>
      </c>
      <c r="H160" s="164" t="s">
        <v>226</v>
      </c>
      <c r="I160" s="162">
        <v>19</v>
      </c>
      <c r="J160" s="162">
        <v>1</v>
      </c>
      <c r="K160" s="162">
        <v>11</v>
      </c>
      <c r="L160" s="162" t="s">
        <v>30</v>
      </c>
      <c r="M160" s="162" t="s">
        <v>31</v>
      </c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3"/>
    </row>
    <row r="161" spans="1:25" s="84" customFormat="1" x14ac:dyDescent="0.3">
      <c r="A161" s="161">
        <f t="shared" si="2"/>
        <v>159</v>
      </c>
      <c r="B161" s="162" t="s">
        <v>249</v>
      </c>
      <c r="C161" s="162"/>
      <c r="D161" s="162"/>
      <c r="E161" s="237" t="s">
        <v>250</v>
      </c>
      <c r="F161" s="164" t="s">
        <v>225</v>
      </c>
      <c r="G161" s="162" t="s">
        <v>28</v>
      </c>
      <c r="H161" s="164" t="s">
        <v>226</v>
      </c>
      <c r="I161" s="162">
        <v>19</v>
      </c>
      <c r="J161" s="162">
        <v>1</v>
      </c>
      <c r="K161" s="162">
        <v>12</v>
      </c>
      <c r="L161" s="162" t="s">
        <v>30</v>
      </c>
      <c r="M161" s="162" t="s">
        <v>31</v>
      </c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3"/>
    </row>
    <row r="162" spans="1:25" s="84" customFormat="1" x14ac:dyDescent="0.3">
      <c r="A162" s="161">
        <f t="shared" si="2"/>
        <v>160</v>
      </c>
      <c r="B162" s="162" t="s">
        <v>251</v>
      </c>
      <c r="C162" s="162"/>
      <c r="D162" s="162"/>
      <c r="E162" s="237" t="s">
        <v>252</v>
      </c>
      <c r="F162" s="164" t="s">
        <v>225</v>
      </c>
      <c r="G162" s="162" t="s">
        <v>28</v>
      </c>
      <c r="H162" s="164" t="s">
        <v>226</v>
      </c>
      <c r="I162" s="162">
        <v>19</v>
      </c>
      <c r="J162" s="162">
        <v>1</v>
      </c>
      <c r="K162" s="162">
        <v>13</v>
      </c>
      <c r="L162" s="162" t="s">
        <v>30</v>
      </c>
      <c r="M162" s="162" t="s">
        <v>31</v>
      </c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3"/>
    </row>
    <row r="163" spans="1:25" s="78" customFormat="1" x14ac:dyDescent="0.3">
      <c r="A163" s="161">
        <f t="shared" si="2"/>
        <v>161</v>
      </c>
      <c r="B163" s="162" t="s">
        <v>253</v>
      </c>
      <c r="C163" s="162"/>
      <c r="D163" s="162"/>
      <c r="E163" s="237" t="s">
        <v>254</v>
      </c>
      <c r="F163" s="164" t="s">
        <v>225</v>
      </c>
      <c r="G163" s="162" t="s">
        <v>28</v>
      </c>
      <c r="H163" s="164" t="s">
        <v>226</v>
      </c>
      <c r="I163" s="162">
        <v>19</v>
      </c>
      <c r="J163" s="162">
        <v>1</v>
      </c>
      <c r="K163" s="162">
        <v>14</v>
      </c>
      <c r="L163" s="162" t="s">
        <v>30</v>
      </c>
      <c r="M163" s="162" t="s">
        <v>31</v>
      </c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3"/>
    </row>
    <row r="164" spans="1:25" s="78" customFormat="1" x14ac:dyDescent="0.3">
      <c r="A164" s="161">
        <f t="shared" si="2"/>
        <v>162</v>
      </c>
      <c r="B164" s="162" t="s">
        <v>255</v>
      </c>
      <c r="C164" s="162"/>
      <c r="D164" s="162"/>
      <c r="E164" s="237" t="s">
        <v>256</v>
      </c>
      <c r="F164" s="164" t="s">
        <v>225</v>
      </c>
      <c r="G164" s="162" t="s">
        <v>28</v>
      </c>
      <c r="H164" s="164" t="s">
        <v>226</v>
      </c>
      <c r="I164" s="162">
        <v>19</v>
      </c>
      <c r="J164" s="162">
        <v>1</v>
      </c>
      <c r="K164" s="162">
        <v>15</v>
      </c>
      <c r="L164" s="162" t="s">
        <v>30</v>
      </c>
      <c r="M164" s="162" t="s">
        <v>31</v>
      </c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3"/>
    </row>
    <row r="165" spans="1:25" s="78" customFormat="1" x14ac:dyDescent="0.3">
      <c r="A165" s="161">
        <f t="shared" si="2"/>
        <v>163</v>
      </c>
      <c r="B165" s="162" t="s">
        <v>257</v>
      </c>
      <c r="C165" s="162"/>
      <c r="D165" s="162"/>
      <c r="E165" s="237" t="s">
        <v>258</v>
      </c>
      <c r="F165" s="164" t="s">
        <v>225</v>
      </c>
      <c r="G165" s="162" t="s">
        <v>28</v>
      </c>
      <c r="H165" s="164" t="s">
        <v>226</v>
      </c>
      <c r="I165" s="162">
        <v>19</v>
      </c>
      <c r="J165" s="162">
        <v>2</v>
      </c>
      <c r="K165" s="162">
        <v>0</v>
      </c>
      <c r="L165" s="162" t="s">
        <v>30</v>
      </c>
      <c r="M165" s="162" t="s">
        <v>31</v>
      </c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3"/>
    </row>
    <row r="166" spans="1:25" s="78" customFormat="1" x14ac:dyDescent="0.3">
      <c r="A166" s="161">
        <f t="shared" si="2"/>
        <v>164</v>
      </c>
      <c r="B166" s="162" t="s">
        <v>259</v>
      </c>
      <c r="C166" s="162"/>
      <c r="D166" s="162"/>
      <c r="E166" s="237" t="s">
        <v>260</v>
      </c>
      <c r="F166" s="164" t="s">
        <v>225</v>
      </c>
      <c r="G166" s="162" t="s">
        <v>28</v>
      </c>
      <c r="H166" s="164" t="s">
        <v>226</v>
      </c>
      <c r="I166" s="162">
        <v>19</v>
      </c>
      <c r="J166" s="162">
        <v>2</v>
      </c>
      <c r="K166" s="162">
        <v>1</v>
      </c>
      <c r="L166" s="162" t="s">
        <v>30</v>
      </c>
      <c r="M166" s="162" t="s">
        <v>31</v>
      </c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3"/>
    </row>
    <row r="167" spans="1:25" s="78" customFormat="1" x14ac:dyDescent="0.3">
      <c r="A167" s="161">
        <f t="shared" si="2"/>
        <v>165</v>
      </c>
      <c r="B167" s="162" t="s">
        <v>261</v>
      </c>
      <c r="C167" s="162"/>
      <c r="D167" s="162"/>
      <c r="E167" s="237" t="s">
        <v>262</v>
      </c>
      <c r="F167" s="164" t="s">
        <v>225</v>
      </c>
      <c r="G167" s="162" t="s">
        <v>28</v>
      </c>
      <c r="H167" s="164" t="s">
        <v>226</v>
      </c>
      <c r="I167" s="162">
        <v>19</v>
      </c>
      <c r="J167" s="162">
        <v>2</v>
      </c>
      <c r="K167" s="162">
        <v>2</v>
      </c>
      <c r="L167" s="162" t="s">
        <v>30</v>
      </c>
      <c r="M167" s="162" t="s">
        <v>31</v>
      </c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3"/>
    </row>
    <row r="168" spans="1:25" s="78" customFormat="1" x14ac:dyDescent="0.3">
      <c r="A168" s="161">
        <f t="shared" si="2"/>
        <v>166</v>
      </c>
      <c r="B168" s="162" t="s">
        <v>263</v>
      </c>
      <c r="C168" s="162"/>
      <c r="D168" s="162"/>
      <c r="E168" s="237" t="s">
        <v>264</v>
      </c>
      <c r="F168" s="164" t="s">
        <v>225</v>
      </c>
      <c r="G168" s="162" t="s">
        <v>28</v>
      </c>
      <c r="H168" s="164" t="s">
        <v>226</v>
      </c>
      <c r="I168" s="162">
        <v>19</v>
      </c>
      <c r="J168" s="162">
        <v>2</v>
      </c>
      <c r="K168" s="162">
        <v>3</v>
      </c>
      <c r="L168" s="162" t="s">
        <v>30</v>
      </c>
      <c r="M168" s="162" t="s">
        <v>31</v>
      </c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3"/>
    </row>
    <row r="169" spans="1:25" s="78" customFormat="1" x14ac:dyDescent="0.3">
      <c r="A169" s="161">
        <f t="shared" si="2"/>
        <v>167</v>
      </c>
      <c r="B169" s="162" t="s">
        <v>265</v>
      </c>
      <c r="C169" s="162"/>
      <c r="D169" s="162"/>
      <c r="E169" s="237" t="s">
        <v>266</v>
      </c>
      <c r="F169" s="164" t="s">
        <v>225</v>
      </c>
      <c r="G169" s="162" t="s">
        <v>28</v>
      </c>
      <c r="H169" s="164" t="s">
        <v>226</v>
      </c>
      <c r="I169" s="162">
        <v>19</v>
      </c>
      <c r="J169" s="162">
        <v>2</v>
      </c>
      <c r="K169" s="162">
        <v>4</v>
      </c>
      <c r="L169" s="162" t="s">
        <v>30</v>
      </c>
      <c r="M169" s="162" t="s">
        <v>31</v>
      </c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3"/>
    </row>
    <row r="170" spans="1:25" s="78" customFormat="1" x14ac:dyDescent="0.3">
      <c r="A170" s="161">
        <f t="shared" si="2"/>
        <v>168</v>
      </c>
      <c r="B170" s="162" t="s">
        <v>267</v>
      </c>
      <c r="C170" s="162"/>
      <c r="D170" s="162"/>
      <c r="E170" s="237" t="s">
        <v>268</v>
      </c>
      <c r="F170" s="164" t="s">
        <v>225</v>
      </c>
      <c r="G170" s="162" t="s">
        <v>28</v>
      </c>
      <c r="H170" s="164" t="s">
        <v>226</v>
      </c>
      <c r="I170" s="162">
        <v>19</v>
      </c>
      <c r="J170" s="162">
        <v>2</v>
      </c>
      <c r="K170" s="162">
        <v>5</v>
      </c>
      <c r="L170" s="162" t="s">
        <v>30</v>
      </c>
      <c r="M170" s="162" t="s">
        <v>31</v>
      </c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3"/>
    </row>
    <row r="171" spans="1:25" s="78" customFormat="1" x14ac:dyDescent="0.3">
      <c r="A171" s="161">
        <f t="shared" si="2"/>
        <v>169</v>
      </c>
      <c r="B171" s="162" t="s">
        <v>269</v>
      </c>
      <c r="C171" s="162"/>
      <c r="D171" s="162"/>
      <c r="E171" s="237" t="s">
        <v>270</v>
      </c>
      <c r="F171" s="164" t="s">
        <v>225</v>
      </c>
      <c r="G171" s="162" t="s">
        <v>28</v>
      </c>
      <c r="H171" s="164" t="s">
        <v>226</v>
      </c>
      <c r="I171" s="162">
        <v>19</v>
      </c>
      <c r="J171" s="162">
        <v>2</v>
      </c>
      <c r="K171" s="162">
        <v>6</v>
      </c>
      <c r="L171" s="162" t="s">
        <v>30</v>
      </c>
      <c r="M171" s="162" t="s">
        <v>31</v>
      </c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3"/>
    </row>
    <row r="172" spans="1:25" s="78" customFormat="1" x14ac:dyDescent="0.3">
      <c r="A172" s="161">
        <f t="shared" si="2"/>
        <v>170</v>
      </c>
      <c r="B172" s="162" t="s">
        <v>271</v>
      </c>
      <c r="C172" s="162"/>
      <c r="D172" s="162"/>
      <c r="E172" s="237" t="s">
        <v>272</v>
      </c>
      <c r="F172" s="164" t="s">
        <v>225</v>
      </c>
      <c r="G172" s="162" t="s">
        <v>28</v>
      </c>
      <c r="H172" s="164" t="s">
        <v>226</v>
      </c>
      <c r="I172" s="162">
        <v>19</v>
      </c>
      <c r="J172" s="162">
        <v>2</v>
      </c>
      <c r="K172" s="162">
        <v>7</v>
      </c>
      <c r="L172" s="162" t="s">
        <v>30</v>
      </c>
      <c r="M172" s="162" t="s">
        <v>31</v>
      </c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3"/>
    </row>
    <row r="173" spans="1:25" s="78" customFormat="1" x14ac:dyDescent="0.3">
      <c r="A173" s="161">
        <f t="shared" si="2"/>
        <v>171</v>
      </c>
      <c r="B173" s="162" t="s">
        <v>273</v>
      </c>
      <c r="C173" s="162"/>
      <c r="D173" s="162"/>
      <c r="E173" s="237" t="s">
        <v>274</v>
      </c>
      <c r="F173" s="164" t="s">
        <v>225</v>
      </c>
      <c r="G173" s="162" t="s">
        <v>28</v>
      </c>
      <c r="H173" s="164" t="s">
        <v>226</v>
      </c>
      <c r="I173" s="162">
        <v>19</v>
      </c>
      <c r="J173" s="162">
        <v>2</v>
      </c>
      <c r="K173" s="162">
        <v>8</v>
      </c>
      <c r="L173" s="162" t="s">
        <v>30</v>
      </c>
      <c r="M173" s="162" t="s">
        <v>31</v>
      </c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3"/>
    </row>
    <row r="174" spans="1:25" s="78" customFormat="1" x14ac:dyDescent="0.3">
      <c r="A174" s="161">
        <f t="shared" si="2"/>
        <v>172</v>
      </c>
      <c r="B174" s="162" t="s">
        <v>275</v>
      </c>
      <c r="C174" s="162"/>
      <c r="D174" s="162"/>
      <c r="E174" s="237" t="s">
        <v>276</v>
      </c>
      <c r="F174" s="164" t="s">
        <v>225</v>
      </c>
      <c r="G174" s="162" t="s">
        <v>28</v>
      </c>
      <c r="H174" s="164" t="s">
        <v>226</v>
      </c>
      <c r="I174" s="162">
        <v>19</v>
      </c>
      <c r="J174" s="162">
        <v>2</v>
      </c>
      <c r="K174" s="162">
        <v>9</v>
      </c>
      <c r="L174" s="162" t="s">
        <v>30</v>
      </c>
      <c r="M174" s="162" t="s">
        <v>31</v>
      </c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3"/>
    </row>
    <row r="175" spans="1:25" s="78" customFormat="1" x14ac:dyDescent="0.3">
      <c r="A175" s="161">
        <f t="shared" si="2"/>
        <v>173</v>
      </c>
      <c r="B175" s="162" t="s">
        <v>277</v>
      </c>
      <c r="C175" s="162"/>
      <c r="D175" s="162"/>
      <c r="E175" s="237" t="s">
        <v>278</v>
      </c>
      <c r="F175" s="164" t="s">
        <v>225</v>
      </c>
      <c r="G175" s="162" t="s">
        <v>28</v>
      </c>
      <c r="H175" s="164" t="s">
        <v>226</v>
      </c>
      <c r="I175" s="162">
        <v>19</v>
      </c>
      <c r="J175" s="162">
        <v>2</v>
      </c>
      <c r="K175" s="162">
        <v>10</v>
      </c>
      <c r="L175" s="162" t="s">
        <v>30</v>
      </c>
      <c r="M175" s="162" t="s">
        <v>31</v>
      </c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3"/>
    </row>
    <row r="176" spans="1:25" s="78" customFormat="1" x14ac:dyDescent="0.3">
      <c r="A176" s="161">
        <f t="shared" si="2"/>
        <v>174</v>
      </c>
      <c r="B176" s="162" t="s">
        <v>279</v>
      </c>
      <c r="C176" s="162"/>
      <c r="D176" s="162"/>
      <c r="E176" s="237" t="s">
        <v>280</v>
      </c>
      <c r="F176" s="164" t="s">
        <v>225</v>
      </c>
      <c r="G176" s="162" t="s">
        <v>28</v>
      </c>
      <c r="H176" s="164" t="s">
        <v>226</v>
      </c>
      <c r="I176" s="162">
        <v>19</v>
      </c>
      <c r="J176" s="162">
        <v>2</v>
      </c>
      <c r="K176" s="162">
        <v>11</v>
      </c>
      <c r="L176" s="162" t="s">
        <v>30</v>
      </c>
      <c r="M176" s="162" t="s">
        <v>31</v>
      </c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3"/>
    </row>
    <row r="177" spans="1:25" s="84" customFormat="1" x14ac:dyDescent="0.3">
      <c r="A177" s="161">
        <f t="shared" si="2"/>
        <v>175</v>
      </c>
      <c r="B177" s="162"/>
      <c r="C177" s="162"/>
      <c r="D177" s="162"/>
      <c r="E177" s="237" t="s">
        <v>53</v>
      </c>
      <c r="F177" s="164"/>
      <c r="G177" s="162"/>
      <c r="H177" s="164" t="s">
        <v>226</v>
      </c>
      <c r="I177" s="162">
        <v>19</v>
      </c>
      <c r="J177" s="162">
        <v>2</v>
      </c>
      <c r="K177" s="162">
        <v>12</v>
      </c>
      <c r="L177" s="162" t="s">
        <v>30</v>
      </c>
      <c r="M177" s="162" t="s">
        <v>31</v>
      </c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3"/>
    </row>
    <row r="178" spans="1:25" s="84" customFormat="1" x14ac:dyDescent="0.3">
      <c r="A178" s="161">
        <f t="shared" si="2"/>
        <v>176</v>
      </c>
      <c r="B178" s="162"/>
      <c r="C178" s="162"/>
      <c r="D178" s="162"/>
      <c r="E178" s="237" t="s">
        <v>53</v>
      </c>
      <c r="F178" s="164"/>
      <c r="G178" s="162"/>
      <c r="H178" s="164" t="s">
        <v>226</v>
      </c>
      <c r="I178" s="162">
        <v>19</v>
      </c>
      <c r="J178" s="162">
        <v>2</v>
      </c>
      <c r="K178" s="162">
        <v>13</v>
      </c>
      <c r="L178" s="162" t="s">
        <v>30</v>
      </c>
      <c r="M178" s="162" t="s">
        <v>31</v>
      </c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3"/>
    </row>
    <row r="179" spans="1:25" s="78" customFormat="1" x14ac:dyDescent="0.3">
      <c r="A179" s="161">
        <f t="shared" si="2"/>
        <v>177</v>
      </c>
      <c r="B179" s="162"/>
      <c r="C179" s="162"/>
      <c r="D179" s="162"/>
      <c r="E179" s="237" t="s">
        <v>53</v>
      </c>
      <c r="F179" s="164"/>
      <c r="G179" s="162"/>
      <c r="H179" s="164" t="s">
        <v>226</v>
      </c>
      <c r="I179" s="162">
        <v>19</v>
      </c>
      <c r="J179" s="162">
        <v>2</v>
      </c>
      <c r="K179" s="162">
        <v>14</v>
      </c>
      <c r="L179" s="162" t="s">
        <v>30</v>
      </c>
      <c r="M179" s="162" t="s">
        <v>31</v>
      </c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3"/>
    </row>
    <row r="180" spans="1:25" s="78" customFormat="1" x14ac:dyDescent="0.3">
      <c r="A180" s="161">
        <f t="shared" ref="A180:A227" si="3">ROW()-2</f>
        <v>178</v>
      </c>
      <c r="B180" s="162"/>
      <c r="C180" s="162"/>
      <c r="D180" s="162"/>
      <c r="E180" s="237" t="s">
        <v>53</v>
      </c>
      <c r="F180" s="164"/>
      <c r="G180" s="162"/>
      <c r="H180" s="164" t="s">
        <v>226</v>
      </c>
      <c r="I180" s="162">
        <v>19</v>
      </c>
      <c r="J180" s="162">
        <v>2</v>
      </c>
      <c r="K180" s="162">
        <v>15</v>
      </c>
      <c r="L180" s="162" t="s">
        <v>30</v>
      </c>
      <c r="M180" s="162" t="s">
        <v>31</v>
      </c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3"/>
    </row>
    <row r="181" spans="1:25" s="78" customFormat="1" x14ac:dyDescent="0.3">
      <c r="A181" s="161">
        <f t="shared" si="3"/>
        <v>179</v>
      </c>
      <c r="B181" s="162" t="s">
        <v>281</v>
      </c>
      <c r="C181" s="162"/>
      <c r="D181" s="162"/>
      <c r="E181" s="237" t="s">
        <v>282</v>
      </c>
      <c r="F181" s="164" t="s">
        <v>283</v>
      </c>
      <c r="G181" s="162" t="s">
        <v>28</v>
      </c>
      <c r="H181" s="164" t="s">
        <v>226</v>
      </c>
      <c r="I181" s="162">
        <v>19</v>
      </c>
      <c r="J181" s="162">
        <v>3</v>
      </c>
      <c r="K181" s="162">
        <v>0</v>
      </c>
      <c r="L181" s="162" t="s">
        <v>30</v>
      </c>
      <c r="M181" s="162" t="s">
        <v>31</v>
      </c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3"/>
    </row>
    <row r="182" spans="1:25" s="79" customFormat="1" x14ac:dyDescent="0.3">
      <c r="A182" s="161">
        <f t="shared" si="3"/>
        <v>180</v>
      </c>
      <c r="B182" s="162" t="s">
        <v>284</v>
      </c>
      <c r="C182" s="162"/>
      <c r="D182" s="162"/>
      <c r="E182" s="237" t="s">
        <v>285</v>
      </c>
      <c r="F182" s="164" t="s">
        <v>283</v>
      </c>
      <c r="G182" s="162" t="s">
        <v>28</v>
      </c>
      <c r="H182" s="164" t="s">
        <v>226</v>
      </c>
      <c r="I182" s="162">
        <v>19</v>
      </c>
      <c r="J182" s="162">
        <v>3</v>
      </c>
      <c r="K182" s="162">
        <v>1</v>
      </c>
      <c r="L182" s="162" t="s">
        <v>30</v>
      </c>
      <c r="M182" s="162" t="s">
        <v>31</v>
      </c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3"/>
    </row>
    <row r="183" spans="1:25" s="78" customFormat="1" x14ac:dyDescent="0.3">
      <c r="A183" s="161">
        <f t="shared" si="3"/>
        <v>181</v>
      </c>
      <c r="B183" s="162" t="s">
        <v>286</v>
      </c>
      <c r="C183" s="162"/>
      <c r="D183" s="162"/>
      <c r="E183" s="237" t="s">
        <v>287</v>
      </c>
      <c r="F183" s="164" t="s">
        <v>283</v>
      </c>
      <c r="G183" s="162" t="s">
        <v>28</v>
      </c>
      <c r="H183" s="164" t="s">
        <v>226</v>
      </c>
      <c r="I183" s="162">
        <v>19</v>
      </c>
      <c r="J183" s="162">
        <v>3</v>
      </c>
      <c r="K183" s="162">
        <v>2</v>
      </c>
      <c r="L183" s="162" t="s">
        <v>30</v>
      </c>
      <c r="M183" s="162" t="s">
        <v>31</v>
      </c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3"/>
    </row>
    <row r="184" spans="1:25" s="78" customFormat="1" x14ac:dyDescent="0.3">
      <c r="A184" s="161">
        <f t="shared" si="3"/>
        <v>182</v>
      </c>
      <c r="B184" s="162" t="s">
        <v>288</v>
      </c>
      <c r="C184" s="162"/>
      <c r="D184" s="162"/>
      <c r="E184" s="237" t="s">
        <v>289</v>
      </c>
      <c r="F184" s="164" t="s">
        <v>283</v>
      </c>
      <c r="G184" s="162" t="s">
        <v>28</v>
      </c>
      <c r="H184" s="164" t="s">
        <v>226</v>
      </c>
      <c r="I184" s="162">
        <v>19</v>
      </c>
      <c r="J184" s="162">
        <v>3</v>
      </c>
      <c r="K184" s="162">
        <v>3</v>
      </c>
      <c r="L184" s="162" t="s">
        <v>30</v>
      </c>
      <c r="M184" s="162" t="s">
        <v>31</v>
      </c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3"/>
    </row>
    <row r="185" spans="1:25" s="78" customFormat="1" x14ac:dyDescent="0.3">
      <c r="A185" s="161">
        <f t="shared" si="3"/>
        <v>183</v>
      </c>
      <c r="B185" s="162" t="s">
        <v>290</v>
      </c>
      <c r="C185" s="162"/>
      <c r="D185" s="162"/>
      <c r="E185" s="237" t="s">
        <v>291</v>
      </c>
      <c r="F185" s="164" t="s">
        <v>27</v>
      </c>
      <c r="G185" s="162" t="s">
        <v>28</v>
      </c>
      <c r="H185" s="164" t="s">
        <v>226</v>
      </c>
      <c r="I185" s="162">
        <v>19</v>
      </c>
      <c r="J185" s="162">
        <v>3</v>
      </c>
      <c r="K185" s="162">
        <v>4</v>
      </c>
      <c r="L185" s="162" t="s">
        <v>30</v>
      </c>
      <c r="M185" s="162" t="s">
        <v>31</v>
      </c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3"/>
    </row>
    <row r="186" spans="1:25" s="78" customFormat="1" x14ac:dyDescent="0.3">
      <c r="A186" s="161">
        <f t="shared" si="3"/>
        <v>184</v>
      </c>
      <c r="B186" s="162" t="s">
        <v>292</v>
      </c>
      <c r="C186" s="162"/>
      <c r="D186" s="162"/>
      <c r="E186" s="237" t="s">
        <v>293</v>
      </c>
      <c r="F186" s="164" t="s">
        <v>27</v>
      </c>
      <c r="G186" s="162" t="s">
        <v>28</v>
      </c>
      <c r="H186" s="164" t="s">
        <v>226</v>
      </c>
      <c r="I186" s="162">
        <v>19</v>
      </c>
      <c r="J186" s="162">
        <v>3</v>
      </c>
      <c r="K186" s="162">
        <v>5</v>
      </c>
      <c r="L186" s="162" t="s">
        <v>30</v>
      </c>
      <c r="M186" s="162" t="s">
        <v>31</v>
      </c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3"/>
    </row>
    <row r="187" spans="1:25" s="84" customFormat="1" x14ac:dyDescent="0.3">
      <c r="A187" s="161">
        <f t="shared" si="3"/>
        <v>185</v>
      </c>
      <c r="B187" s="162" t="s">
        <v>294</v>
      </c>
      <c r="C187" s="162"/>
      <c r="D187" s="162"/>
      <c r="E187" s="237" t="s">
        <v>295</v>
      </c>
      <c r="F187" s="164" t="s">
        <v>27</v>
      </c>
      <c r="G187" s="162" t="s">
        <v>28</v>
      </c>
      <c r="H187" s="164" t="s">
        <v>226</v>
      </c>
      <c r="I187" s="162">
        <v>19</v>
      </c>
      <c r="J187" s="162">
        <v>3</v>
      </c>
      <c r="K187" s="162">
        <v>6</v>
      </c>
      <c r="L187" s="162" t="s">
        <v>30</v>
      </c>
      <c r="M187" s="162" t="s">
        <v>31</v>
      </c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3"/>
    </row>
    <row r="188" spans="1:25" s="84" customFormat="1" x14ac:dyDescent="0.3">
      <c r="A188" s="161">
        <f t="shared" si="3"/>
        <v>186</v>
      </c>
      <c r="B188" s="162" t="s">
        <v>296</v>
      </c>
      <c r="C188" s="162"/>
      <c r="D188" s="162"/>
      <c r="E188" s="237" t="s">
        <v>297</v>
      </c>
      <c r="F188" s="164" t="s">
        <v>27</v>
      </c>
      <c r="G188" s="162" t="s">
        <v>28</v>
      </c>
      <c r="H188" s="164" t="s">
        <v>226</v>
      </c>
      <c r="I188" s="162">
        <v>19</v>
      </c>
      <c r="J188" s="162">
        <v>3</v>
      </c>
      <c r="K188" s="162">
        <v>7</v>
      </c>
      <c r="L188" s="162" t="s">
        <v>30</v>
      </c>
      <c r="M188" s="162" t="s">
        <v>31</v>
      </c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3"/>
    </row>
    <row r="189" spans="1:25" s="84" customFormat="1" x14ac:dyDescent="0.3">
      <c r="A189" s="161">
        <f t="shared" si="3"/>
        <v>187</v>
      </c>
      <c r="B189" s="162" t="s">
        <v>298</v>
      </c>
      <c r="C189" s="162"/>
      <c r="D189" s="162"/>
      <c r="E189" s="237" t="s">
        <v>299</v>
      </c>
      <c r="F189" s="164" t="s">
        <v>300</v>
      </c>
      <c r="G189" s="162" t="s">
        <v>28</v>
      </c>
      <c r="H189" s="164" t="s">
        <v>226</v>
      </c>
      <c r="I189" s="162">
        <v>19</v>
      </c>
      <c r="J189" s="162">
        <v>3</v>
      </c>
      <c r="K189" s="162">
        <v>8</v>
      </c>
      <c r="L189" s="162" t="s">
        <v>30</v>
      </c>
      <c r="M189" s="162" t="s">
        <v>31</v>
      </c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3"/>
    </row>
    <row r="190" spans="1:25" s="84" customFormat="1" x14ac:dyDescent="0.3">
      <c r="A190" s="161">
        <f t="shared" si="3"/>
        <v>188</v>
      </c>
      <c r="B190" s="162" t="s">
        <v>301</v>
      </c>
      <c r="C190" s="162"/>
      <c r="D190" s="162"/>
      <c r="E190" s="241" t="s">
        <v>302</v>
      </c>
      <c r="F190" s="164" t="s">
        <v>303</v>
      </c>
      <c r="G190" s="162" t="s">
        <v>28</v>
      </c>
      <c r="H190" s="164" t="s">
        <v>226</v>
      </c>
      <c r="I190" s="162">
        <v>19</v>
      </c>
      <c r="J190" s="162">
        <v>3</v>
      </c>
      <c r="K190" s="162">
        <v>9</v>
      </c>
      <c r="L190" s="162" t="s">
        <v>30</v>
      </c>
      <c r="M190" s="162" t="s">
        <v>31</v>
      </c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3"/>
    </row>
    <row r="191" spans="1:25" s="84" customFormat="1" x14ac:dyDescent="0.3">
      <c r="A191" s="161">
        <f t="shared" si="3"/>
        <v>189</v>
      </c>
      <c r="B191" s="162" t="s">
        <v>304</v>
      </c>
      <c r="C191" s="162"/>
      <c r="D191" s="162"/>
      <c r="E191" s="237" t="s">
        <v>305</v>
      </c>
      <c r="F191" s="164" t="s">
        <v>300</v>
      </c>
      <c r="G191" s="162" t="s">
        <v>28</v>
      </c>
      <c r="H191" s="164" t="s">
        <v>226</v>
      </c>
      <c r="I191" s="162">
        <v>19</v>
      </c>
      <c r="J191" s="162">
        <v>3</v>
      </c>
      <c r="K191" s="162">
        <v>10</v>
      </c>
      <c r="L191" s="162" t="s">
        <v>30</v>
      </c>
      <c r="M191" s="162" t="s">
        <v>31</v>
      </c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3"/>
    </row>
    <row r="192" spans="1:25" s="84" customFormat="1" x14ac:dyDescent="0.3">
      <c r="A192" s="161">
        <f t="shared" si="3"/>
        <v>190</v>
      </c>
      <c r="B192" s="162" t="s">
        <v>306</v>
      </c>
      <c r="C192" s="162"/>
      <c r="D192" s="162"/>
      <c r="E192" s="237" t="s">
        <v>307</v>
      </c>
      <c r="F192" s="164" t="s">
        <v>308</v>
      </c>
      <c r="G192" s="162" t="s">
        <v>309</v>
      </c>
      <c r="H192" s="164" t="s">
        <v>226</v>
      </c>
      <c r="I192" s="162">
        <v>19</v>
      </c>
      <c r="J192" s="162">
        <v>3</v>
      </c>
      <c r="K192" s="162">
        <v>11</v>
      </c>
      <c r="L192" s="162" t="s">
        <v>30</v>
      </c>
      <c r="M192" s="162" t="s">
        <v>31</v>
      </c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3"/>
    </row>
    <row r="193" spans="1:25" s="84" customFormat="1" x14ac:dyDescent="0.3">
      <c r="A193" s="161">
        <f t="shared" si="3"/>
        <v>191</v>
      </c>
      <c r="B193" s="162"/>
      <c r="C193" s="162"/>
      <c r="D193" s="162"/>
      <c r="E193" s="237" t="s">
        <v>53</v>
      </c>
      <c r="F193" s="164"/>
      <c r="G193" s="162"/>
      <c r="H193" s="164" t="s">
        <v>226</v>
      </c>
      <c r="I193" s="162">
        <v>19</v>
      </c>
      <c r="J193" s="162">
        <v>3</v>
      </c>
      <c r="K193" s="162">
        <v>12</v>
      </c>
      <c r="L193" s="162" t="s">
        <v>30</v>
      </c>
      <c r="M193" s="162" t="s">
        <v>31</v>
      </c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3"/>
    </row>
    <row r="194" spans="1:25" s="84" customFormat="1" x14ac:dyDescent="0.3">
      <c r="A194" s="161">
        <f t="shared" si="3"/>
        <v>192</v>
      </c>
      <c r="B194" s="162"/>
      <c r="C194" s="162"/>
      <c r="D194" s="162"/>
      <c r="E194" s="237" t="s">
        <v>53</v>
      </c>
      <c r="F194" s="164"/>
      <c r="G194" s="162"/>
      <c r="H194" s="164" t="s">
        <v>226</v>
      </c>
      <c r="I194" s="162">
        <v>19</v>
      </c>
      <c r="J194" s="162">
        <v>3</v>
      </c>
      <c r="K194" s="162">
        <v>13</v>
      </c>
      <c r="L194" s="162" t="s">
        <v>30</v>
      </c>
      <c r="M194" s="162" t="s">
        <v>31</v>
      </c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3"/>
    </row>
    <row r="195" spans="1:25" s="78" customFormat="1" x14ac:dyDescent="0.3">
      <c r="A195" s="161">
        <f t="shared" si="3"/>
        <v>193</v>
      </c>
      <c r="B195" s="162"/>
      <c r="C195" s="162"/>
      <c r="D195" s="162"/>
      <c r="E195" s="237" t="s">
        <v>53</v>
      </c>
      <c r="F195" s="164"/>
      <c r="G195" s="162"/>
      <c r="H195" s="164" t="s">
        <v>226</v>
      </c>
      <c r="I195" s="162">
        <v>19</v>
      </c>
      <c r="J195" s="162">
        <v>3</v>
      </c>
      <c r="K195" s="162">
        <v>14</v>
      </c>
      <c r="L195" s="162" t="s">
        <v>30</v>
      </c>
      <c r="M195" s="162" t="s">
        <v>31</v>
      </c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3"/>
    </row>
    <row r="196" spans="1:25" s="78" customFormat="1" x14ac:dyDescent="0.3">
      <c r="A196" s="161">
        <f t="shared" si="3"/>
        <v>194</v>
      </c>
      <c r="B196" s="162"/>
      <c r="C196" s="162"/>
      <c r="D196" s="162"/>
      <c r="E196" s="237" t="s">
        <v>53</v>
      </c>
      <c r="F196" s="164"/>
      <c r="G196" s="162"/>
      <c r="H196" s="164" t="s">
        <v>226</v>
      </c>
      <c r="I196" s="162">
        <v>19</v>
      </c>
      <c r="J196" s="162">
        <v>3</v>
      </c>
      <c r="K196" s="162">
        <v>15</v>
      </c>
      <c r="L196" s="162" t="s">
        <v>30</v>
      </c>
      <c r="M196" s="162" t="s">
        <v>31</v>
      </c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3"/>
    </row>
    <row r="197" spans="1:25" s="78" customFormat="1" x14ac:dyDescent="0.3">
      <c r="A197" s="161">
        <f t="shared" si="3"/>
        <v>195</v>
      </c>
      <c r="B197" s="162"/>
      <c r="C197" s="162"/>
      <c r="D197" s="162"/>
      <c r="E197" s="237" t="s">
        <v>108</v>
      </c>
      <c r="F197" s="164"/>
      <c r="G197" s="162"/>
      <c r="H197" s="164" t="s">
        <v>226</v>
      </c>
      <c r="I197" s="162">
        <v>19</v>
      </c>
      <c r="J197" s="162">
        <v>4</v>
      </c>
      <c r="K197" s="162">
        <v>0</v>
      </c>
      <c r="L197" s="162" t="s">
        <v>109</v>
      </c>
      <c r="M197" s="162" t="s">
        <v>110</v>
      </c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3"/>
    </row>
    <row r="198" spans="1:25" s="78" customFormat="1" x14ac:dyDescent="0.3">
      <c r="A198" s="161">
        <f t="shared" si="3"/>
        <v>196</v>
      </c>
      <c r="B198" s="162" t="s">
        <v>310</v>
      </c>
      <c r="C198" s="162"/>
      <c r="D198" s="162"/>
      <c r="E198" s="237" t="s">
        <v>311</v>
      </c>
      <c r="F198" s="164" t="s">
        <v>225</v>
      </c>
      <c r="G198" s="162" t="s">
        <v>28</v>
      </c>
      <c r="H198" s="164" t="s">
        <v>226</v>
      </c>
      <c r="I198" s="162">
        <v>19</v>
      </c>
      <c r="J198" s="162">
        <v>5</v>
      </c>
      <c r="K198" s="162">
        <v>0</v>
      </c>
      <c r="L198" s="162" t="s">
        <v>78</v>
      </c>
      <c r="M198" s="162" t="s">
        <v>79</v>
      </c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3"/>
    </row>
    <row r="199" spans="1:25" s="78" customFormat="1" x14ac:dyDescent="0.3">
      <c r="A199" s="161">
        <f t="shared" si="3"/>
        <v>197</v>
      </c>
      <c r="B199" s="162" t="s">
        <v>312</v>
      </c>
      <c r="C199" s="162"/>
      <c r="D199" s="162"/>
      <c r="E199" s="237" t="s">
        <v>313</v>
      </c>
      <c r="F199" s="164" t="s">
        <v>225</v>
      </c>
      <c r="G199" s="162" t="s">
        <v>28</v>
      </c>
      <c r="H199" s="164" t="s">
        <v>226</v>
      </c>
      <c r="I199" s="162">
        <v>19</v>
      </c>
      <c r="J199" s="162">
        <v>5</v>
      </c>
      <c r="K199" s="162">
        <v>1</v>
      </c>
      <c r="L199" s="162" t="s">
        <v>78</v>
      </c>
      <c r="M199" s="162" t="s">
        <v>79</v>
      </c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3"/>
    </row>
    <row r="200" spans="1:25" s="78" customFormat="1" x14ac:dyDescent="0.3">
      <c r="A200" s="161">
        <f t="shared" si="3"/>
        <v>198</v>
      </c>
      <c r="B200" s="162" t="s">
        <v>314</v>
      </c>
      <c r="C200" s="162"/>
      <c r="D200" s="162"/>
      <c r="E200" s="237" t="s">
        <v>315</v>
      </c>
      <c r="F200" s="164" t="s">
        <v>225</v>
      </c>
      <c r="G200" s="162" t="s">
        <v>28</v>
      </c>
      <c r="H200" s="164" t="s">
        <v>226</v>
      </c>
      <c r="I200" s="162">
        <v>19</v>
      </c>
      <c r="J200" s="162">
        <v>5</v>
      </c>
      <c r="K200" s="162">
        <v>2</v>
      </c>
      <c r="L200" s="162" t="s">
        <v>78</v>
      </c>
      <c r="M200" s="162" t="s">
        <v>79</v>
      </c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3"/>
    </row>
    <row r="201" spans="1:25" s="78" customFormat="1" x14ac:dyDescent="0.3">
      <c r="A201" s="161">
        <f t="shared" si="3"/>
        <v>199</v>
      </c>
      <c r="B201" s="162" t="s">
        <v>316</v>
      </c>
      <c r="C201" s="162"/>
      <c r="D201" s="162"/>
      <c r="E201" s="237" t="s">
        <v>317</v>
      </c>
      <c r="F201" s="164" t="s">
        <v>225</v>
      </c>
      <c r="G201" s="162" t="s">
        <v>28</v>
      </c>
      <c r="H201" s="164" t="s">
        <v>226</v>
      </c>
      <c r="I201" s="162">
        <v>19</v>
      </c>
      <c r="J201" s="162">
        <v>5</v>
      </c>
      <c r="K201" s="162">
        <v>3</v>
      </c>
      <c r="L201" s="162" t="s">
        <v>78</v>
      </c>
      <c r="M201" s="162" t="s">
        <v>79</v>
      </c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3"/>
    </row>
    <row r="202" spans="1:25" s="78" customFormat="1" x14ac:dyDescent="0.3">
      <c r="A202" s="161">
        <f t="shared" si="3"/>
        <v>200</v>
      </c>
      <c r="B202" s="162" t="s">
        <v>318</v>
      </c>
      <c r="C202" s="162"/>
      <c r="D202" s="162"/>
      <c r="E202" s="237" t="s">
        <v>319</v>
      </c>
      <c r="F202" s="164" t="s">
        <v>225</v>
      </c>
      <c r="G202" s="162" t="s">
        <v>28</v>
      </c>
      <c r="H202" s="164" t="s">
        <v>226</v>
      </c>
      <c r="I202" s="162">
        <v>19</v>
      </c>
      <c r="J202" s="162">
        <v>5</v>
      </c>
      <c r="K202" s="162">
        <v>4</v>
      </c>
      <c r="L202" s="162" t="s">
        <v>78</v>
      </c>
      <c r="M202" s="162" t="s">
        <v>79</v>
      </c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3"/>
    </row>
    <row r="203" spans="1:25" s="78" customFormat="1" x14ac:dyDescent="0.3">
      <c r="A203" s="161">
        <f t="shared" si="3"/>
        <v>201</v>
      </c>
      <c r="B203" s="162" t="s">
        <v>320</v>
      </c>
      <c r="C203" s="162"/>
      <c r="D203" s="162"/>
      <c r="E203" s="237" t="s">
        <v>321</v>
      </c>
      <c r="F203" s="164" t="s">
        <v>225</v>
      </c>
      <c r="G203" s="162" t="s">
        <v>28</v>
      </c>
      <c r="H203" s="164" t="s">
        <v>226</v>
      </c>
      <c r="I203" s="162">
        <v>19</v>
      </c>
      <c r="J203" s="162">
        <v>5</v>
      </c>
      <c r="K203" s="162">
        <v>5</v>
      </c>
      <c r="L203" s="162" t="s">
        <v>78</v>
      </c>
      <c r="M203" s="162" t="s">
        <v>79</v>
      </c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3"/>
    </row>
    <row r="204" spans="1:25" s="84" customFormat="1" x14ac:dyDescent="0.3">
      <c r="A204" s="161">
        <f t="shared" si="3"/>
        <v>202</v>
      </c>
      <c r="B204" s="162" t="s">
        <v>322</v>
      </c>
      <c r="C204" s="162"/>
      <c r="D204" s="162"/>
      <c r="E204" s="237" t="s">
        <v>323</v>
      </c>
      <c r="F204" s="164" t="s">
        <v>225</v>
      </c>
      <c r="G204" s="162" t="s">
        <v>28</v>
      </c>
      <c r="H204" s="164" t="s">
        <v>226</v>
      </c>
      <c r="I204" s="162">
        <v>19</v>
      </c>
      <c r="J204" s="162">
        <v>5</v>
      </c>
      <c r="K204" s="162">
        <v>6</v>
      </c>
      <c r="L204" s="162" t="s">
        <v>78</v>
      </c>
      <c r="M204" s="162" t="s">
        <v>79</v>
      </c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3"/>
    </row>
    <row r="205" spans="1:25" s="78" customFormat="1" x14ac:dyDescent="0.3">
      <c r="A205" s="161">
        <f t="shared" si="3"/>
        <v>203</v>
      </c>
      <c r="B205" s="162" t="s">
        <v>324</v>
      </c>
      <c r="C205" s="162"/>
      <c r="D205" s="162"/>
      <c r="E205" s="237" t="s">
        <v>325</v>
      </c>
      <c r="F205" s="164" t="s">
        <v>225</v>
      </c>
      <c r="G205" s="162" t="s">
        <v>28</v>
      </c>
      <c r="H205" s="164" t="s">
        <v>226</v>
      </c>
      <c r="I205" s="162">
        <v>19</v>
      </c>
      <c r="J205" s="162">
        <v>5</v>
      </c>
      <c r="K205" s="162">
        <v>7</v>
      </c>
      <c r="L205" s="162" t="s">
        <v>78</v>
      </c>
      <c r="M205" s="162" t="s">
        <v>79</v>
      </c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3"/>
    </row>
    <row r="206" spans="1:25" s="78" customFormat="1" x14ac:dyDescent="0.3">
      <c r="A206" s="161">
        <f t="shared" si="3"/>
        <v>204</v>
      </c>
      <c r="B206" s="162" t="s">
        <v>326</v>
      </c>
      <c r="C206" s="162"/>
      <c r="D206" s="162"/>
      <c r="E206" s="237" t="s">
        <v>327</v>
      </c>
      <c r="F206" s="164" t="s">
        <v>225</v>
      </c>
      <c r="G206" s="162" t="s">
        <v>28</v>
      </c>
      <c r="H206" s="164" t="s">
        <v>226</v>
      </c>
      <c r="I206" s="162">
        <v>19</v>
      </c>
      <c r="J206" s="162">
        <v>5</v>
      </c>
      <c r="K206" s="162">
        <v>8</v>
      </c>
      <c r="L206" s="162" t="s">
        <v>78</v>
      </c>
      <c r="M206" s="162" t="s">
        <v>79</v>
      </c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3"/>
    </row>
    <row r="207" spans="1:25" s="78" customFormat="1" x14ac:dyDescent="0.3">
      <c r="A207" s="161">
        <f t="shared" si="3"/>
        <v>205</v>
      </c>
      <c r="B207" s="162" t="s">
        <v>328</v>
      </c>
      <c r="C207" s="162"/>
      <c r="D207" s="162"/>
      <c r="E207" s="237" t="s">
        <v>329</v>
      </c>
      <c r="F207" s="164" t="s">
        <v>225</v>
      </c>
      <c r="G207" s="162" t="s">
        <v>28</v>
      </c>
      <c r="H207" s="164" t="s">
        <v>226</v>
      </c>
      <c r="I207" s="162">
        <v>19</v>
      </c>
      <c r="J207" s="162">
        <v>5</v>
      </c>
      <c r="K207" s="162">
        <v>9</v>
      </c>
      <c r="L207" s="162" t="s">
        <v>78</v>
      </c>
      <c r="M207" s="162" t="s">
        <v>79</v>
      </c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3"/>
    </row>
    <row r="208" spans="1:25" s="84" customFormat="1" x14ac:dyDescent="0.3">
      <c r="A208" s="161">
        <f t="shared" si="3"/>
        <v>206</v>
      </c>
      <c r="B208" s="162" t="s">
        <v>330</v>
      </c>
      <c r="C208" s="162"/>
      <c r="D208" s="162"/>
      <c r="E208" s="237" t="s">
        <v>331</v>
      </c>
      <c r="F208" s="164" t="s">
        <v>225</v>
      </c>
      <c r="G208" s="162" t="s">
        <v>28</v>
      </c>
      <c r="H208" s="164" t="s">
        <v>226</v>
      </c>
      <c r="I208" s="162">
        <v>19</v>
      </c>
      <c r="J208" s="162">
        <v>5</v>
      </c>
      <c r="K208" s="162">
        <v>10</v>
      </c>
      <c r="L208" s="162" t="s">
        <v>78</v>
      </c>
      <c r="M208" s="162" t="s">
        <v>79</v>
      </c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3"/>
    </row>
    <row r="209" spans="1:25" s="84" customFormat="1" x14ac:dyDescent="0.3">
      <c r="A209" s="161">
        <f t="shared" si="3"/>
        <v>207</v>
      </c>
      <c r="B209" s="162" t="s">
        <v>332</v>
      </c>
      <c r="C209" s="162"/>
      <c r="D209" s="162"/>
      <c r="E209" s="237" t="s">
        <v>333</v>
      </c>
      <c r="F209" s="164" t="s">
        <v>225</v>
      </c>
      <c r="G209" s="162" t="s">
        <v>28</v>
      </c>
      <c r="H209" s="164" t="s">
        <v>226</v>
      </c>
      <c r="I209" s="162">
        <v>19</v>
      </c>
      <c r="J209" s="162">
        <v>5</v>
      </c>
      <c r="K209" s="162">
        <v>11</v>
      </c>
      <c r="L209" s="162" t="s">
        <v>78</v>
      </c>
      <c r="M209" s="162" t="s">
        <v>79</v>
      </c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3"/>
    </row>
    <row r="210" spans="1:25" s="84" customFormat="1" x14ac:dyDescent="0.3">
      <c r="A210" s="161">
        <f t="shared" si="3"/>
        <v>208</v>
      </c>
      <c r="B210" s="162" t="s">
        <v>334</v>
      </c>
      <c r="C210" s="162"/>
      <c r="D210" s="162"/>
      <c r="E210" s="237" t="s">
        <v>335</v>
      </c>
      <c r="F210" s="164" t="s">
        <v>225</v>
      </c>
      <c r="G210" s="162" t="s">
        <v>28</v>
      </c>
      <c r="H210" s="164" t="s">
        <v>226</v>
      </c>
      <c r="I210" s="162">
        <v>19</v>
      </c>
      <c r="J210" s="162">
        <v>5</v>
      </c>
      <c r="K210" s="162">
        <v>12</v>
      </c>
      <c r="L210" s="162" t="s">
        <v>78</v>
      </c>
      <c r="M210" s="162" t="s">
        <v>79</v>
      </c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3"/>
    </row>
    <row r="211" spans="1:25" s="84" customFormat="1" x14ac:dyDescent="0.3">
      <c r="A211" s="161">
        <f t="shared" si="3"/>
        <v>209</v>
      </c>
      <c r="B211" s="162" t="s">
        <v>336</v>
      </c>
      <c r="C211" s="162"/>
      <c r="D211" s="162"/>
      <c r="E211" s="237" t="s">
        <v>337</v>
      </c>
      <c r="F211" s="164" t="s">
        <v>225</v>
      </c>
      <c r="G211" s="162" t="s">
        <v>28</v>
      </c>
      <c r="H211" s="164" t="s">
        <v>226</v>
      </c>
      <c r="I211" s="162">
        <v>19</v>
      </c>
      <c r="J211" s="162">
        <v>5</v>
      </c>
      <c r="K211" s="162">
        <v>13</v>
      </c>
      <c r="L211" s="162" t="s">
        <v>78</v>
      </c>
      <c r="M211" s="162" t="s">
        <v>79</v>
      </c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3"/>
    </row>
    <row r="212" spans="1:25" s="84" customFormat="1" x14ac:dyDescent="0.3">
      <c r="A212" s="161">
        <f t="shared" si="3"/>
        <v>210</v>
      </c>
      <c r="B212" s="162"/>
      <c r="C212" s="162"/>
      <c r="D212" s="162"/>
      <c r="E212" s="237" t="s">
        <v>53</v>
      </c>
      <c r="F212" s="164"/>
      <c r="G212" s="162"/>
      <c r="H212" s="164" t="s">
        <v>226</v>
      </c>
      <c r="I212" s="162">
        <v>19</v>
      </c>
      <c r="J212" s="162">
        <v>5</v>
      </c>
      <c r="K212" s="162">
        <v>14</v>
      </c>
      <c r="L212" s="162" t="s">
        <v>78</v>
      </c>
      <c r="M212" s="162" t="s">
        <v>79</v>
      </c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3"/>
    </row>
    <row r="213" spans="1:25" s="78" customFormat="1" x14ac:dyDescent="0.3">
      <c r="A213" s="161">
        <f t="shared" si="3"/>
        <v>211</v>
      </c>
      <c r="B213" s="162"/>
      <c r="C213" s="162"/>
      <c r="D213" s="162"/>
      <c r="E213" s="237" t="s">
        <v>53</v>
      </c>
      <c r="F213" s="164"/>
      <c r="G213" s="162"/>
      <c r="H213" s="164" t="s">
        <v>226</v>
      </c>
      <c r="I213" s="162">
        <v>19</v>
      </c>
      <c r="J213" s="162">
        <v>5</v>
      </c>
      <c r="K213" s="162">
        <v>15</v>
      </c>
      <c r="L213" s="162" t="s">
        <v>78</v>
      </c>
      <c r="M213" s="162" t="s">
        <v>79</v>
      </c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3"/>
    </row>
    <row r="214" spans="1:25" s="78" customFormat="1" x14ac:dyDescent="0.3">
      <c r="A214" s="161">
        <f t="shared" si="3"/>
        <v>212</v>
      </c>
      <c r="B214" s="162" t="s">
        <v>338</v>
      </c>
      <c r="C214" s="162"/>
      <c r="D214" s="162"/>
      <c r="E214" s="237" t="s">
        <v>339</v>
      </c>
      <c r="F214" s="164" t="s">
        <v>300</v>
      </c>
      <c r="G214" s="162" t="s">
        <v>28</v>
      </c>
      <c r="H214" s="164" t="s">
        <v>226</v>
      </c>
      <c r="I214" s="162">
        <v>19</v>
      </c>
      <c r="J214" s="162">
        <v>6</v>
      </c>
      <c r="K214" s="162">
        <v>0</v>
      </c>
      <c r="L214" s="162" t="s">
        <v>78</v>
      </c>
      <c r="M214" s="162" t="s">
        <v>79</v>
      </c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3"/>
    </row>
    <row r="215" spans="1:25" x14ac:dyDescent="0.3">
      <c r="A215" s="161">
        <f t="shared" si="3"/>
        <v>213</v>
      </c>
      <c r="B215" s="162" t="s">
        <v>340</v>
      </c>
      <c r="C215" s="162"/>
      <c r="D215" s="162"/>
      <c r="E215" s="237" t="s">
        <v>341</v>
      </c>
      <c r="F215" s="164" t="s">
        <v>300</v>
      </c>
      <c r="G215" s="162" t="s">
        <v>28</v>
      </c>
      <c r="H215" s="164" t="s">
        <v>226</v>
      </c>
      <c r="I215" s="162">
        <v>19</v>
      </c>
      <c r="J215" s="162">
        <v>6</v>
      </c>
      <c r="K215" s="162">
        <v>1</v>
      </c>
      <c r="L215" s="162" t="s">
        <v>78</v>
      </c>
      <c r="M215" s="162" t="s">
        <v>79</v>
      </c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3"/>
    </row>
    <row r="216" spans="1:25" s="84" customFormat="1" x14ac:dyDescent="0.3">
      <c r="A216" s="161">
        <f t="shared" si="3"/>
        <v>214</v>
      </c>
      <c r="B216" s="162" t="s">
        <v>342</v>
      </c>
      <c r="C216" s="162"/>
      <c r="D216" s="162"/>
      <c r="E216" s="237" t="s">
        <v>343</v>
      </c>
      <c r="F216" s="164" t="s">
        <v>300</v>
      </c>
      <c r="G216" s="162" t="s">
        <v>28</v>
      </c>
      <c r="H216" s="164" t="s">
        <v>226</v>
      </c>
      <c r="I216" s="162">
        <v>19</v>
      </c>
      <c r="J216" s="162">
        <v>6</v>
      </c>
      <c r="K216" s="162">
        <v>2</v>
      </c>
      <c r="L216" s="162" t="s">
        <v>78</v>
      </c>
      <c r="M216" s="162" t="s">
        <v>79</v>
      </c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3"/>
    </row>
    <row r="217" spans="1:25" s="84" customFormat="1" x14ac:dyDescent="0.3">
      <c r="A217" s="161">
        <f t="shared" si="3"/>
        <v>215</v>
      </c>
      <c r="B217" s="162" t="s">
        <v>344</v>
      </c>
      <c r="C217" s="162"/>
      <c r="D217" s="162"/>
      <c r="E217" s="237" t="s">
        <v>345</v>
      </c>
      <c r="F217" s="164" t="s">
        <v>300</v>
      </c>
      <c r="G217" s="162" t="s">
        <v>28</v>
      </c>
      <c r="H217" s="164" t="s">
        <v>226</v>
      </c>
      <c r="I217" s="162">
        <v>19</v>
      </c>
      <c r="J217" s="162">
        <v>6</v>
      </c>
      <c r="K217" s="162">
        <v>3</v>
      </c>
      <c r="L217" s="162" t="s">
        <v>78</v>
      </c>
      <c r="M217" s="162" t="s">
        <v>79</v>
      </c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3"/>
    </row>
    <row r="218" spans="1:25" s="84" customFormat="1" x14ac:dyDescent="0.3">
      <c r="A218" s="161">
        <f t="shared" si="3"/>
        <v>216</v>
      </c>
      <c r="B218" s="162" t="s">
        <v>346</v>
      </c>
      <c r="C218" s="162"/>
      <c r="D218" s="162"/>
      <c r="E218" s="237" t="s">
        <v>347</v>
      </c>
      <c r="F218" s="164" t="s">
        <v>300</v>
      </c>
      <c r="G218" s="162" t="s">
        <v>28</v>
      </c>
      <c r="H218" s="164" t="s">
        <v>226</v>
      </c>
      <c r="I218" s="162">
        <v>19</v>
      </c>
      <c r="J218" s="162">
        <v>6</v>
      </c>
      <c r="K218" s="162">
        <v>4</v>
      </c>
      <c r="L218" s="162" t="s">
        <v>78</v>
      </c>
      <c r="M218" s="162" t="s">
        <v>79</v>
      </c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3"/>
    </row>
    <row r="219" spans="1:25" s="84" customFormat="1" x14ac:dyDescent="0.3">
      <c r="A219" s="161">
        <f t="shared" si="3"/>
        <v>217</v>
      </c>
      <c r="B219" s="162" t="s">
        <v>348</v>
      </c>
      <c r="C219" s="162"/>
      <c r="D219" s="162"/>
      <c r="E219" s="237" t="s">
        <v>349</v>
      </c>
      <c r="F219" s="164" t="s">
        <v>300</v>
      </c>
      <c r="G219" s="162" t="s">
        <v>28</v>
      </c>
      <c r="H219" s="164" t="s">
        <v>226</v>
      </c>
      <c r="I219" s="162">
        <v>19</v>
      </c>
      <c r="J219" s="162">
        <v>6</v>
      </c>
      <c r="K219" s="162">
        <v>5</v>
      </c>
      <c r="L219" s="162" t="s">
        <v>78</v>
      </c>
      <c r="M219" s="162" t="s">
        <v>79</v>
      </c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3"/>
    </row>
    <row r="220" spans="1:25" s="84" customFormat="1" x14ac:dyDescent="0.3">
      <c r="A220" s="161">
        <f t="shared" si="3"/>
        <v>218</v>
      </c>
      <c r="B220" s="162" t="s">
        <v>350</v>
      </c>
      <c r="C220" s="162"/>
      <c r="D220" s="162"/>
      <c r="E220" s="237" t="s">
        <v>351</v>
      </c>
      <c r="F220" s="164" t="s">
        <v>300</v>
      </c>
      <c r="G220" s="162" t="s">
        <v>28</v>
      </c>
      <c r="H220" s="164" t="s">
        <v>226</v>
      </c>
      <c r="I220" s="162">
        <v>19</v>
      </c>
      <c r="J220" s="162">
        <v>6</v>
      </c>
      <c r="K220" s="162">
        <v>6</v>
      </c>
      <c r="L220" s="162" t="s">
        <v>78</v>
      </c>
      <c r="M220" s="162" t="s">
        <v>79</v>
      </c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3"/>
    </row>
    <row r="221" spans="1:25" s="78" customFormat="1" x14ac:dyDescent="0.3">
      <c r="A221" s="161">
        <f t="shared" si="3"/>
        <v>219</v>
      </c>
      <c r="B221" s="162" t="s">
        <v>352</v>
      </c>
      <c r="C221" s="162"/>
      <c r="D221" s="162"/>
      <c r="E221" s="237" t="s">
        <v>353</v>
      </c>
      <c r="F221" s="164" t="s">
        <v>300</v>
      </c>
      <c r="G221" s="162" t="s">
        <v>28</v>
      </c>
      <c r="H221" s="164" t="s">
        <v>226</v>
      </c>
      <c r="I221" s="162">
        <v>19</v>
      </c>
      <c r="J221" s="162">
        <v>6</v>
      </c>
      <c r="K221" s="162">
        <v>7</v>
      </c>
      <c r="L221" s="162" t="s">
        <v>78</v>
      </c>
      <c r="M221" s="162" t="s">
        <v>79</v>
      </c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3"/>
    </row>
    <row r="222" spans="1:25" s="78" customFormat="1" x14ac:dyDescent="0.3">
      <c r="A222" s="161">
        <f t="shared" si="3"/>
        <v>220</v>
      </c>
      <c r="B222" s="162"/>
      <c r="C222" s="162"/>
      <c r="D222" s="162"/>
      <c r="E222" s="237" t="s">
        <v>53</v>
      </c>
      <c r="F222" s="164"/>
      <c r="G222" s="162"/>
      <c r="H222" s="164" t="s">
        <v>226</v>
      </c>
      <c r="I222" s="162">
        <v>19</v>
      </c>
      <c r="J222" s="162">
        <v>6</v>
      </c>
      <c r="K222" s="162">
        <v>8</v>
      </c>
      <c r="L222" s="162" t="s">
        <v>78</v>
      </c>
      <c r="M222" s="162" t="s">
        <v>79</v>
      </c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3"/>
    </row>
    <row r="223" spans="1:25" s="78" customFormat="1" x14ac:dyDescent="0.3">
      <c r="A223" s="161">
        <f t="shared" si="3"/>
        <v>221</v>
      </c>
      <c r="B223" s="162"/>
      <c r="C223" s="162"/>
      <c r="D223" s="162"/>
      <c r="E223" s="237" t="s">
        <v>53</v>
      </c>
      <c r="F223" s="164"/>
      <c r="G223" s="162"/>
      <c r="H223" s="164" t="s">
        <v>226</v>
      </c>
      <c r="I223" s="162">
        <v>19</v>
      </c>
      <c r="J223" s="162">
        <v>6</v>
      </c>
      <c r="K223" s="162">
        <v>9</v>
      </c>
      <c r="L223" s="162" t="s">
        <v>78</v>
      </c>
      <c r="M223" s="162" t="s">
        <v>79</v>
      </c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3"/>
    </row>
    <row r="224" spans="1:25" s="79" customFormat="1" x14ac:dyDescent="0.3">
      <c r="A224" s="161">
        <f t="shared" si="3"/>
        <v>222</v>
      </c>
      <c r="B224" s="162"/>
      <c r="C224" s="162"/>
      <c r="D224" s="162"/>
      <c r="E224" s="237" t="s">
        <v>53</v>
      </c>
      <c r="F224" s="164"/>
      <c r="G224" s="162"/>
      <c r="H224" s="164" t="s">
        <v>226</v>
      </c>
      <c r="I224" s="162">
        <v>19</v>
      </c>
      <c r="J224" s="162">
        <v>6</v>
      </c>
      <c r="K224" s="162">
        <v>10</v>
      </c>
      <c r="L224" s="162" t="s">
        <v>78</v>
      </c>
      <c r="M224" s="162" t="s">
        <v>79</v>
      </c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3"/>
    </row>
    <row r="225" spans="1:25" s="78" customFormat="1" x14ac:dyDescent="0.3">
      <c r="A225" s="161">
        <f t="shared" si="3"/>
        <v>223</v>
      </c>
      <c r="B225" s="162"/>
      <c r="C225" s="162"/>
      <c r="D225" s="162"/>
      <c r="E225" s="237" t="s">
        <v>53</v>
      </c>
      <c r="F225" s="164"/>
      <c r="G225" s="162"/>
      <c r="H225" s="164" t="s">
        <v>226</v>
      </c>
      <c r="I225" s="162">
        <v>19</v>
      </c>
      <c r="J225" s="162">
        <v>6</v>
      </c>
      <c r="K225" s="162">
        <v>11</v>
      </c>
      <c r="L225" s="162" t="s">
        <v>78</v>
      </c>
      <c r="M225" s="162" t="s">
        <v>79</v>
      </c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3"/>
    </row>
    <row r="226" spans="1:25" s="84" customFormat="1" x14ac:dyDescent="0.3">
      <c r="A226" s="161">
        <f t="shared" si="3"/>
        <v>224</v>
      </c>
      <c r="B226" s="162"/>
      <c r="C226" s="162"/>
      <c r="D226" s="162"/>
      <c r="E226" s="237" t="s">
        <v>53</v>
      </c>
      <c r="F226" s="164"/>
      <c r="G226" s="162"/>
      <c r="H226" s="164" t="s">
        <v>226</v>
      </c>
      <c r="I226" s="162">
        <v>19</v>
      </c>
      <c r="J226" s="162">
        <v>6</v>
      </c>
      <c r="K226" s="162">
        <v>12</v>
      </c>
      <c r="L226" s="162" t="s">
        <v>78</v>
      </c>
      <c r="M226" s="162" t="s">
        <v>79</v>
      </c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3"/>
    </row>
    <row r="227" spans="1:25" s="84" customFormat="1" x14ac:dyDescent="0.3">
      <c r="A227" s="161">
        <f t="shared" si="3"/>
        <v>225</v>
      </c>
      <c r="B227" s="162"/>
      <c r="C227" s="162"/>
      <c r="D227" s="162"/>
      <c r="E227" s="237" t="s">
        <v>53</v>
      </c>
      <c r="F227" s="164"/>
      <c r="G227" s="162"/>
      <c r="H227" s="164" t="s">
        <v>226</v>
      </c>
      <c r="I227" s="162">
        <v>19</v>
      </c>
      <c r="J227" s="162">
        <v>6</v>
      </c>
      <c r="K227" s="162">
        <v>13</v>
      </c>
      <c r="L227" s="162" t="s">
        <v>78</v>
      </c>
      <c r="M227" s="162" t="s">
        <v>79</v>
      </c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3"/>
    </row>
    <row r="228" spans="1:25" s="84" customFormat="1" x14ac:dyDescent="0.3">
      <c r="A228" s="161">
        <f t="shared" ref="A228:A283" si="4">ROW()-2</f>
        <v>226</v>
      </c>
      <c r="B228" s="162"/>
      <c r="C228" s="162"/>
      <c r="D228" s="162"/>
      <c r="E228" s="237" t="s">
        <v>53</v>
      </c>
      <c r="F228" s="164"/>
      <c r="G228" s="162"/>
      <c r="H228" s="164" t="s">
        <v>226</v>
      </c>
      <c r="I228" s="162">
        <v>19</v>
      </c>
      <c r="J228" s="162">
        <v>6</v>
      </c>
      <c r="K228" s="162">
        <v>14</v>
      </c>
      <c r="L228" s="162" t="s">
        <v>78</v>
      </c>
      <c r="M228" s="162" t="s">
        <v>79</v>
      </c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3"/>
    </row>
    <row r="229" spans="1:25" s="84" customFormat="1" x14ac:dyDescent="0.3">
      <c r="A229" s="161">
        <f t="shared" si="4"/>
        <v>227</v>
      </c>
      <c r="B229" s="162"/>
      <c r="C229" s="162"/>
      <c r="D229" s="162"/>
      <c r="E229" s="237" t="s">
        <v>53</v>
      </c>
      <c r="F229" s="164"/>
      <c r="G229" s="162"/>
      <c r="H229" s="164" t="s">
        <v>226</v>
      </c>
      <c r="I229" s="162">
        <v>19</v>
      </c>
      <c r="J229" s="162">
        <v>6</v>
      </c>
      <c r="K229" s="162">
        <v>15</v>
      </c>
      <c r="L229" s="162" t="s">
        <v>78</v>
      </c>
      <c r="M229" s="162" t="s">
        <v>79</v>
      </c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3"/>
    </row>
    <row r="230" spans="1:25" s="78" customFormat="1" x14ac:dyDescent="0.3">
      <c r="A230" s="161">
        <f t="shared" si="4"/>
        <v>228</v>
      </c>
      <c r="B230" s="162" t="s">
        <v>354</v>
      </c>
      <c r="C230" s="162"/>
      <c r="D230" s="162"/>
      <c r="E230" s="237" t="s">
        <v>355</v>
      </c>
      <c r="F230" s="164" t="s">
        <v>27</v>
      </c>
      <c r="G230" s="162" t="s">
        <v>28</v>
      </c>
      <c r="H230" s="164" t="s">
        <v>226</v>
      </c>
      <c r="I230" s="162">
        <v>19</v>
      </c>
      <c r="J230" s="162">
        <v>7</v>
      </c>
      <c r="K230" s="162">
        <v>0</v>
      </c>
      <c r="L230" s="162" t="s">
        <v>78</v>
      </c>
      <c r="M230" s="162" t="s">
        <v>79</v>
      </c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3"/>
    </row>
    <row r="231" spans="1:25" s="84" customFormat="1" x14ac:dyDescent="0.3">
      <c r="A231" s="161">
        <f t="shared" si="4"/>
        <v>229</v>
      </c>
      <c r="B231" s="162" t="s">
        <v>356</v>
      </c>
      <c r="C231" s="162"/>
      <c r="D231" s="162"/>
      <c r="E231" s="237" t="s">
        <v>357</v>
      </c>
      <c r="F231" s="164" t="s">
        <v>27</v>
      </c>
      <c r="G231" s="162" t="s">
        <v>28</v>
      </c>
      <c r="H231" s="164" t="s">
        <v>226</v>
      </c>
      <c r="I231" s="162">
        <v>19</v>
      </c>
      <c r="J231" s="162">
        <v>7</v>
      </c>
      <c r="K231" s="162">
        <v>1</v>
      </c>
      <c r="L231" s="162" t="s">
        <v>78</v>
      </c>
      <c r="M231" s="162" t="s">
        <v>79</v>
      </c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3"/>
    </row>
    <row r="232" spans="1:25" s="84" customFormat="1" x14ac:dyDescent="0.3">
      <c r="A232" s="161">
        <f t="shared" si="4"/>
        <v>230</v>
      </c>
      <c r="B232" s="162" t="s">
        <v>358</v>
      </c>
      <c r="C232" s="162"/>
      <c r="D232" s="162"/>
      <c r="E232" s="237" t="s">
        <v>359</v>
      </c>
      <c r="F232" s="164" t="s">
        <v>283</v>
      </c>
      <c r="G232" s="162" t="s">
        <v>28</v>
      </c>
      <c r="H232" s="164" t="s">
        <v>226</v>
      </c>
      <c r="I232" s="162">
        <v>19</v>
      </c>
      <c r="J232" s="162">
        <v>7</v>
      </c>
      <c r="K232" s="162">
        <v>2</v>
      </c>
      <c r="L232" s="162" t="s">
        <v>78</v>
      </c>
      <c r="M232" s="162" t="s">
        <v>79</v>
      </c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3"/>
    </row>
    <row r="233" spans="1:25" s="84" customFormat="1" x14ac:dyDescent="0.3">
      <c r="A233" s="161">
        <f t="shared" si="4"/>
        <v>231</v>
      </c>
      <c r="B233" s="162" t="s">
        <v>360</v>
      </c>
      <c r="C233" s="162"/>
      <c r="D233" s="162"/>
      <c r="E233" s="237" t="s">
        <v>361</v>
      </c>
      <c r="F233" s="164" t="s">
        <v>283</v>
      </c>
      <c r="G233" s="162" t="s">
        <v>28</v>
      </c>
      <c r="H233" s="164" t="s">
        <v>226</v>
      </c>
      <c r="I233" s="162">
        <v>19</v>
      </c>
      <c r="J233" s="162">
        <v>7</v>
      </c>
      <c r="K233" s="162">
        <v>3</v>
      </c>
      <c r="L233" s="162" t="s">
        <v>78</v>
      </c>
      <c r="M233" s="162" t="s">
        <v>79</v>
      </c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3"/>
    </row>
    <row r="234" spans="1:25" s="78" customFormat="1" x14ac:dyDescent="0.3">
      <c r="A234" s="161">
        <f t="shared" si="4"/>
        <v>232</v>
      </c>
      <c r="B234" s="162"/>
      <c r="C234" s="162"/>
      <c r="D234" s="162"/>
      <c r="E234" s="237" t="s">
        <v>53</v>
      </c>
      <c r="F234" s="164"/>
      <c r="G234" s="162"/>
      <c r="H234" s="164" t="s">
        <v>226</v>
      </c>
      <c r="I234" s="162">
        <v>19</v>
      </c>
      <c r="J234" s="162">
        <v>7</v>
      </c>
      <c r="K234" s="162">
        <v>4</v>
      </c>
      <c r="L234" s="162" t="s">
        <v>78</v>
      </c>
      <c r="M234" s="162" t="s">
        <v>79</v>
      </c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3"/>
    </row>
    <row r="235" spans="1:25" s="78" customFormat="1" x14ac:dyDescent="0.3">
      <c r="A235" s="161">
        <f t="shared" si="4"/>
        <v>233</v>
      </c>
      <c r="B235" s="162"/>
      <c r="C235" s="162"/>
      <c r="D235" s="162"/>
      <c r="E235" s="237" t="s">
        <v>53</v>
      </c>
      <c r="F235" s="164"/>
      <c r="G235" s="162"/>
      <c r="H235" s="164" t="s">
        <v>226</v>
      </c>
      <c r="I235" s="162">
        <v>19</v>
      </c>
      <c r="J235" s="162">
        <v>7</v>
      </c>
      <c r="K235" s="162">
        <v>5</v>
      </c>
      <c r="L235" s="162" t="s">
        <v>78</v>
      </c>
      <c r="M235" s="162" t="s">
        <v>79</v>
      </c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3"/>
    </row>
    <row r="236" spans="1:25" s="78" customFormat="1" x14ac:dyDescent="0.3">
      <c r="A236" s="161">
        <f t="shared" si="4"/>
        <v>234</v>
      </c>
      <c r="B236" s="162"/>
      <c r="C236" s="162"/>
      <c r="D236" s="162"/>
      <c r="E236" s="237" t="s">
        <v>53</v>
      </c>
      <c r="F236" s="164"/>
      <c r="G236" s="162"/>
      <c r="H236" s="164" t="s">
        <v>226</v>
      </c>
      <c r="I236" s="162">
        <v>19</v>
      </c>
      <c r="J236" s="162">
        <v>7</v>
      </c>
      <c r="K236" s="162">
        <v>6</v>
      </c>
      <c r="L236" s="162" t="s">
        <v>78</v>
      </c>
      <c r="M236" s="162" t="s">
        <v>79</v>
      </c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3"/>
    </row>
    <row r="237" spans="1:25" s="78" customFormat="1" x14ac:dyDescent="0.3">
      <c r="A237" s="161">
        <f t="shared" si="4"/>
        <v>235</v>
      </c>
      <c r="B237" s="162"/>
      <c r="C237" s="162"/>
      <c r="D237" s="162"/>
      <c r="E237" s="237" t="s">
        <v>53</v>
      </c>
      <c r="F237" s="164"/>
      <c r="G237" s="162"/>
      <c r="H237" s="164" t="s">
        <v>226</v>
      </c>
      <c r="I237" s="162">
        <v>19</v>
      </c>
      <c r="J237" s="162">
        <v>7</v>
      </c>
      <c r="K237" s="162">
        <v>7</v>
      </c>
      <c r="L237" s="162" t="s">
        <v>78</v>
      </c>
      <c r="M237" s="162" t="s">
        <v>79</v>
      </c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3"/>
    </row>
    <row r="238" spans="1:25" s="78" customFormat="1" x14ac:dyDescent="0.3">
      <c r="A238" s="161">
        <f t="shared" si="4"/>
        <v>236</v>
      </c>
      <c r="B238" s="162"/>
      <c r="C238" s="162"/>
      <c r="D238" s="162"/>
      <c r="E238" s="237" t="s">
        <v>53</v>
      </c>
      <c r="F238" s="164"/>
      <c r="G238" s="162"/>
      <c r="H238" s="164" t="s">
        <v>226</v>
      </c>
      <c r="I238" s="162">
        <v>19</v>
      </c>
      <c r="J238" s="162">
        <v>7</v>
      </c>
      <c r="K238" s="162">
        <v>8</v>
      </c>
      <c r="L238" s="162" t="s">
        <v>78</v>
      </c>
      <c r="M238" s="162" t="s">
        <v>79</v>
      </c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3"/>
    </row>
    <row r="239" spans="1:25" s="79" customFormat="1" x14ac:dyDescent="0.3">
      <c r="A239" s="161">
        <f t="shared" si="4"/>
        <v>237</v>
      </c>
      <c r="B239" s="162"/>
      <c r="C239" s="162"/>
      <c r="D239" s="162"/>
      <c r="E239" s="237" t="s">
        <v>53</v>
      </c>
      <c r="F239" s="164"/>
      <c r="G239" s="162"/>
      <c r="H239" s="164" t="s">
        <v>226</v>
      </c>
      <c r="I239" s="162">
        <v>19</v>
      </c>
      <c r="J239" s="162">
        <v>7</v>
      </c>
      <c r="K239" s="162">
        <v>9</v>
      </c>
      <c r="L239" s="162" t="s">
        <v>78</v>
      </c>
      <c r="M239" s="162" t="s">
        <v>79</v>
      </c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3"/>
    </row>
    <row r="240" spans="1:25" s="78" customFormat="1" x14ac:dyDescent="0.3">
      <c r="A240" s="161">
        <f t="shared" si="4"/>
        <v>238</v>
      </c>
      <c r="B240" s="162"/>
      <c r="C240" s="162"/>
      <c r="D240" s="162"/>
      <c r="E240" s="237" t="s">
        <v>53</v>
      </c>
      <c r="F240" s="164"/>
      <c r="G240" s="162"/>
      <c r="H240" s="164" t="s">
        <v>226</v>
      </c>
      <c r="I240" s="162">
        <v>19</v>
      </c>
      <c r="J240" s="162">
        <v>7</v>
      </c>
      <c r="K240" s="162">
        <v>10</v>
      </c>
      <c r="L240" s="162" t="s">
        <v>78</v>
      </c>
      <c r="M240" s="162" t="s">
        <v>79</v>
      </c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3"/>
    </row>
    <row r="241" spans="1:25" s="78" customFormat="1" x14ac:dyDescent="0.3">
      <c r="A241" s="161">
        <f t="shared" si="4"/>
        <v>239</v>
      </c>
      <c r="B241" s="162"/>
      <c r="C241" s="162"/>
      <c r="D241" s="162"/>
      <c r="E241" s="237" t="s">
        <v>53</v>
      </c>
      <c r="F241" s="164"/>
      <c r="G241" s="162"/>
      <c r="H241" s="164" t="s">
        <v>226</v>
      </c>
      <c r="I241" s="162">
        <v>19</v>
      </c>
      <c r="J241" s="162">
        <v>7</v>
      </c>
      <c r="K241" s="162">
        <v>11</v>
      </c>
      <c r="L241" s="162" t="s">
        <v>78</v>
      </c>
      <c r="M241" s="162" t="s">
        <v>79</v>
      </c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3"/>
    </row>
    <row r="242" spans="1:25" s="78" customFormat="1" x14ac:dyDescent="0.3">
      <c r="A242" s="161">
        <f t="shared" si="4"/>
        <v>240</v>
      </c>
      <c r="B242" s="162"/>
      <c r="C242" s="162"/>
      <c r="D242" s="162"/>
      <c r="E242" s="237" t="s">
        <v>53</v>
      </c>
      <c r="F242" s="164"/>
      <c r="G242" s="162"/>
      <c r="H242" s="164" t="s">
        <v>226</v>
      </c>
      <c r="I242" s="162">
        <v>19</v>
      </c>
      <c r="J242" s="162">
        <v>7</v>
      </c>
      <c r="K242" s="162">
        <v>12</v>
      </c>
      <c r="L242" s="162" t="s">
        <v>78</v>
      </c>
      <c r="M242" s="162" t="s">
        <v>79</v>
      </c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3"/>
    </row>
    <row r="243" spans="1:25" s="78" customFormat="1" x14ac:dyDescent="0.3">
      <c r="A243" s="161">
        <f t="shared" si="4"/>
        <v>241</v>
      </c>
      <c r="B243" s="162"/>
      <c r="C243" s="162"/>
      <c r="D243" s="162"/>
      <c r="E243" s="237" t="s">
        <v>53</v>
      </c>
      <c r="F243" s="164"/>
      <c r="G243" s="162"/>
      <c r="H243" s="164" t="s">
        <v>226</v>
      </c>
      <c r="I243" s="162">
        <v>19</v>
      </c>
      <c r="J243" s="162">
        <v>7</v>
      </c>
      <c r="K243" s="162">
        <v>13</v>
      </c>
      <c r="L243" s="162" t="s">
        <v>78</v>
      </c>
      <c r="M243" s="162" t="s">
        <v>79</v>
      </c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3"/>
    </row>
    <row r="244" spans="1:25" s="78" customFormat="1" x14ac:dyDescent="0.3">
      <c r="A244" s="161">
        <f t="shared" si="4"/>
        <v>242</v>
      </c>
      <c r="B244" s="162"/>
      <c r="C244" s="162"/>
      <c r="D244" s="162"/>
      <c r="E244" s="237" t="s">
        <v>53</v>
      </c>
      <c r="F244" s="164"/>
      <c r="G244" s="162"/>
      <c r="H244" s="164" t="s">
        <v>226</v>
      </c>
      <c r="I244" s="162">
        <v>19</v>
      </c>
      <c r="J244" s="162">
        <v>7</v>
      </c>
      <c r="K244" s="162">
        <v>14</v>
      </c>
      <c r="L244" s="162" t="s">
        <v>78</v>
      </c>
      <c r="M244" s="162" t="s">
        <v>79</v>
      </c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3"/>
    </row>
    <row r="245" spans="1:25" s="78" customFormat="1" x14ac:dyDescent="0.3">
      <c r="A245" s="161">
        <f t="shared" si="4"/>
        <v>243</v>
      </c>
      <c r="B245" s="162"/>
      <c r="C245" s="162"/>
      <c r="D245" s="162"/>
      <c r="E245" s="237" t="s">
        <v>53</v>
      </c>
      <c r="F245" s="164"/>
      <c r="G245" s="162"/>
      <c r="H245" s="164" t="s">
        <v>226</v>
      </c>
      <c r="I245" s="162">
        <v>19</v>
      </c>
      <c r="J245" s="162">
        <v>7</v>
      </c>
      <c r="K245" s="162">
        <v>15</v>
      </c>
      <c r="L245" s="162" t="s">
        <v>78</v>
      </c>
      <c r="M245" s="162" t="s">
        <v>79</v>
      </c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3"/>
    </row>
    <row r="246" spans="1:25" s="78" customFormat="1" x14ac:dyDescent="0.3">
      <c r="A246" s="161">
        <f t="shared" si="4"/>
        <v>244</v>
      </c>
      <c r="B246" s="162"/>
      <c r="C246" s="162"/>
      <c r="D246" s="162"/>
      <c r="E246" s="237" t="s">
        <v>108</v>
      </c>
      <c r="F246" s="164"/>
      <c r="G246" s="162"/>
      <c r="H246" s="164" t="s">
        <v>226</v>
      </c>
      <c r="I246" s="162">
        <v>19</v>
      </c>
      <c r="J246" s="162">
        <v>8</v>
      </c>
      <c r="K246" s="162">
        <v>0</v>
      </c>
      <c r="L246" s="162" t="s">
        <v>109</v>
      </c>
      <c r="M246" s="162" t="s">
        <v>110</v>
      </c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3"/>
    </row>
    <row r="247" spans="1:25" s="79" customFormat="1" x14ac:dyDescent="0.3">
      <c r="A247" s="161">
        <f t="shared" si="4"/>
        <v>245</v>
      </c>
      <c r="B247" s="162" t="s">
        <v>147</v>
      </c>
      <c r="C247" s="162"/>
      <c r="D247" s="162"/>
      <c r="E247" s="237" t="s">
        <v>362</v>
      </c>
      <c r="F247" s="164" t="s">
        <v>300</v>
      </c>
      <c r="G247" s="162" t="s">
        <v>28</v>
      </c>
      <c r="H247" s="164" t="s">
        <v>226</v>
      </c>
      <c r="I247" s="162">
        <v>19</v>
      </c>
      <c r="J247" s="162">
        <v>9</v>
      </c>
      <c r="K247" s="162">
        <v>0</v>
      </c>
      <c r="L247" s="162" t="s">
        <v>113</v>
      </c>
      <c r="M247" s="162" t="s">
        <v>114</v>
      </c>
      <c r="N247" s="164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238" t="s">
        <v>147</v>
      </c>
    </row>
    <row r="248" spans="1:25" s="78" customFormat="1" x14ac:dyDescent="0.3">
      <c r="A248" s="161">
        <f t="shared" si="4"/>
        <v>246</v>
      </c>
      <c r="B248" s="162" t="s">
        <v>363</v>
      </c>
      <c r="C248" s="162"/>
      <c r="D248" s="162"/>
      <c r="E248" s="237" t="s">
        <v>364</v>
      </c>
      <c r="F248" s="164" t="s">
        <v>300</v>
      </c>
      <c r="G248" s="162" t="s">
        <v>28</v>
      </c>
      <c r="H248" s="164" t="s">
        <v>226</v>
      </c>
      <c r="I248" s="162">
        <v>19</v>
      </c>
      <c r="J248" s="162">
        <v>9</v>
      </c>
      <c r="K248" s="162">
        <v>1</v>
      </c>
      <c r="L248" s="162" t="s">
        <v>113</v>
      </c>
      <c r="M248" s="162" t="s">
        <v>114</v>
      </c>
      <c r="N248" s="164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238" t="s">
        <v>123</v>
      </c>
    </row>
    <row r="249" spans="1:25" s="78" customFormat="1" x14ac:dyDescent="0.3">
      <c r="A249" s="161">
        <f t="shared" si="4"/>
        <v>247</v>
      </c>
      <c r="B249" s="162" t="s">
        <v>365</v>
      </c>
      <c r="C249" s="162"/>
      <c r="D249" s="162"/>
      <c r="E249" s="237" t="s">
        <v>366</v>
      </c>
      <c r="F249" s="164" t="s">
        <v>300</v>
      </c>
      <c r="G249" s="162" t="s">
        <v>28</v>
      </c>
      <c r="H249" s="164" t="s">
        <v>226</v>
      </c>
      <c r="I249" s="162">
        <v>19</v>
      </c>
      <c r="J249" s="162">
        <v>9</v>
      </c>
      <c r="K249" s="162">
        <v>2</v>
      </c>
      <c r="L249" s="162" t="s">
        <v>113</v>
      </c>
      <c r="M249" s="162" t="s">
        <v>114</v>
      </c>
      <c r="N249" s="164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238" t="s">
        <v>138</v>
      </c>
    </row>
    <row r="250" spans="1:25" s="78" customFormat="1" x14ac:dyDescent="0.3">
      <c r="A250" s="161">
        <f t="shared" si="4"/>
        <v>248</v>
      </c>
      <c r="B250" s="162" t="s">
        <v>367</v>
      </c>
      <c r="C250" s="162"/>
      <c r="D250" s="162"/>
      <c r="E250" s="237" t="s">
        <v>368</v>
      </c>
      <c r="F250" s="164" t="s">
        <v>300</v>
      </c>
      <c r="G250" s="162" t="s">
        <v>28</v>
      </c>
      <c r="H250" s="164" t="s">
        <v>226</v>
      </c>
      <c r="I250" s="162">
        <v>19</v>
      </c>
      <c r="J250" s="162">
        <v>9</v>
      </c>
      <c r="K250" s="162">
        <v>3</v>
      </c>
      <c r="L250" s="162" t="s">
        <v>113</v>
      </c>
      <c r="M250" s="162" t="s">
        <v>114</v>
      </c>
      <c r="N250" s="164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238" t="s">
        <v>126</v>
      </c>
    </row>
    <row r="251" spans="1:25" s="78" customFormat="1" x14ac:dyDescent="0.3">
      <c r="A251" s="161">
        <f t="shared" si="4"/>
        <v>249</v>
      </c>
      <c r="B251" s="162" t="s">
        <v>369</v>
      </c>
      <c r="C251" s="162"/>
      <c r="D251" s="162"/>
      <c r="E251" s="237" t="s">
        <v>370</v>
      </c>
      <c r="F251" s="164" t="s">
        <v>300</v>
      </c>
      <c r="G251" s="162" t="s">
        <v>28</v>
      </c>
      <c r="H251" s="164" t="s">
        <v>226</v>
      </c>
      <c r="I251" s="162">
        <v>19</v>
      </c>
      <c r="J251" s="162">
        <v>9</v>
      </c>
      <c r="K251" s="162">
        <v>4</v>
      </c>
      <c r="L251" s="162" t="s">
        <v>113</v>
      </c>
      <c r="M251" s="162" t="s">
        <v>114</v>
      </c>
      <c r="N251" s="164" t="s">
        <v>371</v>
      </c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238" t="s">
        <v>372</v>
      </c>
    </row>
    <row r="252" spans="1:25" s="78" customFormat="1" x14ac:dyDescent="0.3">
      <c r="A252" s="161">
        <f t="shared" si="4"/>
        <v>250</v>
      </c>
      <c r="B252" s="162" t="s">
        <v>373</v>
      </c>
      <c r="C252" s="162"/>
      <c r="D252" s="162"/>
      <c r="E252" s="237" t="s">
        <v>374</v>
      </c>
      <c r="F252" s="164" t="s">
        <v>300</v>
      </c>
      <c r="G252" s="162" t="s">
        <v>28</v>
      </c>
      <c r="H252" s="164" t="s">
        <v>226</v>
      </c>
      <c r="I252" s="162">
        <v>19</v>
      </c>
      <c r="J252" s="162">
        <v>9</v>
      </c>
      <c r="K252" s="162">
        <v>5</v>
      </c>
      <c r="L252" s="162" t="s">
        <v>113</v>
      </c>
      <c r="M252" s="162" t="s">
        <v>114</v>
      </c>
      <c r="N252" s="164" t="s">
        <v>371</v>
      </c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238" t="s">
        <v>375</v>
      </c>
    </row>
    <row r="253" spans="1:25" s="78" customFormat="1" x14ac:dyDescent="0.3">
      <c r="A253" s="161">
        <f t="shared" si="4"/>
        <v>251</v>
      </c>
      <c r="B253" s="162" t="s">
        <v>376</v>
      </c>
      <c r="C253" s="162"/>
      <c r="D253" s="162"/>
      <c r="E253" s="237" t="s">
        <v>377</v>
      </c>
      <c r="F253" s="164" t="s">
        <v>300</v>
      </c>
      <c r="G253" s="162" t="s">
        <v>28</v>
      </c>
      <c r="H253" s="164" t="s">
        <v>226</v>
      </c>
      <c r="I253" s="162">
        <v>19</v>
      </c>
      <c r="J253" s="162">
        <v>9</v>
      </c>
      <c r="K253" s="162">
        <v>6</v>
      </c>
      <c r="L253" s="162" t="s">
        <v>113</v>
      </c>
      <c r="M253" s="162" t="s">
        <v>114</v>
      </c>
      <c r="N253" s="164" t="s">
        <v>371</v>
      </c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238" t="s">
        <v>126</v>
      </c>
    </row>
    <row r="254" spans="1:25" s="78" customFormat="1" x14ac:dyDescent="0.3">
      <c r="A254" s="161">
        <f t="shared" si="4"/>
        <v>252</v>
      </c>
      <c r="B254" s="162"/>
      <c r="C254" s="162"/>
      <c r="D254" s="162"/>
      <c r="E254" s="237" t="s">
        <v>53</v>
      </c>
      <c r="F254" s="164"/>
      <c r="G254" s="162"/>
      <c r="H254" s="164" t="s">
        <v>226</v>
      </c>
      <c r="I254" s="162">
        <v>19</v>
      </c>
      <c r="J254" s="162">
        <v>9</v>
      </c>
      <c r="K254" s="162">
        <v>7</v>
      </c>
      <c r="L254" s="162" t="s">
        <v>113</v>
      </c>
      <c r="M254" s="162" t="s">
        <v>114</v>
      </c>
      <c r="N254" s="164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3"/>
    </row>
    <row r="255" spans="1:25" s="78" customFormat="1" x14ac:dyDescent="0.3">
      <c r="A255" s="161">
        <f t="shared" si="4"/>
        <v>253</v>
      </c>
      <c r="B255" s="162" t="s">
        <v>378</v>
      </c>
      <c r="C255" s="162"/>
      <c r="D255" s="162"/>
      <c r="E255" s="237" t="s">
        <v>379</v>
      </c>
      <c r="F255" s="164" t="s">
        <v>283</v>
      </c>
      <c r="G255" s="162" t="s">
        <v>380</v>
      </c>
      <c r="H255" s="164" t="s">
        <v>226</v>
      </c>
      <c r="I255" s="162">
        <v>19</v>
      </c>
      <c r="J255" s="162">
        <v>10</v>
      </c>
      <c r="K255" s="162">
        <v>0</v>
      </c>
      <c r="L255" s="162" t="s">
        <v>113</v>
      </c>
      <c r="M255" s="162" t="s">
        <v>114</v>
      </c>
      <c r="N255" s="164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3"/>
    </row>
    <row r="256" spans="1:25" s="79" customFormat="1" x14ac:dyDescent="0.3">
      <c r="A256" s="161">
        <f t="shared" si="4"/>
        <v>254</v>
      </c>
      <c r="B256" s="162" t="s">
        <v>381</v>
      </c>
      <c r="C256" s="162"/>
      <c r="D256" s="162"/>
      <c r="E256" s="237" t="s">
        <v>382</v>
      </c>
      <c r="F256" s="164" t="s">
        <v>283</v>
      </c>
      <c r="G256" s="162" t="s">
        <v>380</v>
      </c>
      <c r="H256" s="164" t="s">
        <v>226</v>
      </c>
      <c r="I256" s="162">
        <v>19</v>
      </c>
      <c r="J256" s="162">
        <v>10</v>
      </c>
      <c r="K256" s="162">
        <v>1</v>
      </c>
      <c r="L256" s="162" t="s">
        <v>113</v>
      </c>
      <c r="M256" s="162" t="s">
        <v>114</v>
      </c>
      <c r="N256" s="164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3"/>
    </row>
    <row r="257" spans="1:25" s="78" customFormat="1" x14ac:dyDescent="0.3">
      <c r="A257" s="161">
        <f t="shared" si="4"/>
        <v>255</v>
      </c>
      <c r="B257" s="162" t="s">
        <v>383</v>
      </c>
      <c r="C257" s="162"/>
      <c r="D257" s="162"/>
      <c r="E257" s="237" t="s">
        <v>384</v>
      </c>
      <c r="F257" s="164" t="s">
        <v>385</v>
      </c>
      <c r="G257" s="162" t="s">
        <v>380</v>
      </c>
      <c r="H257" s="164" t="s">
        <v>226</v>
      </c>
      <c r="I257" s="162">
        <v>19</v>
      </c>
      <c r="J257" s="162">
        <v>10</v>
      </c>
      <c r="K257" s="162">
        <v>2</v>
      </c>
      <c r="L257" s="162" t="s">
        <v>113</v>
      </c>
      <c r="M257" s="162" t="s">
        <v>114</v>
      </c>
      <c r="N257" s="164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3"/>
    </row>
    <row r="258" spans="1:25" s="78" customFormat="1" x14ac:dyDescent="0.3">
      <c r="A258" s="161">
        <f t="shared" si="4"/>
        <v>256</v>
      </c>
      <c r="B258" s="162"/>
      <c r="C258" s="162"/>
      <c r="D258" s="162"/>
      <c r="E258" s="237" t="s">
        <v>53</v>
      </c>
      <c r="F258" s="164"/>
      <c r="G258" s="162"/>
      <c r="H258" s="164" t="s">
        <v>226</v>
      </c>
      <c r="I258" s="162">
        <v>19</v>
      </c>
      <c r="J258" s="162">
        <v>10</v>
      </c>
      <c r="K258" s="162">
        <v>3</v>
      </c>
      <c r="L258" s="162" t="s">
        <v>113</v>
      </c>
      <c r="M258" s="162" t="s">
        <v>114</v>
      </c>
      <c r="N258" s="164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3"/>
    </row>
    <row r="259" spans="1:25" s="78" customFormat="1" x14ac:dyDescent="0.3">
      <c r="A259" s="161">
        <f t="shared" si="4"/>
        <v>257</v>
      </c>
      <c r="B259" s="162"/>
      <c r="C259" s="162"/>
      <c r="D259" s="162"/>
      <c r="E259" s="237" t="s">
        <v>53</v>
      </c>
      <c r="F259" s="164"/>
      <c r="G259" s="162"/>
      <c r="H259" s="164" t="s">
        <v>226</v>
      </c>
      <c r="I259" s="162">
        <v>19</v>
      </c>
      <c r="J259" s="162">
        <v>10</v>
      </c>
      <c r="K259" s="162">
        <v>4</v>
      </c>
      <c r="L259" s="162" t="s">
        <v>113</v>
      </c>
      <c r="M259" s="162" t="s">
        <v>114</v>
      </c>
      <c r="N259" s="164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3"/>
    </row>
    <row r="260" spans="1:25" s="78" customFormat="1" x14ac:dyDescent="0.3">
      <c r="A260" s="161">
        <f t="shared" si="4"/>
        <v>258</v>
      </c>
      <c r="B260" s="162"/>
      <c r="C260" s="162"/>
      <c r="D260" s="162"/>
      <c r="E260" s="237" t="s">
        <v>53</v>
      </c>
      <c r="F260" s="164"/>
      <c r="G260" s="162"/>
      <c r="H260" s="164" t="s">
        <v>226</v>
      </c>
      <c r="I260" s="162">
        <v>19</v>
      </c>
      <c r="J260" s="162">
        <v>10</v>
      </c>
      <c r="K260" s="162">
        <v>5</v>
      </c>
      <c r="L260" s="162" t="s">
        <v>113</v>
      </c>
      <c r="M260" s="162" t="s">
        <v>114</v>
      </c>
      <c r="N260" s="164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3"/>
    </row>
    <row r="261" spans="1:25" s="78" customFormat="1" x14ac:dyDescent="0.3">
      <c r="A261" s="161">
        <f t="shared" si="4"/>
        <v>259</v>
      </c>
      <c r="B261" s="162"/>
      <c r="C261" s="162"/>
      <c r="D261" s="162"/>
      <c r="E261" s="237" t="s">
        <v>53</v>
      </c>
      <c r="F261" s="164"/>
      <c r="G261" s="162"/>
      <c r="H261" s="164" t="s">
        <v>226</v>
      </c>
      <c r="I261" s="162">
        <v>19</v>
      </c>
      <c r="J261" s="162">
        <v>10</v>
      </c>
      <c r="K261" s="162">
        <v>6</v>
      </c>
      <c r="L261" s="162" t="s">
        <v>113</v>
      </c>
      <c r="M261" s="162" t="s">
        <v>114</v>
      </c>
      <c r="N261" s="164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3"/>
    </row>
    <row r="262" spans="1:25" s="78" customFormat="1" x14ac:dyDescent="0.3">
      <c r="A262" s="161">
        <f t="shared" si="4"/>
        <v>260</v>
      </c>
      <c r="B262" s="162"/>
      <c r="C262" s="162"/>
      <c r="D262" s="162"/>
      <c r="E262" s="237" t="s">
        <v>53</v>
      </c>
      <c r="F262" s="164"/>
      <c r="G262" s="162"/>
      <c r="H262" s="164" t="s">
        <v>226</v>
      </c>
      <c r="I262" s="162">
        <v>19</v>
      </c>
      <c r="J262" s="162">
        <v>10</v>
      </c>
      <c r="K262" s="162">
        <v>7</v>
      </c>
      <c r="L262" s="162" t="s">
        <v>113</v>
      </c>
      <c r="M262" s="162" t="s">
        <v>114</v>
      </c>
      <c r="N262" s="164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3"/>
    </row>
    <row r="263" spans="1:25" s="78" customFormat="1" x14ac:dyDescent="0.3">
      <c r="A263" s="161">
        <f t="shared" si="4"/>
        <v>261</v>
      </c>
      <c r="B263" s="162" t="s">
        <v>386</v>
      </c>
      <c r="C263" s="162"/>
      <c r="D263" s="162"/>
      <c r="E263" s="237" t="s">
        <v>387</v>
      </c>
      <c r="F263" s="164" t="s">
        <v>27</v>
      </c>
      <c r="G263" s="162" t="s">
        <v>28</v>
      </c>
      <c r="H263" s="164" t="s">
        <v>226</v>
      </c>
      <c r="I263" s="162">
        <v>19</v>
      </c>
      <c r="J263" s="162">
        <v>11</v>
      </c>
      <c r="K263" s="162">
        <v>0</v>
      </c>
      <c r="L263" s="162" t="s">
        <v>113</v>
      </c>
      <c r="M263" s="162" t="s">
        <v>114</v>
      </c>
      <c r="N263" s="164" t="s">
        <v>157</v>
      </c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3"/>
    </row>
    <row r="264" spans="1:25" s="79" customFormat="1" x14ac:dyDescent="0.3">
      <c r="A264" s="161">
        <f t="shared" si="4"/>
        <v>262</v>
      </c>
      <c r="B264" s="162" t="s">
        <v>388</v>
      </c>
      <c r="C264" s="162"/>
      <c r="D264" s="162"/>
      <c r="E264" s="237" t="s">
        <v>389</v>
      </c>
      <c r="F264" s="164" t="s">
        <v>27</v>
      </c>
      <c r="G264" s="162" t="s">
        <v>28</v>
      </c>
      <c r="H264" s="164" t="s">
        <v>226</v>
      </c>
      <c r="I264" s="162">
        <v>19</v>
      </c>
      <c r="J264" s="162">
        <v>11</v>
      </c>
      <c r="K264" s="162">
        <v>1</v>
      </c>
      <c r="L264" s="162" t="s">
        <v>113</v>
      </c>
      <c r="M264" s="162" t="s">
        <v>114</v>
      </c>
      <c r="N264" s="164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3"/>
    </row>
    <row r="265" spans="1:25" s="78" customFormat="1" x14ac:dyDescent="0.3">
      <c r="A265" s="161">
        <f t="shared" si="4"/>
        <v>263</v>
      </c>
      <c r="B265" s="162" t="s">
        <v>390</v>
      </c>
      <c r="C265" s="162"/>
      <c r="D265" s="162"/>
      <c r="E265" s="237" t="s">
        <v>391</v>
      </c>
      <c r="F265" s="164" t="s">
        <v>392</v>
      </c>
      <c r="G265" s="162" t="s">
        <v>28</v>
      </c>
      <c r="H265" s="164" t="s">
        <v>226</v>
      </c>
      <c r="I265" s="162">
        <v>19</v>
      </c>
      <c r="J265" s="162">
        <v>11</v>
      </c>
      <c r="K265" s="162">
        <v>2</v>
      </c>
      <c r="L265" s="162" t="s">
        <v>113</v>
      </c>
      <c r="M265" s="162" t="s">
        <v>114</v>
      </c>
      <c r="N265" s="164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3"/>
    </row>
    <row r="266" spans="1:25" s="78" customFormat="1" x14ac:dyDescent="0.3">
      <c r="A266" s="161">
        <f t="shared" si="4"/>
        <v>264</v>
      </c>
      <c r="B266" s="162"/>
      <c r="C266" s="162"/>
      <c r="D266" s="162"/>
      <c r="E266" s="237" t="s">
        <v>53</v>
      </c>
      <c r="F266" s="164"/>
      <c r="G266" s="162"/>
      <c r="H266" s="164" t="s">
        <v>226</v>
      </c>
      <c r="I266" s="162">
        <v>19</v>
      </c>
      <c r="J266" s="162">
        <v>11</v>
      </c>
      <c r="K266" s="162">
        <v>3</v>
      </c>
      <c r="L266" s="162" t="s">
        <v>113</v>
      </c>
      <c r="M266" s="162" t="s">
        <v>114</v>
      </c>
      <c r="N266" s="164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3"/>
    </row>
    <row r="267" spans="1:25" s="78" customFormat="1" x14ac:dyDescent="0.3">
      <c r="A267" s="161">
        <f t="shared" si="4"/>
        <v>265</v>
      </c>
      <c r="B267" s="162"/>
      <c r="C267" s="162"/>
      <c r="D267" s="162"/>
      <c r="E267" s="237" t="s">
        <v>53</v>
      </c>
      <c r="F267" s="164"/>
      <c r="G267" s="162"/>
      <c r="H267" s="164" t="s">
        <v>226</v>
      </c>
      <c r="I267" s="162">
        <v>19</v>
      </c>
      <c r="J267" s="162">
        <v>11</v>
      </c>
      <c r="K267" s="162">
        <v>4</v>
      </c>
      <c r="L267" s="162" t="s">
        <v>113</v>
      </c>
      <c r="M267" s="162" t="s">
        <v>114</v>
      </c>
      <c r="N267" s="164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3"/>
    </row>
    <row r="268" spans="1:25" s="78" customFormat="1" x14ac:dyDescent="0.3">
      <c r="A268" s="161">
        <f t="shared" si="4"/>
        <v>266</v>
      </c>
      <c r="B268" s="162"/>
      <c r="C268" s="162"/>
      <c r="D268" s="162"/>
      <c r="E268" s="237" t="s">
        <v>53</v>
      </c>
      <c r="F268" s="164"/>
      <c r="G268" s="162"/>
      <c r="H268" s="164" t="s">
        <v>226</v>
      </c>
      <c r="I268" s="162">
        <v>19</v>
      </c>
      <c r="J268" s="162">
        <v>11</v>
      </c>
      <c r="K268" s="162">
        <v>5</v>
      </c>
      <c r="L268" s="162" t="s">
        <v>113</v>
      </c>
      <c r="M268" s="162" t="s">
        <v>114</v>
      </c>
      <c r="N268" s="164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3"/>
    </row>
    <row r="269" spans="1:25" s="78" customFormat="1" x14ac:dyDescent="0.3">
      <c r="A269" s="161">
        <f t="shared" si="4"/>
        <v>267</v>
      </c>
      <c r="B269" s="162"/>
      <c r="C269" s="162"/>
      <c r="D269" s="162"/>
      <c r="E269" s="237" t="s">
        <v>53</v>
      </c>
      <c r="F269" s="164"/>
      <c r="G269" s="162"/>
      <c r="H269" s="164" t="s">
        <v>226</v>
      </c>
      <c r="I269" s="162">
        <v>19</v>
      </c>
      <c r="J269" s="162">
        <v>11</v>
      </c>
      <c r="K269" s="162">
        <v>6</v>
      </c>
      <c r="L269" s="162" t="s">
        <v>113</v>
      </c>
      <c r="M269" s="162" t="s">
        <v>114</v>
      </c>
      <c r="N269" s="164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3"/>
    </row>
    <row r="270" spans="1:25" s="78" customFormat="1" x14ac:dyDescent="0.3">
      <c r="A270" s="161">
        <f t="shared" si="4"/>
        <v>268</v>
      </c>
      <c r="B270" s="162"/>
      <c r="C270" s="162"/>
      <c r="D270" s="162"/>
      <c r="E270" s="237" t="s">
        <v>53</v>
      </c>
      <c r="F270" s="164"/>
      <c r="G270" s="162"/>
      <c r="H270" s="164" t="s">
        <v>226</v>
      </c>
      <c r="I270" s="162">
        <v>19</v>
      </c>
      <c r="J270" s="162">
        <v>11</v>
      </c>
      <c r="K270" s="162">
        <v>7</v>
      </c>
      <c r="L270" s="162" t="s">
        <v>113</v>
      </c>
      <c r="M270" s="162" t="s">
        <v>114</v>
      </c>
      <c r="N270" s="164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3"/>
    </row>
    <row r="271" spans="1:25" s="78" customFormat="1" x14ac:dyDescent="0.3">
      <c r="A271" s="161">
        <f t="shared" si="4"/>
        <v>269</v>
      </c>
      <c r="B271" s="162"/>
      <c r="C271" s="162"/>
      <c r="D271" s="162"/>
      <c r="E271" s="237" t="s">
        <v>108</v>
      </c>
      <c r="F271" s="164"/>
      <c r="G271" s="162"/>
      <c r="H271" s="164" t="s">
        <v>226</v>
      </c>
      <c r="I271" s="162">
        <v>19</v>
      </c>
      <c r="J271" s="162">
        <v>12</v>
      </c>
      <c r="K271" s="162">
        <v>0</v>
      </c>
      <c r="L271" s="162" t="s">
        <v>109</v>
      </c>
      <c r="M271" s="162" t="s">
        <v>110</v>
      </c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3"/>
    </row>
    <row r="272" spans="1:25" s="78" customFormat="1" x14ac:dyDescent="0.3">
      <c r="A272" s="161">
        <f t="shared" si="4"/>
        <v>270</v>
      </c>
      <c r="B272" s="162" t="s">
        <v>393</v>
      </c>
      <c r="C272" s="162"/>
      <c r="D272" s="162"/>
      <c r="E272" s="237" t="s">
        <v>394</v>
      </c>
      <c r="F272" s="164" t="s">
        <v>283</v>
      </c>
      <c r="G272" s="162" t="s">
        <v>28</v>
      </c>
      <c r="H272" s="164" t="s">
        <v>226</v>
      </c>
      <c r="I272" s="162">
        <v>19</v>
      </c>
      <c r="J272" s="162">
        <v>13</v>
      </c>
      <c r="K272" s="162">
        <v>0</v>
      </c>
      <c r="L272" s="162" t="s">
        <v>177</v>
      </c>
      <c r="M272" s="162" t="s">
        <v>178</v>
      </c>
      <c r="N272" s="164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3"/>
    </row>
    <row r="273" spans="1:25" s="78" customFormat="1" x14ac:dyDescent="0.3">
      <c r="A273" s="161">
        <f t="shared" si="4"/>
        <v>271</v>
      </c>
      <c r="B273" s="162" t="s">
        <v>395</v>
      </c>
      <c r="C273" s="162"/>
      <c r="D273" s="162"/>
      <c r="E273" s="237" t="s">
        <v>396</v>
      </c>
      <c r="F273" s="164" t="s">
        <v>283</v>
      </c>
      <c r="G273" s="162" t="s">
        <v>28</v>
      </c>
      <c r="H273" s="164" t="s">
        <v>226</v>
      </c>
      <c r="I273" s="162">
        <v>19</v>
      </c>
      <c r="J273" s="162">
        <v>13</v>
      </c>
      <c r="K273" s="162">
        <v>1</v>
      </c>
      <c r="L273" s="162" t="s">
        <v>177</v>
      </c>
      <c r="M273" s="162" t="s">
        <v>178</v>
      </c>
      <c r="N273" s="164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3"/>
    </row>
    <row r="274" spans="1:25" s="78" customFormat="1" x14ac:dyDescent="0.3">
      <c r="A274" s="161">
        <f t="shared" si="4"/>
        <v>272</v>
      </c>
      <c r="B274" s="162" t="s">
        <v>397</v>
      </c>
      <c r="C274" s="239"/>
      <c r="D274" s="162"/>
      <c r="E274" s="237" t="s">
        <v>398</v>
      </c>
      <c r="F274" s="164" t="s">
        <v>300</v>
      </c>
      <c r="G274" s="162" t="s">
        <v>28</v>
      </c>
      <c r="H274" s="164" t="s">
        <v>226</v>
      </c>
      <c r="I274" s="162">
        <v>19</v>
      </c>
      <c r="J274" s="162">
        <v>13</v>
      </c>
      <c r="K274" s="162">
        <v>2</v>
      </c>
      <c r="L274" s="162" t="s">
        <v>177</v>
      </c>
      <c r="M274" s="162" t="s">
        <v>178</v>
      </c>
      <c r="N274" s="164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3"/>
    </row>
    <row r="275" spans="1:25" s="78" customFormat="1" x14ac:dyDescent="0.3">
      <c r="A275" s="161">
        <f t="shared" si="4"/>
        <v>273</v>
      </c>
      <c r="B275" s="162" t="s">
        <v>399</v>
      </c>
      <c r="C275" s="162"/>
      <c r="D275" s="162"/>
      <c r="E275" s="237" t="s">
        <v>400</v>
      </c>
      <c r="F275" s="164" t="s">
        <v>392</v>
      </c>
      <c r="G275" s="162" t="s">
        <v>28</v>
      </c>
      <c r="H275" s="164" t="s">
        <v>226</v>
      </c>
      <c r="I275" s="162">
        <v>19</v>
      </c>
      <c r="J275" s="162">
        <v>13</v>
      </c>
      <c r="K275" s="162">
        <v>3</v>
      </c>
      <c r="L275" s="162" t="s">
        <v>177</v>
      </c>
      <c r="M275" s="162" t="s">
        <v>178</v>
      </c>
      <c r="N275" s="164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3"/>
    </row>
    <row r="276" spans="1:25" s="78" customFormat="1" x14ac:dyDescent="0.3">
      <c r="A276" s="161">
        <f t="shared" si="4"/>
        <v>274</v>
      </c>
      <c r="B276" s="162"/>
      <c r="C276" s="162"/>
      <c r="D276" s="162"/>
      <c r="E276" s="237" t="s">
        <v>53</v>
      </c>
      <c r="F276" s="164"/>
      <c r="G276" s="162"/>
      <c r="H276" s="164" t="s">
        <v>226</v>
      </c>
      <c r="I276" s="162">
        <v>19</v>
      </c>
      <c r="J276" s="162">
        <v>13</v>
      </c>
      <c r="K276" s="162">
        <v>4</v>
      </c>
      <c r="L276" s="162" t="s">
        <v>177</v>
      </c>
      <c r="M276" s="162" t="s">
        <v>178</v>
      </c>
      <c r="N276" s="164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3"/>
    </row>
    <row r="277" spans="1:25" s="78" customFormat="1" x14ac:dyDescent="0.3">
      <c r="A277" s="161">
        <f t="shared" si="4"/>
        <v>275</v>
      </c>
      <c r="B277" s="162"/>
      <c r="C277" s="162"/>
      <c r="D277" s="162"/>
      <c r="E277" s="237" t="s">
        <v>53</v>
      </c>
      <c r="F277" s="164"/>
      <c r="G277" s="162"/>
      <c r="H277" s="164" t="s">
        <v>226</v>
      </c>
      <c r="I277" s="162">
        <v>19</v>
      </c>
      <c r="J277" s="162">
        <v>13</v>
      </c>
      <c r="K277" s="162">
        <v>5</v>
      </c>
      <c r="L277" s="162" t="s">
        <v>177</v>
      </c>
      <c r="M277" s="162" t="s">
        <v>178</v>
      </c>
      <c r="N277" s="164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3"/>
    </row>
    <row r="278" spans="1:25" s="78" customFormat="1" x14ac:dyDescent="0.3">
      <c r="A278" s="161">
        <f t="shared" si="4"/>
        <v>276</v>
      </c>
      <c r="B278" s="162"/>
      <c r="C278" s="162"/>
      <c r="D278" s="162"/>
      <c r="E278" s="237" t="s">
        <v>53</v>
      </c>
      <c r="F278" s="164"/>
      <c r="G278" s="162"/>
      <c r="H278" s="164" t="s">
        <v>226</v>
      </c>
      <c r="I278" s="162">
        <v>19</v>
      </c>
      <c r="J278" s="162">
        <v>13</v>
      </c>
      <c r="K278" s="162">
        <v>6</v>
      </c>
      <c r="L278" s="162" t="s">
        <v>177</v>
      </c>
      <c r="M278" s="162" t="s">
        <v>178</v>
      </c>
      <c r="N278" s="164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3"/>
    </row>
    <row r="279" spans="1:25" s="78" customFormat="1" x14ac:dyDescent="0.3">
      <c r="A279" s="161">
        <f t="shared" si="4"/>
        <v>277</v>
      </c>
      <c r="B279" s="162"/>
      <c r="C279" s="162"/>
      <c r="D279" s="162"/>
      <c r="E279" s="237" t="s">
        <v>53</v>
      </c>
      <c r="F279" s="164"/>
      <c r="G279" s="162"/>
      <c r="H279" s="164" t="s">
        <v>226</v>
      </c>
      <c r="I279" s="162">
        <v>19</v>
      </c>
      <c r="J279" s="162">
        <v>13</v>
      </c>
      <c r="K279" s="162">
        <v>7</v>
      </c>
      <c r="L279" s="162" t="s">
        <v>177</v>
      </c>
      <c r="M279" s="162" t="s">
        <v>178</v>
      </c>
      <c r="N279" s="164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3"/>
    </row>
    <row r="280" spans="1:25" s="78" customFormat="1" x14ac:dyDescent="0.3">
      <c r="A280" s="161">
        <f t="shared" si="4"/>
        <v>278</v>
      </c>
      <c r="B280" s="162" t="s">
        <v>401</v>
      </c>
      <c r="C280" s="162"/>
      <c r="D280" s="162"/>
      <c r="E280" s="237" t="s">
        <v>402</v>
      </c>
      <c r="F280" s="164" t="s">
        <v>300</v>
      </c>
      <c r="G280" s="162" t="s">
        <v>28</v>
      </c>
      <c r="H280" s="164" t="s">
        <v>226</v>
      </c>
      <c r="I280" s="162">
        <v>19</v>
      </c>
      <c r="J280" s="162">
        <v>14</v>
      </c>
      <c r="K280" s="162">
        <v>0</v>
      </c>
      <c r="L280" s="162" t="s">
        <v>403</v>
      </c>
      <c r="M280" s="162" t="s">
        <v>404</v>
      </c>
      <c r="N280" s="164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3"/>
    </row>
    <row r="281" spans="1:25" s="78" customFormat="1" x14ac:dyDescent="0.3">
      <c r="A281" s="161">
        <f t="shared" si="4"/>
        <v>279</v>
      </c>
      <c r="B281" s="162"/>
      <c r="C281" s="162"/>
      <c r="D281" s="162"/>
      <c r="E281" s="237" t="s">
        <v>53</v>
      </c>
      <c r="F281" s="164"/>
      <c r="G281" s="162"/>
      <c r="H281" s="164" t="s">
        <v>226</v>
      </c>
      <c r="I281" s="162">
        <v>19</v>
      </c>
      <c r="J281" s="162">
        <v>14</v>
      </c>
      <c r="K281" s="162">
        <v>1</v>
      </c>
      <c r="L281" s="162" t="s">
        <v>403</v>
      </c>
      <c r="M281" s="162" t="s">
        <v>404</v>
      </c>
      <c r="N281" s="164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3"/>
    </row>
    <row r="282" spans="1:25" s="78" customFormat="1" x14ac:dyDescent="0.3">
      <c r="A282" s="161">
        <f t="shared" si="4"/>
        <v>280</v>
      </c>
      <c r="B282" s="162"/>
      <c r="C282" s="162"/>
      <c r="D282" s="162"/>
      <c r="E282" s="237" t="s">
        <v>53</v>
      </c>
      <c r="F282" s="164"/>
      <c r="G282" s="162"/>
      <c r="H282" s="164" t="s">
        <v>226</v>
      </c>
      <c r="I282" s="162">
        <v>19</v>
      </c>
      <c r="J282" s="162">
        <v>14</v>
      </c>
      <c r="K282" s="162">
        <v>2</v>
      </c>
      <c r="L282" s="162" t="s">
        <v>403</v>
      </c>
      <c r="M282" s="162" t="s">
        <v>404</v>
      </c>
      <c r="N282" s="164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3"/>
    </row>
    <row r="283" spans="1:25" s="78" customFormat="1" x14ac:dyDescent="0.3">
      <c r="A283" s="161">
        <f t="shared" si="4"/>
        <v>281</v>
      </c>
      <c r="B283" s="162"/>
      <c r="C283" s="162"/>
      <c r="D283" s="162"/>
      <c r="E283" s="237" t="s">
        <v>53</v>
      </c>
      <c r="F283" s="164"/>
      <c r="G283" s="162"/>
      <c r="H283" s="164" t="s">
        <v>226</v>
      </c>
      <c r="I283" s="162">
        <v>19</v>
      </c>
      <c r="J283" s="162">
        <v>14</v>
      </c>
      <c r="K283" s="162">
        <v>3</v>
      </c>
      <c r="L283" s="162" t="s">
        <v>403</v>
      </c>
      <c r="M283" s="162" t="s">
        <v>404</v>
      </c>
      <c r="N283" s="164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3"/>
    </row>
    <row r="284" spans="1:25" s="78" customFormat="1" x14ac:dyDescent="0.3">
      <c r="A284" s="161"/>
      <c r="B284" s="162"/>
      <c r="C284" s="162"/>
      <c r="D284" s="162"/>
      <c r="E284" s="237"/>
      <c r="F284" s="164"/>
      <c r="G284" s="162"/>
      <c r="H284" s="164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3"/>
    </row>
    <row r="285" spans="1:25" s="78" customFormat="1" x14ac:dyDescent="0.3">
      <c r="A285" s="167"/>
      <c r="B285" s="168"/>
      <c r="C285" s="168"/>
      <c r="D285" s="168"/>
      <c r="E285" s="242"/>
      <c r="F285" s="243"/>
      <c r="G285" s="168"/>
      <c r="H285" s="243"/>
      <c r="I285" s="168"/>
      <c r="J285" s="168"/>
      <c r="K285" s="168"/>
      <c r="L285" s="168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9"/>
    </row>
    <row r="286" spans="1:25" x14ac:dyDescent="0.3">
      <c r="N286" s="74"/>
      <c r="Y286" s="76"/>
    </row>
    <row r="287" spans="1:25" x14ac:dyDescent="0.3">
      <c r="N287" s="74"/>
      <c r="Y287" s="76"/>
    </row>
    <row r="288" spans="1:25" x14ac:dyDescent="0.3">
      <c r="N288" s="74"/>
      <c r="Y288" s="76"/>
    </row>
    <row r="289" spans="1:25" ht="15" thickBot="1" x14ac:dyDescent="0.35">
      <c r="N289" s="74"/>
      <c r="Y289" s="76"/>
    </row>
    <row r="290" spans="1:25" ht="55.8" thickBot="1" x14ac:dyDescent="0.35">
      <c r="B290" s="276" t="s">
        <v>405</v>
      </c>
      <c r="C290" s="277"/>
      <c r="K290" s="179"/>
      <c r="L290" s="180"/>
      <c r="M290" s="181" t="s">
        <v>406</v>
      </c>
      <c r="N290" s="182" t="s">
        <v>407</v>
      </c>
      <c r="O290" s="183" t="s">
        <v>14</v>
      </c>
      <c r="P290" s="183" t="s">
        <v>15</v>
      </c>
      <c r="Q290" s="183" t="s">
        <v>16</v>
      </c>
      <c r="R290" s="183" t="s">
        <v>17</v>
      </c>
      <c r="S290" s="183" t="s">
        <v>18</v>
      </c>
      <c r="T290" s="183" t="s">
        <v>19</v>
      </c>
      <c r="U290" s="183" t="s">
        <v>20</v>
      </c>
      <c r="V290" s="183" t="s">
        <v>21</v>
      </c>
      <c r="W290" s="184" t="s">
        <v>22</v>
      </c>
      <c r="X290" s="184" t="s">
        <v>23</v>
      </c>
    </row>
    <row r="291" spans="1:25" ht="21" x14ac:dyDescent="0.4">
      <c r="B291" s="171" t="s">
        <v>220</v>
      </c>
      <c r="C291" s="172">
        <f t="shared" ref="C291:C297" si="5">COUNTIFS($B$3:$B$285, "&lt;&gt;", $L$3:$L$285, B291)</f>
        <v>2</v>
      </c>
      <c r="K291" s="185"/>
      <c r="L291" s="186"/>
      <c r="M291" s="187" t="s">
        <v>408</v>
      </c>
      <c r="N291" s="188"/>
      <c r="O291" s="160">
        <f>COUNTIFS(B3:B285, "&lt;&gt;", O3:O285,"&lt;&gt;")</f>
        <v>0</v>
      </c>
      <c r="P291" s="160">
        <f>COUNTIFS(B3:B285, "&lt;&gt;", P3:P285,"&lt;&gt;")</f>
        <v>0</v>
      </c>
      <c r="Q291" s="160">
        <f>COUNTIFS(B3:B285, "&lt;&gt;", Q3:Q285,"Y")</f>
        <v>0</v>
      </c>
      <c r="R291" s="160">
        <f>COUNTIFS(B3:B285, "&lt;&gt;", R3:R285,"&lt;&gt;")</f>
        <v>0</v>
      </c>
      <c r="S291" s="160">
        <f>COUNTIFS(B3:B285, "&lt;&gt;", S3:S285,"&lt;&gt;")</f>
        <v>0</v>
      </c>
      <c r="T291" s="160">
        <f>COUNTIFS(B3:B285, "&lt;&gt;", T3:T285,"&lt;&gt;")</f>
        <v>0</v>
      </c>
      <c r="U291" s="160">
        <f>COUNTIFS(B3:B285, "&lt;&gt;", U3:U285,"&lt;&gt;")</f>
        <v>0</v>
      </c>
      <c r="V291" s="160">
        <f>COUNTIFS(B3:B285, "&lt;&gt;", V3:V285,"&lt;&gt;")</f>
        <v>0</v>
      </c>
      <c r="W291" s="160">
        <f>COUNTIFS(B3:B285, "&lt;&gt;", W3:W285,"&lt;&gt;")</f>
        <v>0</v>
      </c>
      <c r="X291" s="160">
        <f>COUNTIFS(B3:B285, "&lt;&gt;", X3:X285,"Y")</f>
        <v>0</v>
      </c>
      <c r="Y291" s="82"/>
    </row>
    <row r="292" spans="1:25" ht="21" x14ac:dyDescent="0.4">
      <c r="B292" s="173" t="s">
        <v>409</v>
      </c>
      <c r="C292" s="174">
        <f t="shared" si="5"/>
        <v>0</v>
      </c>
      <c r="K292" s="185"/>
      <c r="L292" s="186"/>
      <c r="M292" s="187" t="s">
        <v>410</v>
      </c>
      <c r="N292" s="188"/>
      <c r="O292" s="160">
        <f>COUNTIF(B3:B285,"*?")</f>
        <v>163</v>
      </c>
      <c r="P292" s="160">
        <f>COUNTIF(B3:B285,"*?")</f>
        <v>163</v>
      </c>
      <c r="Q292" s="160">
        <f>COUNTIF(B3:B285,"*XV*")+COUNTIF(B3:B285,"*XY-*")+COUNTIF(B3:B285,"*YS*")+COUNTIF(B3:B285,"*CV*")</f>
        <v>49</v>
      </c>
      <c r="R292" s="160">
        <f>COUNTIF(B3:B285,"*?")</f>
        <v>163</v>
      </c>
      <c r="S292" s="160">
        <f>COUNTIF(B3:B285,"*?")</f>
        <v>163</v>
      </c>
      <c r="T292" s="160">
        <f>COUNTIF(B3:B285,"*?")</f>
        <v>163</v>
      </c>
      <c r="U292" s="160">
        <f>COUNTIF(B3:B285,"*?")</f>
        <v>163</v>
      </c>
      <c r="V292" s="160">
        <f>COUNTIF(B3:B285,"*?")</f>
        <v>163</v>
      </c>
      <c r="W292" s="160">
        <f>COUNTIF(B3:B285,"*?")</f>
        <v>163</v>
      </c>
      <c r="X292" s="160">
        <f>COUNTIFS(B3:B285, "&lt;&gt;", W3:W285,"&lt;&gt;")</f>
        <v>0</v>
      </c>
      <c r="Y292" s="82"/>
    </row>
    <row r="293" spans="1:25" ht="21" x14ac:dyDescent="0.4">
      <c r="B293" s="173" t="s">
        <v>30</v>
      </c>
      <c r="C293" s="174">
        <f t="shared" si="5"/>
        <v>60</v>
      </c>
      <c r="K293" s="185"/>
      <c r="L293" s="186"/>
      <c r="M293" s="187" t="s">
        <v>411</v>
      </c>
      <c r="N293" s="188"/>
      <c r="O293" s="189">
        <f>O291/O292</f>
        <v>0</v>
      </c>
      <c r="P293" s="189">
        <f>P291/P292</f>
        <v>0</v>
      </c>
      <c r="Q293" s="189">
        <f t="shared" ref="Q293:V293" si="6">Q291/Q292</f>
        <v>0</v>
      </c>
      <c r="R293" s="189">
        <f t="shared" si="6"/>
        <v>0</v>
      </c>
      <c r="S293" s="189">
        <f t="shared" si="6"/>
        <v>0</v>
      </c>
      <c r="T293" s="189">
        <f t="shared" si="6"/>
        <v>0</v>
      </c>
      <c r="U293" s="189">
        <f t="shared" si="6"/>
        <v>0</v>
      </c>
      <c r="V293" s="189">
        <f t="shared" si="6"/>
        <v>0</v>
      </c>
      <c r="W293" s="189">
        <f>W291/W292</f>
        <v>0</v>
      </c>
      <c r="X293" s="189">
        <f>IFERROR(X291/X292,0)</f>
        <v>0</v>
      </c>
      <c r="Y293" s="82"/>
    </row>
    <row r="294" spans="1:25" ht="21" x14ac:dyDescent="0.4">
      <c r="A294" s="83"/>
      <c r="B294" s="173" t="s">
        <v>78</v>
      </c>
      <c r="C294" s="174">
        <f t="shared" si="5"/>
        <v>50</v>
      </c>
      <c r="E294" s="74"/>
      <c r="F294" s="74"/>
      <c r="I294" s="83"/>
      <c r="J294" s="83"/>
      <c r="K294" s="190"/>
      <c r="L294" s="191"/>
      <c r="M294" s="187" t="s">
        <v>412</v>
      </c>
      <c r="N294" s="188"/>
      <c r="O294" s="189">
        <f t="shared" ref="O294" si="7">1-O293</f>
        <v>1</v>
      </c>
      <c r="P294" s="189">
        <f t="shared" ref="P294:X294" si="8">1-P293</f>
        <v>1</v>
      </c>
      <c r="Q294" s="189">
        <f t="shared" si="8"/>
        <v>1</v>
      </c>
      <c r="R294" s="189">
        <f t="shared" si="8"/>
        <v>1</v>
      </c>
      <c r="S294" s="189">
        <f t="shared" si="8"/>
        <v>1</v>
      </c>
      <c r="T294" s="189">
        <f t="shared" si="8"/>
        <v>1</v>
      </c>
      <c r="U294" s="189">
        <f t="shared" si="8"/>
        <v>1</v>
      </c>
      <c r="V294" s="189">
        <f t="shared" si="8"/>
        <v>1</v>
      </c>
      <c r="W294" s="189">
        <f t="shared" si="8"/>
        <v>1</v>
      </c>
      <c r="X294" s="189">
        <f t="shared" si="8"/>
        <v>1</v>
      </c>
      <c r="Y294" s="82"/>
    </row>
    <row r="295" spans="1:25" x14ac:dyDescent="0.3">
      <c r="B295" s="173" t="s">
        <v>113</v>
      </c>
      <c r="C295" s="174">
        <f t="shared" si="5"/>
        <v>38</v>
      </c>
      <c r="E295" s="74"/>
      <c r="F295" s="74"/>
      <c r="K295" s="192"/>
      <c r="L295" s="192"/>
      <c r="M295" s="192"/>
      <c r="N295" s="1"/>
      <c r="O295" s="192"/>
      <c r="P295" s="192"/>
      <c r="Q295" s="192"/>
      <c r="R295" s="192"/>
      <c r="S295" s="192"/>
      <c r="T295" s="192"/>
      <c r="U295" s="192"/>
      <c r="V295" s="192"/>
      <c r="W295" s="192"/>
      <c r="X295" s="192"/>
      <c r="Y295" s="76"/>
    </row>
    <row r="296" spans="1:25" ht="21" x14ac:dyDescent="0.4">
      <c r="B296" s="173" t="s">
        <v>177</v>
      </c>
      <c r="C296" s="174">
        <f t="shared" si="5"/>
        <v>12</v>
      </c>
      <c r="E296" s="74"/>
      <c r="F296" s="74"/>
      <c r="K296" s="193"/>
      <c r="L296" s="194"/>
      <c r="M296" s="194" t="s">
        <v>413</v>
      </c>
      <c r="N296" s="195"/>
      <c r="O296" s="196"/>
      <c r="P296" s="196"/>
      <c r="Q296" s="196"/>
      <c r="R296" s="197"/>
      <c r="S296" s="196"/>
      <c r="T296" s="196"/>
      <c r="U296" s="196"/>
      <c r="V296" s="196"/>
      <c r="W296" s="196"/>
      <c r="X296" s="198"/>
      <c r="Y296" s="76"/>
    </row>
    <row r="297" spans="1:25" ht="21" x14ac:dyDescent="0.4">
      <c r="B297" s="173" t="s">
        <v>403</v>
      </c>
      <c r="C297" s="174">
        <f t="shared" si="5"/>
        <v>1</v>
      </c>
      <c r="E297" s="74"/>
      <c r="F297" s="74"/>
      <c r="K297" s="193"/>
      <c r="L297" s="196"/>
      <c r="M297" s="199" t="s">
        <v>408</v>
      </c>
      <c r="N297" s="200"/>
      <c r="O297" s="201">
        <f>COUNTIFS($G$3:$G$285, "PROC", O3:O285,"&lt;&gt;")</f>
        <v>0</v>
      </c>
      <c r="P297" s="201">
        <f>COUNTIFS($G$3:$G$285, "PROC", P3:P285,"&lt;&gt;")</f>
        <v>0</v>
      </c>
      <c r="Q297" s="201">
        <f>COUNTIFS($G$3:$G$285, "PROC", Q3:Q285,"Y")</f>
        <v>0</v>
      </c>
      <c r="R297" s="201">
        <f t="shared" ref="R297:W297" si="9">COUNTIFS($G$3:$G$285, "PROC", R3:R285,"&lt;&gt;")</f>
        <v>0</v>
      </c>
      <c r="S297" s="201">
        <f t="shared" si="9"/>
        <v>0</v>
      </c>
      <c r="T297" s="201">
        <f t="shared" si="9"/>
        <v>0</v>
      </c>
      <c r="U297" s="201">
        <f t="shared" si="9"/>
        <v>0</v>
      </c>
      <c r="V297" s="201">
        <f t="shared" si="9"/>
        <v>0</v>
      </c>
      <c r="W297" s="201">
        <f t="shared" si="9"/>
        <v>0</v>
      </c>
      <c r="X297" s="201">
        <f>COUNTIFS($G$3:$G$285, "PROC", X3:X285,"Y")</f>
        <v>0</v>
      </c>
      <c r="Y297" s="76"/>
    </row>
    <row r="298" spans="1:25" ht="21.6" thickBot="1" x14ac:dyDescent="0.45">
      <c r="B298" s="175"/>
      <c r="C298" s="176"/>
      <c r="E298" s="74"/>
      <c r="F298" s="74"/>
      <c r="K298" s="202"/>
      <c r="L298" s="196"/>
      <c r="M298" s="199" t="s">
        <v>410</v>
      </c>
      <c r="N298" s="200"/>
      <c r="O298" s="160">
        <f>COUNTIFS($G$3:$G$285, "PROC",B3:B285, "&lt;&gt;")</f>
        <v>7</v>
      </c>
      <c r="P298" s="160">
        <f>COUNTIFS($G$3:$G$285, "PROC",B3:B285, "&lt;&gt;")</f>
        <v>7</v>
      </c>
      <c r="Q298" s="160">
        <f>COUNTIFS($G$3:$G$285, "PROC",B3:B285, "*XV*")+COUNTIFS($G$3:$G$285, "PROC",B3:B285, "*XY-*")+COUNTIFS($G$3:$G$285, "PROC",B3:B285, "*CV*")+COUNTIFS($G$3:$G$285, "PROC",B3:B285, "*YS*")</f>
        <v>0</v>
      </c>
      <c r="R298" s="160">
        <f>COUNTIFS($G$3:$G$285, "PROC",B3:B285, "&lt;&gt;")</f>
        <v>7</v>
      </c>
      <c r="S298" s="160">
        <f>COUNTIFS($G$3:$G$285, "PROC",B3:B285, "&lt;&gt;")</f>
        <v>7</v>
      </c>
      <c r="T298" s="160">
        <f>COUNTIFS($G$3:$G$285, "PROC",B3:B285, "&lt;&gt;")</f>
        <v>7</v>
      </c>
      <c r="U298" s="160">
        <f>COUNTIFS($G$3:$G$285, "PROC",B3:B285, "&lt;&gt;")</f>
        <v>7</v>
      </c>
      <c r="V298" s="160">
        <f>COUNTIFS($G$3:$G$285, "PROC",B3:B285, "&lt;&gt;")</f>
        <v>7</v>
      </c>
      <c r="W298" s="160">
        <f>COUNTIFS($G$3:$G$285, "PROC",B3:B285, "&lt;&gt;")</f>
        <v>7</v>
      </c>
      <c r="X298" s="160">
        <f>COUNTIFS($G$3:$G$285, "PROC", W3:W285,"&lt;&gt;")</f>
        <v>0</v>
      </c>
      <c r="Y298" s="76"/>
    </row>
    <row r="299" spans="1:25" ht="21.6" thickBot="1" x14ac:dyDescent="0.45">
      <c r="B299" s="177" t="s">
        <v>414</v>
      </c>
      <c r="C299" s="178">
        <f>SUM(C291:C298)</f>
        <v>163</v>
      </c>
      <c r="E299" s="74"/>
      <c r="F299" s="74"/>
      <c r="K299" s="193"/>
      <c r="L299" s="196"/>
      <c r="M299" s="199" t="s">
        <v>411</v>
      </c>
      <c r="N299" s="200"/>
      <c r="O299" s="189">
        <f>O297/O298</f>
        <v>0</v>
      </c>
      <c r="P299" s="189">
        <f t="shared" ref="P299:W299" si="10">P297/P298</f>
        <v>0</v>
      </c>
      <c r="Q299" s="189" t="e">
        <f t="shared" si="10"/>
        <v>#DIV/0!</v>
      </c>
      <c r="R299" s="189">
        <f t="shared" si="10"/>
        <v>0</v>
      </c>
      <c r="S299" s="189">
        <f t="shared" si="10"/>
        <v>0</v>
      </c>
      <c r="T299" s="189">
        <f t="shared" si="10"/>
        <v>0</v>
      </c>
      <c r="U299" s="189">
        <f t="shared" si="10"/>
        <v>0</v>
      </c>
      <c r="V299" s="189">
        <f t="shared" si="10"/>
        <v>0</v>
      </c>
      <c r="W299" s="189">
        <f t="shared" si="10"/>
        <v>0</v>
      </c>
      <c r="X299" s="189">
        <f>IFERROR(X297/X298,0)</f>
        <v>0</v>
      </c>
      <c r="Y299" s="76"/>
    </row>
    <row r="300" spans="1:25" ht="21" x14ac:dyDescent="0.4">
      <c r="E300" s="74"/>
      <c r="F300" s="74"/>
      <c r="K300" s="193"/>
      <c r="L300" s="196"/>
      <c r="M300" s="199" t="s">
        <v>412</v>
      </c>
      <c r="N300" s="200"/>
      <c r="O300" s="189">
        <f t="shared" ref="O300:X300" si="11">1-O299</f>
        <v>1</v>
      </c>
      <c r="P300" s="189">
        <f t="shared" si="11"/>
        <v>1</v>
      </c>
      <c r="Q300" s="189" t="e">
        <f t="shared" si="11"/>
        <v>#DIV/0!</v>
      </c>
      <c r="R300" s="189">
        <f t="shared" si="11"/>
        <v>1</v>
      </c>
      <c r="S300" s="189">
        <f t="shared" si="11"/>
        <v>1</v>
      </c>
      <c r="T300" s="189">
        <f t="shared" si="11"/>
        <v>1</v>
      </c>
      <c r="U300" s="189">
        <f t="shared" si="11"/>
        <v>1</v>
      </c>
      <c r="V300" s="189">
        <f t="shared" si="11"/>
        <v>1</v>
      </c>
      <c r="W300" s="189">
        <f t="shared" si="11"/>
        <v>1</v>
      </c>
      <c r="X300" s="189">
        <f t="shared" si="11"/>
        <v>1</v>
      </c>
      <c r="Y300" s="76"/>
    </row>
    <row r="301" spans="1:25" x14ac:dyDescent="0.3">
      <c r="K301" s="192"/>
      <c r="L301" s="192"/>
      <c r="M301" s="192"/>
      <c r="N301" s="203"/>
      <c r="O301" s="192"/>
      <c r="P301" s="192"/>
      <c r="Q301" s="192"/>
      <c r="R301" s="192"/>
      <c r="S301" s="192"/>
      <c r="T301" s="192"/>
      <c r="U301" s="192"/>
      <c r="V301" s="192"/>
      <c r="W301" s="192"/>
      <c r="X301" s="192"/>
    </row>
    <row r="302" spans="1:25" s="78" customFormat="1" ht="21" x14ac:dyDescent="0.4">
      <c r="A302" s="79"/>
      <c r="B302" s="79"/>
      <c r="K302" s="204"/>
      <c r="L302" s="205"/>
      <c r="M302" s="206" t="s">
        <v>415</v>
      </c>
      <c r="N302" s="205"/>
      <c r="O302" s="207"/>
      <c r="P302" s="207"/>
      <c r="Q302" s="207"/>
      <c r="R302" s="208"/>
      <c r="S302" s="207"/>
      <c r="T302" s="207"/>
      <c r="U302" s="207"/>
      <c r="V302" s="207"/>
      <c r="W302" s="207"/>
      <c r="X302" s="209"/>
    </row>
    <row r="303" spans="1:25" ht="21" x14ac:dyDescent="0.4">
      <c r="K303" s="204"/>
      <c r="L303" s="205"/>
      <c r="M303" s="210" t="s">
        <v>408</v>
      </c>
      <c r="N303" s="211"/>
      <c r="O303" s="160">
        <f>COUNTIFS($G$3:$G$285, "CHILL", O3:O285,"&lt;&gt;")</f>
        <v>0</v>
      </c>
      <c r="P303" s="160">
        <f>COUNTIFS($G$3:$G$285, "CHILL", P3:P285,"&lt;&gt;")</f>
        <v>0</v>
      </c>
      <c r="Q303" s="160">
        <f>COUNTIFS($G$3:$G$285, "CHILL", Q3:Q285,"Y")</f>
        <v>0</v>
      </c>
      <c r="R303" s="160">
        <f t="shared" ref="R303:W303" si="12">COUNTIFS($G$3:$G$285, "CHILL", R3:R285,"&lt;&gt;")</f>
        <v>0</v>
      </c>
      <c r="S303" s="160">
        <f t="shared" si="12"/>
        <v>0</v>
      </c>
      <c r="T303" s="160">
        <f t="shared" si="12"/>
        <v>0</v>
      </c>
      <c r="U303" s="160">
        <f t="shared" si="12"/>
        <v>0</v>
      </c>
      <c r="V303" s="160">
        <f t="shared" si="12"/>
        <v>0</v>
      </c>
      <c r="W303" s="160">
        <f t="shared" si="12"/>
        <v>0</v>
      </c>
      <c r="X303" s="160">
        <f>COUNTIFS($G$3:$G$285, "CHILL", X3:X285,"Y")</f>
        <v>0</v>
      </c>
    </row>
    <row r="304" spans="1:25" ht="21" x14ac:dyDescent="0.4">
      <c r="K304" s="204"/>
      <c r="L304" s="205"/>
      <c r="M304" s="210" t="s">
        <v>410</v>
      </c>
      <c r="N304" s="211"/>
      <c r="O304" s="160">
        <f>COUNTIFS($G$3:$G$285, "CHILL",B3:B285, "&lt;&gt;")</f>
        <v>1</v>
      </c>
      <c r="P304" s="160">
        <f>COUNTIFS($G$3:$G$285, "CHILL",B3:B285, "&lt;&gt;")</f>
        <v>1</v>
      </c>
      <c r="Q304" s="160">
        <f>COUNTIFS($G$3:$G$285, "CHILL",B3:B285, "*XV*")+COUNTIFS($G$3:$G$285, "CHILL",B3:B285, "*XY-*")+COUNTIFS($G$3:$G$285, "CHILL",B3:B285, "*CV*")+COUNTIFS($G$3:$G$285, "CHILL",B3:B285, "*YS*")</f>
        <v>0</v>
      </c>
      <c r="R304" s="160">
        <f>COUNTIFS($G$3:$G$285, "CHILL",B3:B285, "&lt;&gt;")</f>
        <v>1</v>
      </c>
      <c r="S304" s="160">
        <f>COUNTIFS($G$3:$G$285, "CHILL",B3:B285, "&lt;&gt;")</f>
        <v>1</v>
      </c>
      <c r="T304" s="160">
        <f>COUNTIFS($G$3:$G$285, "CHILL",B3:B285, "&lt;&gt;")</f>
        <v>1</v>
      </c>
      <c r="U304" s="160">
        <f>COUNTIFS($G$3:$G$285, "CHILL",B3:B285, "&lt;&gt;")</f>
        <v>1</v>
      </c>
      <c r="V304" s="160">
        <f>COUNTIFS($G$3:$G$285, "CHILL",B3:B285, "&lt;&gt;")</f>
        <v>1</v>
      </c>
      <c r="W304" s="160">
        <f>COUNTIFS($G$3:$G$285, "CHILL",B3:B285, "&lt;&gt;")</f>
        <v>1</v>
      </c>
      <c r="X304" s="160">
        <f>COUNTIFS($G$3:$G$285, "CHILL", W3:W285,"&lt;&gt;")</f>
        <v>0</v>
      </c>
    </row>
    <row r="305" spans="11:24" ht="21" x14ac:dyDescent="0.4">
      <c r="K305" s="204"/>
      <c r="L305" s="205"/>
      <c r="M305" s="210" t="s">
        <v>411</v>
      </c>
      <c r="N305" s="211"/>
      <c r="O305" s="189">
        <f>O303/O304</f>
        <v>0</v>
      </c>
      <c r="P305" s="189">
        <f t="shared" ref="P305" si="13">P303/P304</f>
        <v>0</v>
      </c>
      <c r="Q305" s="189" t="e">
        <f t="shared" ref="Q305" si="14">Q303/Q304</f>
        <v>#DIV/0!</v>
      </c>
      <c r="R305" s="189">
        <f t="shared" ref="R305" si="15">R303/R304</f>
        <v>0</v>
      </c>
      <c r="S305" s="189">
        <f t="shared" ref="S305" si="16">S303/S304</f>
        <v>0</v>
      </c>
      <c r="T305" s="189">
        <f t="shared" ref="T305" si="17">T303/T304</f>
        <v>0</v>
      </c>
      <c r="U305" s="189">
        <f t="shared" ref="U305" si="18">U303/U304</f>
        <v>0</v>
      </c>
      <c r="V305" s="189">
        <f t="shared" ref="V305" si="19">V303/V304</f>
        <v>0</v>
      </c>
      <c r="W305" s="189">
        <f t="shared" ref="W305" si="20">W303/W304</f>
        <v>0</v>
      </c>
      <c r="X305" s="189">
        <f>IFERROR(X303/X304,0)</f>
        <v>0</v>
      </c>
    </row>
    <row r="306" spans="11:24" ht="21" x14ac:dyDescent="0.4">
      <c r="K306" s="204"/>
      <c r="L306" s="205"/>
      <c r="M306" s="210" t="s">
        <v>412</v>
      </c>
      <c r="N306" s="211"/>
      <c r="O306" s="189">
        <f t="shared" ref="O306:X306" si="21">1-O305</f>
        <v>1</v>
      </c>
      <c r="P306" s="189">
        <f t="shared" si="21"/>
        <v>1</v>
      </c>
      <c r="Q306" s="189" t="e">
        <f t="shared" si="21"/>
        <v>#DIV/0!</v>
      </c>
      <c r="R306" s="189">
        <f t="shared" si="21"/>
        <v>1</v>
      </c>
      <c r="S306" s="189">
        <f t="shared" si="21"/>
        <v>1</v>
      </c>
      <c r="T306" s="189">
        <f t="shared" si="21"/>
        <v>1</v>
      </c>
      <c r="U306" s="189">
        <f t="shared" si="21"/>
        <v>1</v>
      </c>
      <c r="V306" s="189">
        <f t="shared" si="21"/>
        <v>1</v>
      </c>
      <c r="W306" s="189">
        <f t="shared" si="21"/>
        <v>1</v>
      </c>
      <c r="X306" s="189">
        <f t="shared" si="21"/>
        <v>1</v>
      </c>
    </row>
    <row r="307" spans="11:24" x14ac:dyDescent="0.3">
      <c r="K307" s="192"/>
      <c r="L307" s="192"/>
      <c r="M307" s="212"/>
      <c r="N307" s="203"/>
      <c r="O307" s="192"/>
      <c r="P307" s="192"/>
      <c r="Q307" s="192"/>
      <c r="R307" s="192"/>
      <c r="S307" s="192"/>
      <c r="T307" s="192"/>
      <c r="U307" s="192"/>
      <c r="V307" s="192"/>
      <c r="W307" s="192"/>
      <c r="X307" s="192"/>
    </row>
    <row r="308" spans="11:24" ht="21" x14ac:dyDescent="0.4">
      <c r="K308" s="213"/>
      <c r="L308" s="214"/>
      <c r="M308" s="215" t="s">
        <v>416</v>
      </c>
      <c r="N308" s="214"/>
      <c r="O308" s="216"/>
      <c r="P308" s="216"/>
      <c r="Q308" s="216"/>
      <c r="R308" s="217"/>
      <c r="S308" s="216"/>
      <c r="T308" s="216"/>
      <c r="U308" s="216"/>
      <c r="V308" s="216"/>
      <c r="W308" s="216"/>
      <c r="X308" s="218"/>
    </row>
    <row r="309" spans="11:24" ht="21" x14ac:dyDescent="0.4">
      <c r="K309" s="213"/>
      <c r="L309" s="214"/>
      <c r="M309" s="219" t="s">
        <v>408</v>
      </c>
      <c r="N309" s="220"/>
      <c r="O309" s="160">
        <f>COUNTIFS($G$3:$G$285, "INTSL", O3:O285,"&lt;&gt;")</f>
        <v>0</v>
      </c>
      <c r="P309" s="160">
        <f>COUNTIFS($G$3:$G$285, "INTSL", P3:P285,"&lt;&gt;")</f>
        <v>0</v>
      </c>
      <c r="Q309" s="160">
        <f>COUNTIFS($G$3:$G$285, "INTSL", Q3:Q285,"Y")</f>
        <v>0</v>
      </c>
      <c r="R309" s="160">
        <f t="shared" ref="R309:W309" si="22">COUNTIFS($G$3:$G$285, "INTSL", R3:R285,"&lt;&gt;")</f>
        <v>0</v>
      </c>
      <c r="S309" s="160">
        <f t="shared" si="22"/>
        <v>0</v>
      </c>
      <c r="T309" s="160">
        <f t="shared" si="22"/>
        <v>0</v>
      </c>
      <c r="U309" s="160">
        <f t="shared" si="22"/>
        <v>0</v>
      </c>
      <c r="V309" s="160">
        <f t="shared" si="22"/>
        <v>0</v>
      </c>
      <c r="W309" s="160">
        <f t="shared" si="22"/>
        <v>0</v>
      </c>
      <c r="X309" s="160">
        <f>COUNTIFS($G$3:$G$285, "INTSL", X3:X285,"Y")</f>
        <v>0</v>
      </c>
    </row>
    <row r="310" spans="11:24" ht="21" x14ac:dyDescent="0.4">
      <c r="K310" s="213"/>
      <c r="L310" s="214"/>
      <c r="M310" s="219" t="s">
        <v>410</v>
      </c>
      <c r="N310" s="220"/>
      <c r="O310" s="160">
        <f>COUNTIFS($G$3:$G$285, "INTSL",B3:B285, "&lt;&gt;")</f>
        <v>142</v>
      </c>
      <c r="P310" s="160">
        <f>COUNTIFS($G$3:$G$285, "INTSL",B3:B285, "&lt;&gt;")</f>
        <v>142</v>
      </c>
      <c r="Q310" s="160">
        <f>COUNTIFS($G$3:$G$285, "INTSL",B3:B285, "*XV*")+COUNTIFS($G$3:$G$285, "INTSL",B3:B285, "*XY-*")+COUNTIFS($G$3:$G$285, "INTSL",B3:B285, "*CV*")+COUNTIFS($G$3:$G$285, "INTSL",B3:B285, "*YS*")</f>
        <v>49</v>
      </c>
      <c r="R310" s="160">
        <f>COUNTIFS($G$3:$G$285, "INTSL",B3:B285, "&lt;&gt;")</f>
        <v>142</v>
      </c>
      <c r="S310" s="160">
        <f>COUNTIFS($G$3:$G$285, "INTSL",B3:B285, "&lt;&gt;")</f>
        <v>142</v>
      </c>
      <c r="T310" s="160">
        <f>COUNTIFS($G$3:$G$285, "INTSL",B3:B285, "&lt;&gt;")</f>
        <v>142</v>
      </c>
      <c r="U310" s="160">
        <f>COUNTIFS($G$3:$G$285, "INTSL",B3:B285, "&lt;&gt;")</f>
        <v>142</v>
      </c>
      <c r="V310" s="160">
        <f>COUNTIFS($G$3:$G$285, "INTSL",B3:B285, "&lt;&gt;")</f>
        <v>142</v>
      </c>
      <c r="W310" s="160">
        <f>COUNTIFS($G$3:$G$285, "INTSL",B3:B285, "&lt;&gt;")</f>
        <v>142</v>
      </c>
      <c r="X310" s="160">
        <f>COUNTIFS($G$3:$G$285, "INTSL", W3:W285,"&lt;&gt;")</f>
        <v>0</v>
      </c>
    </row>
    <row r="311" spans="11:24" ht="21" x14ac:dyDescent="0.4">
      <c r="K311" s="213"/>
      <c r="L311" s="214"/>
      <c r="M311" s="219" t="s">
        <v>411</v>
      </c>
      <c r="N311" s="220"/>
      <c r="O311" s="189">
        <f>O309/O310</f>
        <v>0</v>
      </c>
      <c r="P311" s="189">
        <f t="shared" ref="P311" si="23">P309/P310</f>
        <v>0</v>
      </c>
      <c r="Q311" s="189">
        <f t="shared" ref="Q311" si="24">Q309/Q310</f>
        <v>0</v>
      </c>
      <c r="R311" s="189">
        <f t="shared" ref="R311" si="25">R309/R310</f>
        <v>0</v>
      </c>
      <c r="S311" s="189">
        <f t="shared" ref="S311" si="26">S309/S310</f>
        <v>0</v>
      </c>
      <c r="T311" s="189">
        <f t="shared" ref="T311" si="27">T309/T310</f>
        <v>0</v>
      </c>
      <c r="U311" s="189">
        <f t="shared" ref="U311" si="28">U309/U310</f>
        <v>0</v>
      </c>
      <c r="V311" s="189">
        <f t="shared" ref="V311" si="29">V309/V310</f>
        <v>0</v>
      </c>
      <c r="W311" s="189">
        <f t="shared" ref="W311" si="30">W309/W310</f>
        <v>0</v>
      </c>
      <c r="X311" s="189">
        <f>IFERROR(X309/X310,0)</f>
        <v>0</v>
      </c>
    </row>
    <row r="312" spans="11:24" ht="21" x14ac:dyDescent="0.4">
      <c r="K312" s="213"/>
      <c r="L312" s="214"/>
      <c r="M312" s="219" t="s">
        <v>412</v>
      </c>
      <c r="N312" s="220"/>
      <c r="O312" s="189">
        <f t="shared" ref="O312:X312" si="31">1-O311</f>
        <v>1</v>
      </c>
      <c r="P312" s="189">
        <f t="shared" si="31"/>
        <v>1</v>
      </c>
      <c r="Q312" s="189">
        <f t="shared" si="31"/>
        <v>1</v>
      </c>
      <c r="R312" s="189">
        <f t="shared" si="31"/>
        <v>1</v>
      </c>
      <c r="S312" s="189">
        <f t="shared" si="31"/>
        <v>1</v>
      </c>
      <c r="T312" s="189">
        <f t="shared" si="31"/>
        <v>1</v>
      </c>
      <c r="U312" s="189">
        <f t="shared" si="31"/>
        <v>1</v>
      </c>
      <c r="V312" s="189">
        <f t="shared" si="31"/>
        <v>1</v>
      </c>
      <c r="W312" s="189">
        <f t="shared" si="31"/>
        <v>1</v>
      </c>
      <c r="X312" s="189">
        <f t="shared" si="31"/>
        <v>1</v>
      </c>
    </row>
    <row r="313" spans="11:24" x14ac:dyDescent="0.3">
      <c r="K313" s="192"/>
      <c r="L313" s="192"/>
      <c r="M313" s="212"/>
      <c r="N313" s="203"/>
      <c r="O313" s="192"/>
      <c r="P313" s="192"/>
      <c r="Q313" s="192"/>
      <c r="R313" s="192"/>
      <c r="S313" s="192"/>
      <c r="T313" s="192"/>
      <c r="U313" s="192"/>
      <c r="V313" s="192"/>
      <c r="W313" s="192"/>
      <c r="X313" s="192"/>
    </row>
    <row r="314" spans="11:24" ht="21" x14ac:dyDescent="0.4">
      <c r="K314" s="221"/>
      <c r="L314" s="222"/>
      <c r="M314" s="223" t="s">
        <v>417</v>
      </c>
      <c r="N314" s="222"/>
      <c r="O314" s="224"/>
      <c r="P314" s="224"/>
      <c r="Q314" s="224"/>
      <c r="R314" s="225"/>
      <c r="S314" s="224"/>
      <c r="T314" s="224"/>
      <c r="U314" s="224"/>
      <c r="V314" s="224"/>
      <c r="W314" s="224"/>
      <c r="X314" s="226"/>
    </row>
    <row r="315" spans="11:24" ht="21" x14ac:dyDescent="0.4">
      <c r="K315" s="221"/>
      <c r="L315" s="222"/>
      <c r="M315" s="227" t="s">
        <v>408</v>
      </c>
      <c r="N315" s="228"/>
      <c r="O315" s="160">
        <f>COUNTIFS($G$3:$G$285, "HX / LA", O3:O285,"&lt;&gt;")</f>
        <v>0</v>
      </c>
      <c r="P315" s="160">
        <f>COUNTIFS($G$3:$G$285, "HX / LA", P3:P285,"&lt;&gt;")</f>
        <v>0</v>
      </c>
      <c r="Q315" s="160">
        <f>COUNTIFS($G$3:$G$285, "HX / LA", Q3:Q285,"Y")</f>
        <v>0</v>
      </c>
      <c r="R315" s="160">
        <f t="shared" ref="R315:W315" si="32">COUNTIFS($G$3:$G$285, "HX / LA", R3:R285,"&lt;&gt;")</f>
        <v>0</v>
      </c>
      <c r="S315" s="160">
        <f t="shared" si="32"/>
        <v>0</v>
      </c>
      <c r="T315" s="160">
        <f t="shared" si="32"/>
        <v>0</v>
      </c>
      <c r="U315" s="160">
        <f t="shared" si="32"/>
        <v>0</v>
      </c>
      <c r="V315" s="160">
        <f t="shared" si="32"/>
        <v>0</v>
      </c>
      <c r="W315" s="160">
        <f t="shared" si="32"/>
        <v>0</v>
      </c>
      <c r="X315" s="160">
        <f>COUNTIFS($G$3:$G$285, "HX / LA", X3:X285,"Y")</f>
        <v>0</v>
      </c>
    </row>
    <row r="316" spans="11:24" ht="21" x14ac:dyDescent="0.4">
      <c r="K316" s="221"/>
      <c r="L316" s="222"/>
      <c r="M316" s="227" t="s">
        <v>410</v>
      </c>
      <c r="N316" s="228"/>
      <c r="O316" s="160">
        <f>COUNTIFS($G$3:$G$285, "HX / LA",B3:B285, "&lt;&gt;")</f>
        <v>3</v>
      </c>
      <c r="P316" s="160">
        <f>COUNTIFS($G$3:$G$285, "HX / LA",B3:B285, "&lt;&gt;")</f>
        <v>3</v>
      </c>
      <c r="Q316" s="160">
        <f>COUNTIFS($G$3:$G$285, "HX / LA",B3:B285, "*XV*")+COUNTIFS($G$3:$G$285, "HX / LA",B3:B285, "*XY-*")+COUNTIFS($G$3:$G$285, "HX / LA",B3:B285, "*CV*")+COUNTIFS($G$3:$G$285, "HX / LA",B3:B285, "*YS*")</f>
        <v>0</v>
      </c>
      <c r="R316" s="160">
        <f>COUNTIFS($G$3:$G$285, "HX / LA",B3:B285, "&lt;&gt;")</f>
        <v>3</v>
      </c>
      <c r="S316" s="160">
        <f>COUNTIFS($G$3:$G$285, "HX / LA",B3:B285, "&lt;&gt;")</f>
        <v>3</v>
      </c>
      <c r="T316" s="160">
        <f>COUNTIFS($G$3:$G$285, "HX / LA",B3:B285, "&lt;&gt;")</f>
        <v>3</v>
      </c>
      <c r="U316" s="160">
        <f>COUNTIFS($G$3:$G$285, "HX / LA",B3:B285, "&lt;&gt;")</f>
        <v>3</v>
      </c>
      <c r="V316" s="160">
        <f>COUNTIFS($G$3:$G$285, "HX / LA",B3:B285, "&lt;&gt;")</f>
        <v>3</v>
      </c>
      <c r="W316" s="160">
        <f>COUNTIFS($G$3:$G$285, "HX / LA",B3:B285, "&lt;&gt;")</f>
        <v>3</v>
      </c>
      <c r="X316" s="160">
        <f>COUNTIFS($G$3:$G$285, "HX / LA", W3:W285,"&lt;&gt;")</f>
        <v>0</v>
      </c>
    </row>
    <row r="317" spans="11:24" ht="21" x14ac:dyDescent="0.4">
      <c r="K317" s="221"/>
      <c r="L317" s="222"/>
      <c r="M317" s="227" t="s">
        <v>411</v>
      </c>
      <c r="N317" s="228"/>
      <c r="O317" s="189">
        <f>O315/O316</f>
        <v>0</v>
      </c>
      <c r="P317" s="189">
        <f t="shared" ref="P317" si="33">P315/P316</f>
        <v>0</v>
      </c>
      <c r="Q317" s="189" t="e">
        <f t="shared" ref="Q317" si="34">Q315/Q316</f>
        <v>#DIV/0!</v>
      </c>
      <c r="R317" s="189">
        <f t="shared" ref="R317" si="35">R315/R316</f>
        <v>0</v>
      </c>
      <c r="S317" s="189">
        <f t="shared" ref="S317" si="36">S315/S316</f>
        <v>0</v>
      </c>
      <c r="T317" s="189">
        <f t="shared" ref="T317" si="37">T315/T316</f>
        <v>0</v>
      </c>
      <c r="U317" s="189">
        <f t="shared" ref="U317" si="38">U315/U316</f>
        <v>0</v>
      </c>
      <c r="V317" s="189">
        <f t="shared" ref="V317" si="39">V315/V316</f>
        <v>0</v>
      </c>
      <c r="W317" s="189">
        <f t="shared" ref="W317" si="40">W315/W316</f>
        <v>0</v>
      </c>
      <c r="X317" s="189">
        <f>IFERROR(X315/X316,0)</f>
        <v>0</v>
      </c>
    </row>
    <row r="318" spans="11:24" ht="21" x14ac:dyDescent="0.4">
      <c r="K318" s="221"/>
      <c r="L318" s="222"/>
      <c r="M318" s="227" t="s">
        <v>412</v>
      </c>
      <c r="N318" s="228"/>
      <c r="O318" s="189">
        <f t="shared" ref="O318:X318" si="41">1-O317</f>
        <v>1</v>
      </c>
      <c r="P318" s="189">
        <f t="shared" si="41"/>
        <v>1</v>
      </c>
      <c r="Q318" s="189" t="e">
        <f t="shared" si="41"/>
        <v>#DIV/0!</v>
      </c>
      <c r="R318" s="189">
        <f t="shared" si="41"/>
        <v>1</v>
      </c>
      <c r="S318" s="189">
        <f t="shared" si="41"/>
        <v>1</v>
      </c>
      <c r="T318" s="189">
        <f t="shared" si="41"/>
        <v>1</v>
      </c>
      <c r="U318" s="189">
        <f t="shared" si="41"/>
        <v>1</v>
      </c>
      <c r="V318" s="189">
        <f t="shared" si="41"/>
        <v>1</v>
      </c>
      <c r="W318" s="189">
        <f t="shared" si="41"/>
        <v>1</v>
      </c>
      <c r="X318" s="189">
        <f t="shared" si="41"/>
        <v>1</v>
      </c>
    </row>
    <row r="319" spans="11:24" x14ac:dyDescent="0.3">
      <c r="K319" s="192"/>
      <c r="L319" s="192"/>
      <c r="M319" s="212"/>
      <c r="N319" s="203"/>
      <c r="O319" s="192"/>
      <c r="P319" s="192"/>
      <c r="Q319" s="192"/>
      <c r="R319" s="192"/>
      <c r="S319" s="192"/>
      <c r="T319" s="192"/>
      <c r="U319" s="192"/>
      <c r="V319" s="192"/>
      <c r="W319" s="192"/>
      <c r="X319" s="192"/>
    </row>
    <row r="320" spans="11:24" ht="21" x14ac:dyDescent="0.4">
      <c r="K320" s="229"/>
      <c r="L320" s="230"/>
      <c r="M320" s="231" t="s">
        <v>194</v>
      </c>
      <c r="N320" s="230"/>
      <c r="O320" s="232"/>
      <c r="P320" s="232"/>
      <c r="Q320" s="232"/>
      <c r="R320" s="233"/>
      <c r="S320" s="232"/>
      <c r="T320" s="232"/>
      <c r="U320" s="232"/>
      <c r="V320" s="232"/>
      <c r="W320" s="232"/>
      <c r="X320" s="234"/>
    </row>
    <row r="321" spans="11:24" ht="21" x14ac:dyDescent="0.4">
      <c r="K321" s="229"/>
      <c r="L321" s="230"/>
      <c r="M321" s="235" t="s">
        <v>408</v>
      </c>
      <c r="N321" s="236"/>
      <c r="O321" s="160">
        <f>COUNTIFS($G$3:$G$285, "MCC", O3:O285,"&lt;&gt;")</f>
        <v>0</v>
      </c>
      <c r="P321" s="160">
        <f>COUNTIFS($G$3:$G$285, "MCC", P3:P285,"&lt;&gt;")</f>
        <v>0</v>
      </c>
      <c r="Q321" s="160" t="s">
        <v>303</v>
      </c>
      <c r="R321" s="160">
        <f t="shared" ref="R321:W321" si="42">COUNTIFS($G$3:$G$285, "MCC", R3:R285,"&lt;&gt;")</f>
        <v>0</v>
      </c>
      <c r="S321" s="160">
        <f t="shared" si="42"/>
        <v>0</v>
      </c>
      <c r="T321" s="160">
        <f t="shared" si="42"/>
        <v>0</v>
      </c>
      <c r="U321" s="160">
        <f t="shared" si="42"/>
        <v>0</v>
      </c>
      <c r="V321" s="160">
        <f t="shared" si="42"/>
        <v>0</v>
      </c>
      <c r="W321" s="160">
        <f t="shared" si="42"/>
        <v>0</v>
      </c>
      <c r="X321" s="160">
        <f>COUNTIFS($G$3:$G$285, "MCC", X3:X285,"Y")</f>
        <v>0</v>
      </c>
    </row>
    <row r="322" spans="11:24" ht="21" x14ac:dyDescent="0.4">
      <c r="K322" s="229"/>
      <c r="L322" s="230"/>
      <c r="M322" s="235" t="s">
        <v>410</v>
      </c>
      <c r="N322" s="236"/>
      <c r="O322" s="160">
        <f>COUNTIFS($G$3:$G$285, "MCC",B3:B285, "&lt;&gt;")</f>
        <v>10</v>
      </c>
      <c r="P322" s="160">
        <f>COUNTIFS($G$3:$G$285, "MCC",B3:B285, "&lt;&gt;")</f>
        <v>10</v>
      </c>
      <c r="Q322" s="160" t="s">
        <v>303</v>
      </c>
      <c r="R322" s="160">
        <f>COUNTIFS($G$3:$G$285, "MCC",B3:B285, "&lt;&gt;")</f>
        <v>10</v>
      </c>
      <c r="S322" s="160">
        <f>COUNTIFS($G$3:$G$285, "MCC",B3:B285, "&lt;&gt;")</f>
        <v>10</v>
      </c>
      <c r="T322" s="160">
        <f>COUNTIFS($G$3:$G$285, "MCC",B3:B285, "&lt;&gt;")</f>
        <v>10</v>
      </c>
      <c r="U322" s="160">
        <f>COUNTIFS($G$3:$G$285, "MCC",B3:B285, "&lt;&gt;")</f>
        <v>10</v>
      </c>
      <c r="V322" s="160">
        <f>COUNTIFS($G$3:$G$285, "MCC",B3:B285, "&lt;&gt;")</f>
        <v>10</v>
      </c>
      <c r="W322" s="160">
        <f>COUNTIFS($G$3:$G$285, "MCC",B3:B285, "&lt;&gt;")</f>
        <v>10</v>
      </c>
      <c r="X322" s="160">
        <f>COUNTIFS($G$3:$G$285, "MCC", W3:W285,"&lt;&gt;")</f>
        <v>0</v>
      </c>
    </row>
    <row r="323" spans="11:24" ht="21" x14ac:dyDescent="0.4">
      <c r="K323" s="229"/>
      <c r="L323" s="230"/>
      <c r="M323" s="235" t="s">
        <v>411</v>
      </c>
      <c r="N323" s="236"/>
      <c r="O323" s="189">
        <f>O321/O322</f>
        <v>0</v>
      </c>
      <c r="P323" s="189">
        <f t="shared" ref="P323" si="43">P321/P322</f>
        <v>0</v>
      </c>
      <c r="Q323" s="160" t="s">
        <v>303</v>
      </c>
      <c r="R323" s="189">
        <f t="shared" ref="R323" si="44">R321/R322</f>
        <v>0</v>
      </c>
      <c r="S323" s="189">
        <f t="shared" ref="S323" si="45">S321/S322</f>
        <v>0</v>
      </c>
      <c r="T323" s="189">
        <f t="shared" ref="T323" si="46">T321/T322</f>
        <v>0</v>
      </c>
      <c r="U323" s="189">
        <f t="shared" ref="U323" si="47">U321/U322</f>
        <v>0</v>
      </c>
      <c r="V323" s="189">
        <f t="shared" ref="V323" si="48">V321/V322</f>
        <v>0</v>
      </c>
      <c r="W323" s="189">
        <f t="shared" ref="W323" si="49">W321/W322</f>
        <v>0</v>
      </c>
      <c r="X323" s="189">
        <f>IFERROR(X321/X322,0)</f>
        <v>0</v>
      </c>
    </row>
    <row r="324" spans="11:24" ht="21" x14ac:dyDescent="0.4">
      <c r="K324" s="229"/>
      <c r="L324" s="230"/>
      <c r="M324" s="235" t="s">
        <v>412</v>
      </c>
      <c r="N324" s="236"/>
      <c r="O324" s="189">
        <f t="shared" ref="O324:X324" si="50">1-O323</f>
        <v>1</v>
      </c>
      <c r="P324" s="189">
        <f t="shared" si="50"/>
        <v>1</v>
      </c>
      <c r="Q324" s="160" t="s">
        <v>303</v>
      </c>
      <c r="R324" s="189">
        <f t="shared" si="50"/>
        <v>1</v>
      </c>
      <c r="S324" s="189">
        <f t="shared" si="50"/>
        <v>1</v>
      </c>
      <c r="T324" s="189">
        <f t="shared" si="50"/>
        <v>1</v>
      </c>
      <c r="U324" s="189">
        <f t="shared" si="50"/>
        <v>1</v>
      </c>
      <c r="V324" s="189">
        <f t="shared" si="50"/>
        <v>1</v>
      </c>
      <c r="W324" s="189">
        <f t="shared" si="50"/>
        <v>1</v>
      </c>
      <c r="X324" s="189">
        <f t="shared" si="50"/>
        <v>1</v>
      </c>
    </row>
  </sheetData>
  <sheetProtection sheet="1" insertRows="0" sort="0" autoFilter="0"/>
  <sortState xmlns:xlrd2="http://schemas.microsoft.com/office/spreadsheetml/2017/richdata2" ref="A2:Y283">
    <sortCondition ref="I2:I283"/>
    <sortCondition ref="J2:J283"/>
    <sortCondition ref="K2:K283"/>
  </sortState>
  <mergeCells count="1">
    <mergeCell ref="B290:C290"/>
  </mergeCells>
  <phoneticPr fontId="1" type="noConversion"/>
  <printOptions horizontalCentered="1"/>
  <pageMargins left="0.25" right="0.25" top="0.9" bottom="0.75" header="0.3" footer="0.3"/>
  <pageSetup paperSize="160" scale="24" fitToHeight="0" orientation="landscape" r:id="rId1"/>
  <headerFooter>
    <oddHeader>&amp;L&amp;G&amp;C&amp;"Yu Gothic UI,Bold"&amp;16RL5 I/O LIST&amp;R&amp;G</oddHeader>
    <oddFooter>&amp;L&amp;D, &amp;T&amp;R&amp;P of 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56604-CC28-491A-882E-2AEC13D0DD53}">
  <sheetPr codeName="Sheet3">
    <tabColor theme="9" tint="0.79998168889431442"/>
    <pageSetUpPr fitToPage="1"/>
  </sheetPr>
  <dimension ref="A1:BC47"/>
  <sheetViews>
    <sheetView tabSelected="1" zoomScaleNormal="100" zoomScaleSheetLayoutView="100" workbookViewId="0">
      <pane xSplit="3" ySplit="1" topLeftCell="E2" activePane="bottomRight" state="frozen"/>
      <selection pane="topRight" activeCell="C1" sqref="C1"/>
      <selection pane="bottomLeft" activeCell="A2" sqref="A2"/>
      <selection pane="bottomRight" activeCell="P26" activeCellId="5" sqref="P9 P10:P11 P13:P14 P19 P23:P24 P26:P27"/>
    </sheetView>
  </sheetViews>
  <sheetFormatPr defaultColWidth="20.33203125" defaultRowHeight="14.4" x14ac:dyDescent="0.3"/>
  <cols>
    <col min="1" max="1" width="13.33203125" style="20" bestFit="1" customWidth="1"/>
    <col min="2" max="2" width="12.44140625" bestFit="1" customWidth="1"/>
    <col min="3" max="3" width="20.88671875" bestFit="1" customWidth="1"/>
    <col min="4" max="4" width="49.6640625" style="3" bestFit="1" customWidth="1"/>
    <col min="5" max="5" width="17.109375" bestFit="1" customWidth="1"/>
    <col min="6" max="6" width="28" bestFit="1" customWidth="1"/>
    <col min="7" max="7" width="31.6640625" bestFit="1" customWidth="1"/>
    <col min="9" max="10" width="15.33203125" bestFit="1" customWidth="1"/>
    <col min="11" max="11" width="23.5546875" bestFit="1" customWidth="1"/>
    <col min="12" max="12" width="17.88671875" bestFit="1" customWidth="1"/>
    <col min="13" max="13" width="15.5546875" bestFit="1" customWidth="1"/>
    <col min="14" max="14" width="12.109375" bestFit="1" customWidth="1"/>
    <col min="15" max="15" width="14.5546875" bestFit="1" customWidth="1"/>
    <col min="16" max="16" width="7.5546875" style="20" bestFit="1" customWidth="1"/>
    <col min="17" max="17" width="24.5546875" bestFit="1" customWidth="1"/>
    <col min="18" max="18" width="28.33203125" style="1" hidden="1" customWidth="1"/>
    <col min="19" max="19" width="13.109375" style="20" hidden="1" customWidth="1"/>
    <col min="20" max="20" width="15.88671875" hidden="1" customWidth="1"/>
    <col min="21" max="21" width="16.88671875" style="20" hidden="1" customWidth="1"/>
    <col min="22" max="22" width="9.109375" style="20" hidden="1" customWidth="1"/>
    <col min="23" max="23" width="16.109375" style="20" hidden="1" customWidth="1"/>
    <col min="24" max="24" width="15.109375" hidden="1" customWidth="1"/>
    <col min="25" max="25" width="13.109375" hidden="1" customWidth="1"/>
    <col min="26" max="26" width="15.88671875" hidden="1" customWidth="1"/>
    <col min="27" max="27" width="16.88671875" hidden="1" customWidth="1"/>
    <col min="28" max="28" width="9.109375" hidden="1" customWidth="1"/>
    <col min="29" max="29" width="16.109375" hidden="1" customWidth="1"/>
    <col min="30" max="30" width="15.109375" hidden="1" customWidth="1"/>
    <col min="31" max="36" width="11.109375" style="20" hidden="1" customWidth="1"/>
    <col min="37" max="39" width="11.109375" style="20" bestFit="1" customWidth="1"/>
    <col min="40" max="40" width="11.109375" bestFit="1" customWidth="1"/>
    <col min="41" max="42" width="11.109375" style="118" bestFit="1" customWidth="1"/>
    <col min="43" max="43" width="11.109375" style="118" hidden="1" customWidth="1"/>
    <col min="44" max="52" width="13.6640625" style="118" customWidth="1"/>
    <col min="54" max="55" width="12.88671875" customWidth="1"/>
    <col min="56" max="56" width="95" style="20" bestFit="1" customWidth="1"/>
    <col min="57" max="16384" width="20.33203125" style="20"/>
  </cols>
  <sheetData>
    <row r="1" spans="1:55" ht="105" thickBot="1" x14ac:dyDescent="0.35">
      <c r="A1" s="150" t="s">
        <v>194</v>
      </c>
      <c r="B1" s="151" t="s">
        <v>418</v>
      </c>
      <c r="C1" s="152" t="s">
        <v>419</v>
      </c>
      <c r="D1" s="152" t="s">
        <v>4</v>
      </c>
      <c r="E1" s="152" t="s">
        <v>420</v>
      </c>
      <c r="F1" s="152" t="s">
        <v>421</v>
      </c>
      <c r="G1" s="152" t="s">
        <v>422</v>
      </c>
      <c r="H1" s="151" t="s">
        <v>423</v>
      </c>
      <c r="I1" s="151" t="s">
        <v>424</v>
      </c>
      <c r="J1" s="152" t="s">
        <v>425</v>
      </c>
      <c r="K1" s="152" t="s">
        <v>426</v>
      </c>
      <c r="L1" s="152" t="s">
        <v>427</v>
      </c>
      <c r="M1" s="153" t="s">
        <v>428</v>
      </c>
      <c r="N1" s="153" t="s">
        <v>429</v>
      </c>
      <c r="O1" s="153" t="s">
        <v>430</v>
      </c>
      <c r="P1" s="153" t="s">
        <v>431</v>
      </c>
      <c r="Q1" s="158" t="s">
        <v>24</v>
      </c>
      <c r="R1" s="157" t="s">
        <v>432</v>
      </c>
      <c r="S1" s="151" t="s">
        <v>433</v>
      </c>
      <c r="T1" s="151" t="s">
        <v>434</v>
      </c>
      <c r="U1" s="151" t="s">
        <v>435</v>
      </c>
      <c r="V1" s="151" t="s">
        <v>436</v>
      </c>
      <c r="W1" s="151" t="s">
        <v>437</v>
      </c>
      <c r="X1" s="154" t="s">
        <v>17</v>
      </c>
      <c r="Y1" s="155" t="s">
        <v>438</v>
      </c>
      <c r="Z1" s="155" t="s">
        <v>439</v>
      </c>
      <c r="AA1" s="155" t="s">
        <v>440</v>
      </c>
      <c r="AB1" s="155" t="s">
        <v>441</v>
      </c>
      <c r="AC1" s="155" t="s">
        <v>442</v>
      </c>
      <c r="AD1" s="155" t="s">
        <v>443</v>
      </c>
      <c r="AE1" s="155" t="s">
        <v>444</v>
      </c>
      <c r="AF1" s="155" t="s">
        <v>445</v>
      </c>
      <c r="AG1" s="155" t="s">
        <v>446</v>
      </c>
      <c r="AH1" s="155" t="s">
        <v>447</v>
      </c>
      <c r="AI1" s="156" t="s">
        <v>448</v>
      </c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</row>
    <row r="2" spans="1:55" x14ac:dyDescent="0.3">
      <c r="A2" s="146" t="s">
        <v>449</v>
      </c>
      <c r="B2" s="149" t="s">
        <v>450</v>
      </c>
      <c r="C2" s="147" t="s">
        <v>451</v>
      </c>
      <c r="D2" s="268" t="s">
        <v>452</v>
      </c>
      <c r="E2" s="149" t="s">
        <v>451</v>
      </c>
      <c r="F2" s="149" t="s">
        <v>453</v>
      </c>
      <c r="G2" s="149" t="s">
        <v>454</v>
      </c>
      <c r="H2" s="86">
        <f>IF(ISNUMBER(MCC_Table[[#This Row],[SIZE]]), MCC_Table[[#This Row],[SIZE]]/12, 0)</f>
        <v>2</v>
      </c>
      <c r="I2" s="261"/>
      <c r="J2" s="261"/>
      <c r="K2" s="261"/>
      <c r="L2" s="261"/>
      <c r="M2" s="261">
        <v>400</v>
      </c>
      <c r="N2" s="261">
        <v>400</v>
      </c>
      <c r="O2" s="261"/>
      <c r="P2" s="261"/>
      <c r="Q2" s="159"/>
      <c r="R2" s="130">
        <f>_xlfn.NUMBERVALUE(LEFT(MCC_Table[[#This Row],[BUCKET]],LEN(MCC_Table[[#This Row],[BUCKET]])-1))</f>
        <v>1</v>
      </c>
      <c r="S2" s="51" t="str">
        <f>RIGHT(MCC_Table[[#This Row],[BUCKET]],1)</f>
        <v>A</v>
      </c>
      <c r="T2" s="51">
        <f>VLOOKUP(MCC_Table[[#This Row],[START UNIT]],UnitMap[],2,FALSE)</f>
        <v>1</v>
      </c>
      <c r="U2" s="51" cm="1">
        <f t="array" ref="U2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2" s="51">
        <f>IF(ISNUMBER(MCC_Table[[#This Row],[SIZE]]), MCC_Table[[#This Row],[SIZE]]/6, 0)</f>
        <v>4</v>
      </c>
      <c r="W2" s="51">
        <f>MCC_Table[[#This Row],[START INDEX]]+MCC_Table[[#This Row],[UNITS USED]]-1</f>
        <v>4</v>
      </c>
      <c r="X2" s="262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</row>
    <row r="3" spans="1:55" x14ac:dyDescent="0.3">
      <c r="A3" s="146" t="s">
        <v>449</v>
      </c>
      <c r="B3" s="149" t="s">
        <v>455</v>
      </c>
      <c r="C3" s="147" t="s">
        <v>456</v>
      </c>
      <c r="D3" s="268" t="s">
        <v>457</v>
      </c>
      <c r="E3" s="147" t="s">
        <v>458</v>
      </c>
      <c r="F3" s="149" t="s">
        <v>453</v>
      </c>
      <c r="G3" s="149" t="s">
        <v>459</v>
      </c>
      <c r="H3" s="86">
        <f>IF(ISNUMBER(MCC_Table[[#This Row],[SIZE]]), MCC_Table[[#This Row],[SIZE]]/12, 0)</f>
        <v>1.5</v>
      </c>
      <c r="I3" s="261"/>
      <c r="J3" s="261"/>
      <c r="K3" s="261"/>
      <c r="L3" s="261"/>
      <c r="M3" s="261"/>
      <c r="N3" s="261"/>
      <c r="O3" s="261">
        <v>30</v>
      </c>
      <c r="P3" s="261"/>
      <c r="Q3" s="159"/>
      <c r="R3" s="130">
        <f>_xlfn.NUMBERVALUE(LEFT(MCC_Table[[#This Row],[BUCKET]],LEN(MCC_Table[[#This Row],[BUCKET]])-1))</f>
        <v>1</v>
      </c>
      <c r="S3" s="51" t="str">
        <f>RIGHT(MCC_Table[[#This Row],[BUCKET]],1)</f>
        <v>E</v>
      </c>
      <c r="T3" s="51">
        <f>VLOOKUP(MCC_Table[[#This Row],[START UNIT]],UnitMap[],2,FALSE)</f>
        <v>5</v>
      </c>
      <c r="U3" s="51" cm="1">
        <f t="array" ref="U3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18</v>
      </c>
      <c r="V3" s="51">
        <f>IF(ISNUMBER(MCC_Table[[#This Row],[SIZE]]), MCC_Table[[#This Row],[SIZE]]/6, 0)</f>
        <v>3</v>
      </c>
      <c r="W3" s="51">
        <f>MCC_Table[[#This Row],[START INDEX]]+MCC_Table[[#This Row],[UNITS USED]]-1</f>
        <v>7</v>
      </c>
      <c r="X3" s="262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</row>
    <row r="4" spans="1:55" x14ac:dyDescent="0.3">
      <c r="A4" s="146" t="s">
        <v>449</v>
      </c>
      <c r="B4" s="261" t="s">
        <v>460</v>
      </c>
      <c r="C4" s="147"/>
      <c r="D4" s="269" t="s">
        <v>461</v>
      </c>
      <c r="E4" s="149" t="s">
        <v>462</v>
      </c>
      <c r="F4" s="149" t="s">
        <v>463</v>
      </c>
      <c r="G4" s="149" t="s">
        <v>464</v>
      </c>
      <c r="H4" s="87">
        <f>IF(ISNUMBER(MCC_Table[[#This Row],[SIZE]]), MCC_Table[[#This Row],[SIZE]]/12, 0)</f>
        <v>0.5</v>
      </c>
      <c r="I4" s="261"/>
      <c r="J4" s="261"/>
      <c r="K4" s="261"/>
      <c r="L4" s="261"/>
      <c r="M4" s="261"/>
      <c r="N4" s="261"/>
      <c r="O4" s="261"/>
      <c r="P4" s="261"/>
      <c r="Q4" s="159"/>
      <c r="R4" s="54">
        <f>_xlfn.NUMBERVALUE(LEFT(MCC_Table[[#This Row],[BUCKET]],LEN(MCC_Table[[#This Row],[BUCKET]])-1))</f>
        <v>1</v>
      </c>
      <c r="S4" s="10" t="str">
        <f>RIGHT(MCC_Table[[#This Row],[BUCKET]],1)</f>
        <v>H</v>
      </c>
      <c r="T4" s="10">
        <f>VLOOKUP(MCC_Table[[#This Row],[START UNIT]],UnitMap[],2,FALSE)</f>
        <v>8</v>
      </c>
      <c r="U4" s="10" cm="1">
        <f t="array" ref="U4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6</v>
      </c>
      <c r="V4" s="10">
        <f>IF(ISNUMBER(MCC_Table[[#This Row],[SIZE]]), MCC_Table[[#This Row],[SIZE]]/6, 0)</f>
        <v>1</v>
      </c>
      <c r="W4" s="10">
        <f>MCC_Table[[#This Row],[START INDEX]]+MCC_Table[[#This Row],[UNITS USED]]-1</f>
        <v>8</v>
      </c>
      <c r="X4" s="263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</row>
    <row r="5" spans="1:55" x14ac:dyDescent="0.3">
      <c r="A5" s="146" t="s">
        <v>449</v>
      </c>
      <c r="B5" s="149" t="s">
        <v>465</v>
      </c>
      <c r="C5" s="147" t="s">
        <v>466</v>
      </c>
      <c r="D5" s="268" t="s">
        <v>467</v>
      </c>
      <c r="E5" s="147" t="s">
        <v>468</v>
      </c>
      <c r="F5" s="149" t="s">
        <v>469</v>
      </c>
      <c r="G5" s="149" t="s">
        <v>470</v>
      </c>
      <c r="H5" s="86">
        <f>IF(ISNUMBER(MCC_Table[[#This Row],[SIZE]]), MCC_Table[[#This Row],[SIZE]]/12, 0)</f>
        <v>1</v>
      </c>
      <c r="I5" s="261"/>
      <c r="J5" s="261"/>
      <c r="K5" s="261"/>
      <c r="L5" s="261"/>
      <c r="M5" s="261"/>
      <c r="N5" s="261"/>
      <c r="O5" s="261"/>
      <c r="P5" s="261"/>
      <c r="Q5" s="159"/>
      <c r="R5" s="130">
        <f>_xlfn.NUMBERVALUE(LEFT(MCC_Table[[#This Row],[BUCKET]],LEN(MCC_Table[[#This Row],[BUCKET]])-1))</f>
        <v>1</v>
      </c>
      <c r="S5" s="51" t="str">
        <f>RIGHT(MCC_Table[[#This Row],[BUCKET]],1)</f>
        <v>J</v>
      </c>
      <c r="T5" s="51">
        <f>VLOOKUP(MCC_Table[[#This Row],[START UNIT]],UnitMap[],2,FALSE)</f>
        <v>9</v>
      </c>
      <c r="U5" s="51" cm="1">
        <f t="array" ref="U5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5" s="51">
        <f>IF(ISNUMBER(MCC_Table[[#This Row],[SIZE]]), MCC_Table[[#This Row],[SIZE]]/6, 0)</f>
        <v>2</v>
      </c>
      <c r="W5" s="51">
        <f>MCC_Table[[#This Row],[START INDEX]]+MCC_Table[[#This Row],[UNITS USED]]-1</f>
        <v>10</v>
      </c>
      <c r="X5" s="262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</row>
    <row r="6" spans="1:55" x14ac:dyDescent="0.3">
      <c r="A6" s="146" t="s">
        <v>449</v>
      </c>
      <c r="B6" s="149" t="s">
        <v>471</v>
      </c>
      <c r="C6" s="147" t="s">
        <v>472</v>
      </c>
      <c r="D6" s="268" t="s">
        <v>473</v>
      </c>
      <c r="E6" s="147" t="s">
        <v>474</v>
      </c>
      <c r="F6" s="149" t="s">
        <v>475</v>
      </c>
      <c r="G6" s="149" t="s">
        <v>476</v>
      </c>
      <c r="H6" s="86">
        <f>IF(ISNUMBER(MCC_Table[[#This Row],[SIZE]]), MCC_Table[[#This Row],[SIZE]]/12, 0)</f>
        <v>1</v>
      </c>
      <c r="I6" s="261"/>
      <c r="J6" s="261"/>
      <c r="K6" s="261"/>
      <c r="L6" s="261"/>
      <c r="M6" s="261"/>
      <c r="N6" s="261"/>
      <c r="O6" s="261"/>
      <c r="P6" s="261"/>
      <c r="Q6" s="159"/>
      <c r="R6" s="130">
        <f>_xlfn.NUMBERVALUE(LEFT(MCC_Table[[#This Row],[BUCKET]],LEN(MCC_Table[[#This Row],[BUCKET]])-1))</f>
        <v>1</v>
      </c>
      <c r="S6" s="51" t="str">
        <f>RIGHT(MCC_Table[[#This Row],[BUCKET]],1)</f>
        <v>L</v>
      </c>
      <c r="T6" s="51">
        <f>VLOOKUP(MCC_Table[[#This Row],[START UNIT]],UnitMap[],2,FALSE)</f>
        <v>11</v>
      </c>
      <c r="U6" s="51" cm="1">
        <f t="array" ref="U6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6" s="51">
        <f>IF(ISNUMBER(MCC_Table[[#This Row],[SIZE]]), MCC_Table[[#This Row],[SIZE]]/6, 0)</f>
        <v>2</v>
      </c>
      <c r="W6" s="51">
        <f>MCC_Table[[#This Row],[START INDEX]]+MCC_Table[[#This Row],[UNITS USED]]-1</f>
        <v>12</v>
      </c>
      <c r="X6" s="262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</row>
    <row r="7" spans="1:55" x14ac:dyDescent="0.3">
      <c r="A7" s="146" t="s">
        <v>449</v>
      </c>
      <c r="B7" s="149" t="s">
        <v>477</v>
      </c>
      <c r="C7" s="264" t="s">
        <v>478</v>
      </c>
      <c r="D7" s="268" t="s">
        <v>479</v>
      </c>
      <c r="E7" s="147" t="s">
        <v>480</v>
      </c>
      <c r="F7" s="149" t="s">
        <v>481</v>
      </c>
      <c r="G7" s="149" t="s">
        <v>482</v>
      </c>
      <c r="H7" s="86">
        <f>IF(ISNUMBER(MCC_Table[[#This Row],[SIZE]]), MCC_Table[[#This Row],[SIZE]]/12, 0)</f>
        <v>2</v>
      </c>
      <c r="I7" s="261">
        <v>2</v>
      </c>
      <c r="J7" s="261">
        <v>2</v>
      </c>
      <c r="K7" s="261">
        <v>4</v>
      </c>
      <c r="L7" s="261"/>
      <c r="M7" s="261">
        <v>15</v>
      </c>
      <c r="N7" s="261">
        <v>125</v>
      </c>
      <c r="O7" s="261">
        <v>10</v>
      </c>
      <c r="P7" s="261">
        <v>12</v>
      </c>
      <c r="Q7" s="159"/>
      <c r="R7" s="130">
        <f>_xlfn.NUMBERVALUE(LEFT(MCC_Table[[#This Row],[BUCKET]],LEN(MCC_Table[[#This Row],[BUCKET]])-1))</f>
        <v>2</v>
      </c>
      <c r="S7" s="51" t="str">
        <f>RIGHT(MCC_Table[[#This Row],[BUCKET]],1)</f>
        <v>A</v>
      </c>
      <c r="T7" s="51">
        <f>VLOOKUP(MCC_Table[[#This Row],[START UNIT]],UnitMap[],2,FALSE)</f>
        <v>1</v>
      </c>
      <c r="U7" s="51" cm="1">
        <f t="array" ref="U7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7" s="51">
        <f>IF(ISNUMBER(MCC_Table[[#This Row],[SIZE]]), MCC_Table[[#This Row],[SIZE]]/6, 0)</f>
        <v>4</v>
      </c>
      <c r="W7" s="51">
        <f>MCC_Table[[#This Row],[START INDEX]]+MCC_Table[[#This Row],[UNITS USED]]-1</f>
        <v>4</v>
      </c>
      <c r="X7" s="262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</row>
    <row r="8" spans="1:55" x14ac:dyDescent="0.3">
      <c r="A8" s="146" t="s">
        <v>449</v>
      </c>
      <c r="B8" s="261" t="s">
        <v>483</v>
      </c>
      <c r="C8" s="264" t="s">
        <v>484</v>
      </c>
      <c r="D8" s="269" t="s">
        <v>485</v>
      </c>
      <c r="E8" s="147" t="s">
        <v>480</v>
      </c>
      <c r="F8" s="149" t="s">
        <v>481</v>
      </c>
      <c r="G8" s="149" t="s">
        <v>482</v>
      </c>
      <c r="H8" s="87">
        <f>IF(ISNUMBER(MCC_Table[[#This Row],[SIZE]]), MCC_Table[[#This Row],[SIZE]]/12, 0)</f>
        <v>2</v>
      </c>
      <c r="I8" s="261">
        <v>2</v>
      </c>
      <c r="J8" s="261">
        <v>2</v>
      </c>
      <c r="K8" s="261">
        <v>4</v>
      </c>
      <c r="L8" s="261"/>
      <c r="M8" s="261">
        <v>15</v>
      </c>
      <c r="N8" s="261">
        <v>125</v>
      </c>
      <c r="O8" s="261">
        <v>10</v>
      </c>
      <c r="P8" s="261">
        <v>12</v>
      </c>
      <c r="Q8" s="159"/>
      <c r="R8" s="54">
        <f>_xlfn.NUMBERVALUE(LEFT(MCC_Table[[#This Row],[BUCKET]],LEN(MCC_Table[[#This Row],[BUCKET]])-1))</f>
        <v>2</v>
      </c>
      <c r="S8" s="10" t="str">
        <f>RIGHT(MCC_Table[[#This Row],[BUCKET]],1)</f>
        <v>E</v>
      </c>
      <c r="T8" s="10">
        <f>VLOOKUP(MCC_Table[[#This Row],[START UNIT]],UnitMap[],2,FALSE)</f>
        <v>5</v>
      </c>
      <c r="U8" s="10" cm="1">
        <f t="array" ref="U8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8" s="10">
        <f>IF(ISNUMBER(MCC_Table[[#This Row],[SIZE]]), MCC_Table[[#This Row],[SIZE]]/6, 0)</f>
        <v>4</v>
      </c>
      <c r="W8" s="10">
        <f>MCC_Table[[#This Row],[START INDEX]]+MCC_Table[[#This Row],[UNITS USED]]-1</f>
        <v>8</v>
      </c>
      <c r="X8" s="263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</row>
    <row r="9" spans="1:55" x14ac:dyDescent="0.3">
      <c r="A9" s="146" t="s">
        <v>449</v>
      </c>
      <c r="B9" s="261" t="s">
        <v>486</v>
      </c>
      <c r="C9" s="264" t="s">
        <v>487</v>
      </c>
      <c r="D9" s="269" t="s">
        <v>488</v>
      </c>
      <c r="E9" s="147" t="s">
        <v>480</v>
      </c>
      <c r="F9" s="149" t="s">
        <v>481</v>
      </c>
      <c r="G9" s="149" t="s">
        <v>482</v>
      </c>
      <c r="H9" s="87">
        <f>IF(ISNUMBER(MCC_Table[[#This Row],[SIZE]]), MCC_Table[[#This Row],[SIZE]]/12, 0)</f>
        <v>2</v>
      </c>
      <c r="I9" s="261">
        <v>2</v>
      </c>
      <c r="J9" s="261">
        <v>2</v>
      </c>
      <c r="K9" s="261">
        <v>4</v>
      </c>
      <c r="L9" s="261"/>
      <c r="M9" s="261">
        <v>15</v>
      </c>
      <c r="N9" s="261">
        <v>125</v>
      </c>
      <c r="O9" s="261">
        <v>10</v>
      </c>
      <c r="P9" s="261">
        <v>12</v>
      </c>
      <c r="Q9" s="159"/>
      <c r="R9" s="54">
        <f>_xlfn.NUMBERVALUE(LEFT(MCC_Table[[#This Row],[BUCKET]],LEN(MCC_Table[[#This Row],[BUCKET]])-1))</f>
        <v>2</v>
      </c>
      <c r="S9" s="10" t="str">
        <f>RIGHT(MCC_Table[[#This Row],[BUCKET]],1)</f>
        <v>J</v>
      </c>
      <c r="T9" s="10">
        <f>VLOOKUP(MCC_Table[[#This Row],[START UNIT]],UnitMap[],2,FALSE)</f>
        <v>9</v>
      </c>
      <c r="U9" s="10" cm="1">
        <f t="array" ref="U9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9" s="10">
        <f>IF(ISNUMBER(MCC_Table[[#This Row],[SIZE]]), MCC_Table[[#This Row],[SIZE]]/6, 0)</f>
        <v>4</v>
      </c>
      <c r="W9" s="10">
        <f>MCC_Table[[#This Row],[START INDEX]]+MCC_Table[[#This Row],[UNITS USED]]-1</f>
        <v>12</v>
      </c>
      <c r="X9" s="263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</row>
    <row r="10" spans="1:55" x14ac:dyDescent="0.3">
      <c r="A10" s="146" t="s">
        <v>449</v>
      </c>
      <c r="B10" s="261" t="s">
        <v>489</v>
      </c>
      <c r="C10" s="264" t="s">
        <v>490</v>
      </c>
      <c r="D10" s="269" t="s">
        <v>491</v>
      </c>
      <c r="E10" s="147" t="s">
        <v>480</v>
      </c>
      <c r="F10" s="149" t="s">
        <v>481</v>
      </c>
      <c r="G10" s="149" t="s">
        <v>482</v>
      </c>
      <c r="H10" s="87">
        <f>IF(ISNUMBER(MCC_Table[[#This Row],[SIZE]]), MCC_Table[[#This Row],[SIZE]]/12, 0)</f>
        <v>2.5</v>
      </c>
      <c r="I10" s="261">
        <v>10</v>
      </c>
      <c r="J10" s="261">
        <v>10</v>
      </c>
      <c r="K10" s="261">
        <v>17</v>
      </c>
      <c r="L10" s="261"/>
      <c r="M10" s="261">
        <v>30</v>
      </c>
      <c r="N10" s="261">
        <v>125</v>
      </c>
      <c r="O10" s="261">
        <v>30</v>
      </c>
      <c r="P10" s="261">
        <v>12</v>
      </c>
      <c r="Q10" s="159"/>
      <c r="R10" s="54">
        <f>_xlfn.NUMBERVALUE(LEFT(MCC_Table[[#This Row],[BUCKET]],LEN(MCC_Table[[#This Row],[BUCKET]])-1))</f>
        <v>3</v>
      </c>
      <c r="S10" s="10" t="str">
        <f>RIGHT(MCC_Table[[#This Row],[BUCKET]],1)</f>
        <v>A</v>
      </c>
      <c r="T10" s="10">
        <f>VLOOKUP(MCC_Table[[#This Row],[START UNIT]],UnitMap[],2,FALSE)</f>
        <v>1</v>
      </c>
      <c r="U10" s="10" cm="1">
        <f t="array" ref="U10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10" s="10">
        <f>IF(ISNUMBER(MCC_Table[[#This Row],[SIZE]]), MCC_Table[[#This Row],[SIZE]]/6, 0)</f>
        <v>5</v>
      </c>
      <c r="W10" s="10">
        <f>MCC_Table[[#This Row],[START INDEX]]+MCC_Table[[#This Row],[UNITS USED]]-1</f>
        <v>5</v>
      </c>
      <c r="X10" s="263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</row>
    <row r="11" spans="1:55" x14ac:dyDescent="0.3">
      <c r="A11" s="146" t="s">
        <v>449</v>
      </c>
      <c r="B11" s="261" t="s">
        <v>492</v>
      </c>
      <c r="C11" s="264" t="s">
        <v>493</v>
      </c>
      <c r="D11" s="269" t="s">
        <v>494</v>
      </c>
      <c r="E11" s="147" t="s">
        <v>480</v>
      </c>
      <c r="F11" s="149" t="s">
        <v>481</v>
      </c>
      <c r="G11" s="149" t="s">
        <v>482</v>
      </c>
      <c r="H11" s="87">
        <f>IF(ISNUMBER(MCC_Table[[#This Row],[SIZE]]), MCC_Table[[#This Row],[SIZE]]/12, 0)</f>
        <v>2.5</v>
      </c>
      <c r="I11" s="261">
        <v>10</v>
      </c>
      <c r="J11" s="261">
        <v>10</v>
      </c>
      <c r="K11" s="261">
        <v>17</v>
      </c>
      <c r="L11" s="261"/>
      <c r="M11" s="261">
        <v>30</v>
      </c>
      <c r="N11" s="261">
        <v>125</v>
      </c>
      <c r="O11" s="261">
        <v>30</v>
      </c>
      <c r="P11" s="261">
        <v>12</v>
      </c>
      <c r="Q11" s="159"/>
      <c r="R11" s="54">
        <f>_xlfn.NUMBERVALUE(LEFT(MCC_Table[[#This Row],[BUCKET]],LEN(MCC_Table[[#This Row],[BUCKET]])-1))</f>
        <v>3</v>
      </c>
      <c r="S11" s="10" t="str">
        <f>RIGHT(MCC_Table[[#This Row],[BUCKET]],1)</f>
        <v>F</v>
      </c>
      <c r="T11" s="10">
        <f>VLOOKUP(MCC_Table[[#This Row],[START UNIT]],UnitMap[],2,FALSE)</f>
        <v>6</v>
      </c>
      <c r="U11" s="10" cm="1">
        <f t="array" ref="U11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11" s="10">
        <f>IF(ISNUMBER(MCC_Table[[#This Row],[SIZE]]), MCC_Table[[#This Row],[SIZE]]/6, 0)</f>
        <v>5</v>
      </c>
      <c r="W11" s="10">
        <f>MCC_Table[[#This Row],[START INDEX]]+MCC_Table[[#This Row],[UNITS USED]]-1</f>
        <v>10</v>
      </c>
      <c r="X11" s="263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</row>
    <row r="12" spans="1:55" x14ac:dyDescent="0.3">
      <c r="A12" s="146" t="s">
        <v>449</v>
      </c>
      <c r="B12" s="261" t="s">
        <v>495</v>
      </c>
      <c r="C12" s="264"/>
      <c r="D12" s="269" t="s">
        <v>496</v>
      </c>
      <c r="E12" s="264" t="s">
        <v>462</v>
      </c>
      <c r="F12" s="149" t="s">
        <v>463</v>
      </c>
      <c r="G12" s="149" t="s">
        <v>464</v>
      </c>
      <c r="H12" s="87">
        <f>IF(ISNUMBER(MCC_Table[[#This Row],[SIZE]]), MCC_Table[[#This Row],[SIZE]]/12, 0)</f>
        <v>1</v>
      </c>
      <c r="I12" s="261"/>
      <c r="J12" s="261"/>
      <c r="K12" s="261"/>
      <c r="L12" s="261"/>
      <c r="M12" s="261"/>
      <c r="N12" s="261"/>
      <c r="O12" s="261"/>
      <c r="P12" s="261"/>
      <c r="Q12" s="159"/>
      <c r="R12" s="54">
        <f>_xlfn.NUMBERVALUE(LEFT(MCC_Table[[#This Row],[BUCKET]],LEN(MCC_Table[[#This Row],[BUCKET]])-1))</f>
        <v>3</v>
      </c>
      <c r="S12" s="10" t="str">
        <f>RIGHT(MCC_Table[[#This Row],[BUCKET]],1)</f>
        <v>L</v>
      </c>
      <c r="T12" s="10">
        <f>VLOOKUP(MCC_Table[[#This Row],[START UNIT]],UnitMap[],2,FALSE)</f>
        <v>11</v>
      </c>
      <c r="U12" s="10" cm="1">
        <f t="array" ref="U12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12" s="10">
        <f>IF(ISNUMBER(MCC_Table[[#This Row],[SIZE]]), MCC_Table[[#This Row],[SIZE]]/6, 0)</f>
        <v>2</v>
      </c>
      <c r="W12" s="10">
        <f>MCC_Table[[#This Row],[START INDEX]]+MCC_Table[[#This Row],[UNITS USED]]-1</f>
        <v>12</v>
      </c>
      <c r="X12" s="263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</row>
    <row r="13" spans="1:55" x14ac:dyDescent="0.3">
      <c r="A13" s="146" t="s">
        <v>449</v>
      </c>
      <c r="B13" s="261" t="s">
        <v>497</v>
      </c>
      <c r="C13" s="264" t="s">
        <v>498</v>
      </c>
      <c r="D13" s="269" t="s">
        <v>499</v>
      </c>
      <c r="E13" s="147" t="s">
        <v>480</v>
      </c>
      <c r="F13" s="149" t="s">
        <v>481</v>
      </c>
      <c r="G13" s="149" t="s">
        <v>482</v>
      </c>
      <c r="H13" s="87">
        <f>IF(ISNUMBER(MCC_Table[[#This Row],[SIZE]]), MCC_Table[[#This Row],[SIZE]]/12, 0)</f>
        <v>2.5</v>
      </c>
      <c r="I13" s="261">
        <v>10</v>
      </c>
      <c r="J13" s="261">
        <v>10</v>
      </c>
      <c r="K13" s="261">
        <v>17</v>
      </c>
      <c r="L13" s="261"/>
      <c r="M13" s="261">
        <v>30</v>
      </c>
      <c r="N13" s="261">
        <v>125</v>
      </c>
      <c r="O13" s="261">
        <v>30</v>
      </c>
      <c r="P13" s="261">
        <v>12</v>
      </c>
      <c r="Q13" s="159"/>
      <c r="R13" s="54">
        <f>_xlfn.NUMBERVALUE(LEFT(MCC_Table[[#This Row],[BUCKET]],LEN(MCC_Table[[#This Row],[BUCKET]])-1))</f>
        <v>4</v>
      </c>
      <c r="S13" s="10" t="str">
        <f>RIGHT(MCC_Table[[#This Row],[BUCKET]],1)</f>
        <v>A</v>
      </c>
      <c r="T13" s="10">
        <f>VLOOKUP(MCC_Table[[#This Row],[START UNIT]],UnitMap[],2,FALSE)</f>
        <v>1</v>
      </c>
      <c r="U13" s="10" cm="1">
        <f t="array" ref="U13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13" s="10">
        <f>IF(ISNUMBER(MCC_Table[[#This Row],[SIZE]]), MCC_Table[[#This Row],[SIZE]]/6, 0)</f>
        <v>5</v>
      </c>
      <c r="W13" s="10">
        <f>MCC_Table[[#This Row],[START INDEX]]+MCC_Table[[#This Row],[UNITS USED]]-1</f>
        <v>5</v>
      </c>
      <c r="X13" s="263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</row>
    <row r="14" spans="1:55" x14ac:dyDescent="0.3">
      <c r="A14" s="146" t="s">
        <v>449</v>
      </c>
      <c r="B14" s="261" t="s">
        <v>500</v>
      </c>
      <c r="C14" s="264" t="s">
        <v>501</v>
      </c>
      <c r="D14" s="269" t="s">
        <v>502</v>
      </c>
      <c r="E14" s="147" t="s">
        <v>480</v>
      </c>
      <c r="F14" s="149" t="s">
        <v>481</v>
      </c>
      <c r="G14" s="149" t="s">
        <v>482</v>
      </c>
      <c r="H14" s="87">
        <f>IF(ISNUMBER(MCC_Table[[#This Row],[SIZE]]), MCC_Table[[#This Row],[SIZE]]/12, 0)</f>
        <v>2.5</v>
      </c>
      <c r="I14" s="261">
        <v>10</v>
      </c>
      <c r="J14" s="261">
        <v>10</v>
      </c>
      <c r="K14" s="261">
        <v>17</v>
      </c>
      <c r="L14" s="261"/>
      <c r="M14" s="261">
        <v>30</v>
      </c>
      <c r="N14" s="261">
        <v>125</v>
      </c>
      <c r="O14" s="261">
        <v>30</v>
      </c>
      <c r="P14" s="261">
        <v>12</v>
      </c>
      <c r="Q14" s="159"/>
      <c r="R14" s="54">
        <f>_xlfn.NUMBERVALUE(LEFT(MCC_Table[[#This Row],[BUCKET]],LEN(MCC_Table[[#This Row],[BUCKET]])-1))</f>
        <v>4</v>
      </c>
      <c r="S14" s="10" t="str">
        <f>RIGHT(MCC_Table[[#This Row],[BUCKET]],1)</f>
        <v>F</v>
      </c>
      <c r="T14" s="10">
        <f>VLOOKUP(MCC_Table[[#This Row],[START UNIT]],UnitMap[],2,FALSE)</f>
        <v>6</v>
      </c>
      <c r="U14" s="10" cm="1">
        <f t="array" ref="U14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14" s="10">
        <f>IF(ISNUMBER(MCC_Table[[#This Row],[SIZE]]), MCC_Table[[#This Row],[SIZE]]/6, 0)</f>
        <v>5</v>
      </c>
      <c r="W14" s="10">
        <f>MCC_Table[[#This Row],[START INDEX]]+MCC_Table[[#This Row],[UNITS USED]]-1</f>
        <v>10</v>
      </c>
      <c r="X14" s="263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</row>
    <row r="15" spans="1:55" x14ac:dyDescent="0.3">
      <c r="A15" s="146" t="s">
        <v>449</v>
      </c>
      <c r="B15" s="261" t="s">
        <v>503</v>
      </c>
      <c r="C15" s="147" t="s">
        <v>504</v>
      </c>
      <c r="D15" s="269" t="s">
        <v>505</v>
      </c>
      <c r="E15" s="149" t="s">
        <v>506</v>
      </c>
      <c r="F15" s="149" t="s">
        <v>463</v>
      </c>
      <c r="G15" s="149" t="s">
        <v>507</v>
      </c>
      <c r="H15" s="87">
        <f>IF(ISNUMBER(MCC_Table[[#This Row],[SIZE]]), MCC_Table[[#This Row],[SIZE]]/12, 0)</f>
        <v>1</v>
      </c>
      <c r="I15" s="261"/>
      <c r="J15" s="261"/>
      <c r="K15" s="261"/>
      <c r="L15" s="261"/>
      <c r="M15" s="261">
        <v>30</v>
      </c>
      <c r="N15" s="261">
        <v>125</v>
      </c>
      <c r="O15" s="261"/>
      <c r="P15" s="261"/>
      <c r="Q15" s="159"/>
      <c r="R15" s="54">
        <f>_xlfn.NUMBERVALUE(LEFT(MCC_Table[[#This Row],[BUCKET]],LEN(MCC_Table[[#This Row],[BUCKET]])-1))</f>
        <v>4</v>
      </c>
      <c r="S15" s="10" t="str">
        <f>RIGHT(MCC_Table[[#This Row],[BUCKET]],1)</f>
        <v>L</v>
      </c>
      <c r="T15" s="10">
        <f>VLOOKUP(MCC_Table[[#This Row],[START UNIT]],UnitMap[],2,FALSE)</f>
        <v>11</v>
      </c>
      <c r="U15" s="10" cm="1">
        <f t="array" ref="U15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15" s="10">
        <f>IF(ISNUMBER(MCC_Table[[#This Row],[SIZE]]), MCC_Table[[#This Row],[SIZE]]/6, 0)</f>
        <v>2</v>
      </c>
      <c r="W15" s="10">
        <f>MCC_Table[[#This Row],[START INDEX]]+MCC_Table[[#This Row],[UNITS USED]]-1</f>
        <v>12</v>
      </c>
      <c r="X15" s="263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</row>
    <row r="16" spans="1:55" x14ac:dyDescent="0.3">
      <c r="A16" s="146" t="s">
        <v>449</v>
      </c>
      <c r="B16" s="261" t="s">
        <v>508</v>
      </c>
      <c r="C16" s="264" t="s">
        <v>509</v>
      </c>
      <c r="D16" s="269" t="s">
        <v>510</v>
      </c>
      <c r="E16" s="147" t="s">
        <v>480</v>
      </c>
      <c r="F16" s="149" t="s">
        <v>481</v>
      </c>
      <c r="G16" s="149" t="s">
        <v>482</v>
      </c>
      <c r="H16" s="87">
        <f>IF(ISNUMBER(MCC_Table[[#This Row],[SIZE]]), MCC_Table[[#This Row],[SIZE]]/12, 0)</f>
        <v>2</v>
      </c>
      <c r="I16" s="261">
        <v>2</v>
      </c>
      <c r="J16" s="261">
        <v>2</v>
      </c>
      <c r="K16" s="261">
        <v>4</v>
      </c>
      <c r="L16" s="261"/>
      <c r="M16" s="261">
        <v>15</v>
      </c>
      <c r="N16" s="261">
        <v>125</v>
      </c>
      <c r="O16" s="261">
        <v>10</v>
      </c>
      <c r="P16" s="261">
        <v>12</v>
      </c>
      <c r="Q16" s="159"/>
      <c r="R16" s="54">
        <f>_xlfn.NUMBERVALUE(LEFT(MCC_Table[[#This Row],[BUCKET]],LEN(MCC_Table[[#This Row],[BUCKET]])-1))</f>
        <v>5</v>
      </c>
      <c r="S16" s="10" t="str">
        <f>RIGHT(MCC_Table[[#This Row],[BUCKET]],1)</f>
        <v>A</v>
      </c>
      <c r="T16" s="10">
        <f>VLOOKUP(MCC_Table[[#This Row],[START UNIT]],UnitMap[],2,FALSE)</f>
        <v>1</v>
      </c>
      <c r="U16" s="10" cm="1">
        <f t="array" ref="U16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16" s="10">
        <f>IF(ISNUMBER(MCC_Table[[#This Row],[SIZE]]), MCC_Table[[#This Row],[SIZE]]/6, 0)</f>
        <v>4</v>
      </c>
      <c r="W16" s="10">
        <f>MCC_Table[[#This Row],[START INDEX]]+MCC_Table[[#This Row],[UNITS USED]]-1</f>
        <v>4</v>
      </c>
      <c r="X16" s="263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</row>
    <row r="17" spans="1:55" x14ac:dyDescent="0.3">
      <c r="A17" s="146" t="s">
        <v>449</v>
      </c>
      <c r="B17" s="261" t="s">
        <v>511</v>
      </c>
      <c r="C17" s="264" t="s">
        <v>512</v>
      </c>
      <c r="D17" s="269" t="s">
        <v>513</v>
      </c>
      <c r="E17" s="147" t="s">
        <v>480</v>
      </c>
      <c r="F17" s="149" t="s">
        <v>481</v>
      </c>
      <c r="G17" s="149" t="s">
        <v>482</v>
      </c>
      <c r="H17" s="87">
        <f>IF(ISNUMBER(MCC_Table[[#This Row],[SIZE]]), MCC_Table[[#This Row],[SIZE]]/12, 0)</f>
        <v>2</v>
      </c>
      <c r="I17" s="261">
        <v>5</v>
      </c>
      <c r="J17" s="261">
        <v>5</v>
      </c>
      <c r="K17" s="261">
        <v>10.5</v>
      </c>
      <c r="L17" s="261"/>
      <c r="M17" s="261">
        <v>20</v>
      </c>
      <c r="N17" s="261">
        <v>125</v>
      </c>
      <c r="O17" s="261">
        <v>20</v>
      </c>
      <c r="P17" s="261">
        <v>12</v>
      </c>
      <c r="Q17" s="159"/>
      <c r="R17" s="54">
        <f>_xlfn.NUMBERVALUE(LEFT(MCC_Table[[#This Row],[BUCKET]],LEN(MCC_Table[[#This Row],[BUCKET]])-1))</f>
        <v>5</v>
      </c>
      <c r="S17" s="10" t="str">
        <f>RIGHT(MCC_Table[[#This Row],[BUCKET]],1)</f>
        <v>E</v>
      </c>
      <c r="T17" s="10">
        <f>VLOOKUP(MCC_Table[[#This Row],[START UNIT]],UnitMap[],2,FALSE)</f>
        <v>5</v>
      </c>
      <c r="U17" s="10" cm="1">
        <f t="array" ref="U17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17" s="10">
        <f>IF(ISNUMBER(MCC_Table[[#This Row],[SIZE]]), MCC_Table[[#This Row],[SIZE]]/6, 0)</f>
        <v>4</v>
      </c>
      <c r="W17" s="10">
        <f>MCC_Table[[#This Row],[START INDEX]]+MCC_Table[[#This Row],[UNITS USED]]-1</f>
        <v>8</v>
      </c>
      <c r="X17" s="263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</row>
    <row r="18" spans="1:55" x14ac:dyDescent="0.3">
      <c r="A18" s="146" t="s">
        <v>449</v>
      </c>
      <c r="B18" s="261" t="s">
        <v>514</v>
      </c>
      <c r="C18" s="264" t="s">
        <v>515</v>
      </c>
      <c r="D18" s="269" t="s">
        <v>516</v>
      </c>
      <c r="E18" s="147" t="s">
        <v>480</v>
      </c>
      <c r="F18" s="149" t="s">
        <v>481</v>
      </c>
      <c r="G18" s="149" t="s">
        <v>482</v>
      </c>
      <c r="H18" s="87">
        <f>IF(ISNUMBER(MCC_Table[[#This Row],[SIZE]]), MCC_Table[[#This Row],[SIZE]]/12, 0)</f>
        <v>2</v>
      </c>
      <c r="I18" s="261">
        <v>2</v>
      </c>
      <c r="J18" s="261">
        <v>2</v>
      </c>
      <c r="K18" s="261">
        <v>4</v>
      </c>
      <c r="L18" s="261"/>
      <c r="M18" s="261">
        <v>15</v>
      </c>
      <c r="N18" s="261">
        <v>125</v>
      </c>
      <c r="O18" s="261">
        <v>10</v>
      </c>
      <c r="P18" s="261">
        <v>12</v>
      </c>
      <c r="Q18" s="159"/>
      <c r="R18" s="54">
        <f>_xlfn.NUMBERVALUE(LEFT(MCC_Table[[#This Row],[BUCKET]],LEN(MCC_Table[[#This Row],[BUCKET]])-1))</f>
        <v>5</v>
      </c>
      <c r="S18" s="10" t="str">
        <f>RIGHT(MCC_Table[[#This Row],[BUCKET]],1)</f>
        <v>J</v>
      </c>
      <c r="T18" s="10">
        <f>VLOOKUP(MCC_Table[[#This Row],[START UNIT]],UnitMap[],2,FALSE)</f>
        <v>9</v>
      </c>
      <c r="U18" s="10" cm="1">
        <f t="array" ref="U18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18" s="10">
        <f>IF(ISNUMBER(MCC_Table[[#This Row],[SIZE]]), MCC_Table[[#This Row],[SIZE]]/6, 0)</f>
        <v>4</v>
      </c>
      <c r="W18" s="10">
        <f>MCC_Table[[#This Row],[START INDEX]]+MCC_Table[[#This Row],[UNITS USED]]-1</f>
        <v>12</v>
      </c>
      <c r="X18" s="263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</row>
    <row r="19" spans="1:55" x14ac:dyDescent="0.3">
      <c r="A19" s="146" t="s">
        <v>449</v>
      </c>
      <c r="B19" s="261" t="s">
        <v>517</v>
      </c>
      <c r="C19" s="264" t="s">
        <v>518</v>
      </c>
      <c r="D19" s="269" t="s">
        <v>519</v>
      </c>
      <c r="E19" s="147" t="s">
        <v>480</v>
      </c>
      <c r="F19" s="149" t="s">
        <v>481</v>
      </c>
      <c r="G19" s="149" t="s">
        <v>482</v>
      </c>
      <c r="H19" s="87">
        <f>IF(ISNUMBER(MCC_Table[[#This Row],[SIZE]]), MCC_Table[[#This Row],[SIZE]]/12, 0)</f>
        <v>2.5</v>
      </c>
      <c r="I19" s="261">
        <v>10</v>
      </c>
      <c r="J19" s="261">
        <v>10</v>
      </c>
      <c r="K19" s="261">
        <v>17</v>
      </c>
      <c r="L19" s="261"/>
      <c r="M19" s="261">
        <v>30</v>
      </c>
      <c r="N19" s="261">
        <v>125</v>
      </c>
      <c r="O19" s="261">
        <v>30</v>
      </c>
      <c r="P19" s="261">
        <v>12</v>
      </c>
      <c r="Q19" s="159"/>
      <c r="R19" s="54">
        <f>_xlfn.NUMBERVALUE(LEFT(MCC_Table[[#This Row],[BUCKET]],LEN(MCC_Table[[#This Row],[BUCKET]])-1))</f>
        <v>6</v>
      </c>
      <c r="S19" s="10" t="str">
        <f>RIGHT(MCC_Table[[#This Row],[BUCKET]],1)</f>
        <v>A</v>
      </c>
      <c r="T19" s="10">
        <f>VLOOKUP(MCC_Table[[#This Row],[START UNIT]],UnitMap[],2,FALSE)</f>
        <v>1</v>
      </c>
      <c r="U19" s="10" cm="1">
        <f t="array" ref="U19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19" s="10">
        <f>IF(ISNUMBER(MCC_Table[[#This Row],[SIZE]]), MCC_Table[[#This Row],[SIZE]]/6, 0)</f>
        <v>5</v>
      </c>
      <c r="W19" s="10">
        <f>MCC_Table[[#This Row],[START INDEX]]+MCC_Table[[#This Row],[UNITS USED]]-1</f>
        <v>5</v>
      </c>
      <c r="X19" s="263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</row>
    <row r="20" spans="1:55" x14ac:dyDescent="0.3">
      <c r="A20" s="146" t="s">
        <v>449</v>
      </c>
      <c r="B20" s="261" t="s">
        <v>520</v>
      </c>
      <c r="C20" s="264"/>
      <c r="D20" s="269" t="s">
        <v>521</v>
      </c>
      <c r="E20" s="149" t="s">
        <v>462</v>
      </c>
      <c r="F20" s="149" t="s">
        <v>463</v>
      </c>
      <c r="G20" s="149" t="s">
        <v>464</v>
      </c>
      <c r="H20" s="87">
        <f>IF(ISNUMBER(MCC_Table[[#This Row],[SIZE]]), MCC_Table[[#This Row],[SIZE]]/12, 0)</f>
        <v>1</v>
      </c>
      <c r="I20" s="261"/>
      <c r="J20" s="261"/>
      <c r="K20" s="261"/>
      <c r="L20" s="261"/>
      <c r="M20" s="261"/>
      <c r="N20" s="261"/>
      <c r="O20" s="261"/>
      <c r="P20" s="261"/>
      <c r="Q20" s="159"/>
      <c r="R20" s="54">
        <f>_xlfn.NUMBERVALUE(LEFT(MCC_Table[[#This Row],[BUCKET]],LEN(MCC_Table[[#This Row],[BUCKET]])-1))</f>
        <v>6</v>
      </c>
      <c r="S20" s="10" t="str">
        <f>RIGHT(MCC_Table[[#This Row],[BUCKET]],1)</f>
        <v>F</v>
      </c>
      <c r="T20" s="10">
        <f>VLOOKUP(MCC_Table[[#This Row],[START UNIT]],UnitMap[],2,FALSE)</f>
        <v>6</v>
      </c>
      <c r="U20" s="10" cm="1">
        <f t="array" ref="U20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20" s="10">
        <f>IF(ISNUMBER(MCC_Table[[#This Row],[SIZE]]), MCC_Table[[#This Row],[SIZE]]/6, 0)</f>
        <v>2</v>
      </c>
      <c r="W20" s="10">
        <f>MCC_Table[[#This Row],[START INDEX]]+MCC_Table[[#This Row],[UNITS USED]]-1</f>
        <v>7</v>
      </c>
      <c r="X20" s="263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</row>
    <row r="21" spans="1:55" x14ac:dyDescent="0.3">
      <c r="A21" s="146" t="s">
        <v>449</v>
      </c>
      <c r="B21" s="149" t="s">
        <v>522</v>
      </c>
      <c r="C21" s="147"/>
      <c r="D21" s="268" t="s">
        <v>461</v>
      </c>
      <c r="E21" s="147" t="s">
        <v>462</v>
      </c>
      <c r="F21" s="149" t="s">
        <v>463</v>
      </c>
      <c r="G21" s="149" t="s">
        <v>464</v>
      </c>
      <c r="H21" s="86">
        <f>IF(ISNUMBER(MCC_Table[[#This Row],[SIZE]]), MCC_Table[[#This Row],[SIZE]]/12, 0)</f>
        <v>0.5</v>
      </c>
      <c r="I21" s="261"/>
      <c r="J21" s="261"/>
      <c r="K21" s="261"/>
      <c r="L21" s="261"/>
      <c r="M21" s="261"/>
      <c r="N21" s="261"/>
      <c r="O21" s="261"/>
      <c r="P21" s="261"/>
      <c r="Q21" s="159"/>
      <c r="R21" s="130">
        <f>_xlfn.NUMBERVALUE(LEFT(MCC_Table[[#This Row],[BUCKET]],LEN(MCC_Table[[#This Row],[BUCKET]])-1))</f>
        <v>6</v>
      </c>
      <c r="S21" s="51" t="str">
        <f>RIGHT(MCC_Table[[#This Row],[BUCKET]],1)</f>
        <v>H</v>
      </c>
      <c r="T21" s="51">
        <f>VLOOKUP(MCC_Table[[#This Row],[START UNIT]],UnitMap[],2,FALSE)</f>
        <v>8</v>
      </c>
      <c r="U21" s="51" cm="1">
        <f t="array" ref="U21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6</v>
      </c>
      <c r="V21" s="51">
        <f>IF(ISNUMBER(MCC_Table[[#This Row],[SIZE]]), MCC_Table[[#This Row],[SIZE]]/6, 0)</f>
        <v>1</v>
      </c>
      <c r="W21" s="51">
        <f>MCC_Table[[#This Row],[START INDEX]]+MCC_Table[[#This Row],[UNITS USED]]-1</f>
        <v>8</v>
      </c>
      <c r="X21" s="263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</row>
    <row r="22" spans="1:55" x14ac:dyDescent="0.3">
      <c r="A22" s="146" t="s">
        <v>449</v>
      </c>
      <c r="B22" s="261" t="s">
        <v>523</v>
      </c>
      <c r="C22" s="264" t="s">
        <v>524</v>
      </c>
      <c r="D22" s="269" t="s">
        <v>525</v>
      </c>
      <c r="E22" s="147" t="s">
        <v>480</v>
      </c>
      <c r="F22" s="149" t="s">
        <v>481</v>
      </c>
      <c r="G22" s="149" t="s">
        <v>482</v>
      </c>
      <c r="H22" s="87">
        <f>IF(ISNUMBER(MCC_Table[[#This Row],[SIZE]]), MCC_Table[[#This Row],[SIZE]]/12, 0)</f>
        <v>2</v>
      </c>
      <c r="I22" s="261">
        <v>2</v>
      </c>
      <c r="J22" s="261">
        <v>2</v>
      </c>
      <c r="K22" s="261">
        <v>4</v>
      </c>
      <c r="L22" s="261"/>
      <c r="M22" s="261">
        <v>15</v>
      </c>
      <c r="N22" s="261">
        <v>125</v>
      </c>
      <c r="O22" s="261">
        <v>10</v>
      </c>
      <c r="P22" s="261">
        <v>12</v>
      </c>
      <c r="Q22" s="159"/>
      <c r="R22" s="54">
        <f>_xlfn.NUMBERVALUE(LEFT(MCC_Table[[#This Row],[BUCKET]],LEN(MCC_Table[[#This Row],[BUCKET]])-1))</f>
        <v>6</v>
      </c>
      <c r="S22" s="10" t="str">
        <f>RIGHT(MCC_Table[[#This Row],[BUCKET]],1)</f>
        <v>J</v>
      </c>
      <c r="T22" s="10">
        <f>VLOOKUP(MCC_Table[[#This Row],[START UNIT]],UnitMap[],2,FALSE)</f>
        <v>9</v>
      </c>
      <c r="U22" s="10" cm="1">
        <f t="array" ref="U22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22" s="10">
        <f>IF(ISNUMBER(MCC_Table[[#This Row],[SIZE]]), MCC_Table[[#This Row],[SIZE]]/6, 0)</f>
        <v>4</v>
      </c>
      <c r="W22" s="10">
        <f>MCC_Table[[#This Row],[START INDEX]]+MCC_Table[[#This Row],[UNITS USED]]-1</f>
        <v>12</v>
      </c>
      <c r="X22" s="263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</row>
    <row r="23" spans="1:55" x14ac:dyDescent="0.3">
      <c r="A23" s="146" t="s">
        <v>449</v>
      </c>
      <c r="B23" s="261" t="s">
        <v>526</v>
      </c>
      <c r="C23" s="264" t="s">
        <v>527</v>
      </c>
      <c r="D23" s="269" t="s">
        <v>528</v>
      </c>
      <c r="E23" s="147" t="s">
        <v>480</v>
      </c>
      <c r="F23" s="149" t="s">
        <v>481</v>
      </c>
      <c r="G23" s="149" t="s">
        <v>482</v>
      </c>
      <c r="H23" s="87">
        <f>IF(ISNUMBER(MCC_Table[[#This Row],[SIZE]]), MCC_Table[[#This Row],[SIZE]]/12, 0)</f>
        <v>2.5</v>
      </c>
      <c r="I23" s="261">
        <v>10</v>
      </c>
      <c r="J23" s="261">
        <v>10</v>
      </c>
      <c r="K23" s="261">
        <v>17</v>
      </c>
      <c r="L23" s="261"/>
      <c r="M23" s="261">
        <v>30</v>
      </c>
      <c r="N23" s="261">
        <v>125</v>
      </c>
      <c r="O23" s="261">
        <v>30</v>
      </c>
      <c r="P23" s="261">
        <v>12</v>
      </c>
      <c r="Q23" s="159"/>
      <c r="R23" s="54">
        <f>_xlfn.NUMBERVALUE(LEFT(MCC_Table[[#This Row],[BUCKET]],LEN(MCC_Table[[#This Row],[BUCKET]])-1))</f>
        <v>7</v>
      </c>
      <c r="S23" s="10" t="str">
        <f>RIGHT(MCC_Table[[#This Row],[BUCKET]],1)</f>
        <v>A</v>
      </c>
      <c r="T23" s="10">
        <f>VLOOKUP(MCC_Table[[#This Row],[START UNIT]],UnitMap[],2,FALSE)</f>
        <v>1</v>
      </c>
      <c r="U23" s="10" cm="1">
        <f t="array" ref="U23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23" s="10">
        <f>IF(ISNUMBER(MCC_Table[[#This Row],[SIZE]]), MCC_Table[[#This Row],[SIZE]]/6, 0)</f>
        <v>5</v>
      </c>
      <c r="W23" s="10">
        <f>MCC_Table[[#This Row],[START INDEX]]+MCC_Table[[#This Row],[UNITS USED]]-1</f>
        <v>5</v>
      </c>
      <c r="X23" s="263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</row>
    <row r="24" spans="1:55" x14ac:dyDescent="0.3">
      <c r="A24" s="146" t="s">
        <v>449</v>
      </c>
      <c r="B24" s="149" t="s">
        <v>529</v>
      </c>
      <c r="C24" s="264" t="s">
        <v>53</v>
      </c>
      <c r="D24" s="268" t="s">
        <v>530</v>
      </c>
      <c r="E24" s="147" t="s">
        <v>480</v>
      </c>
      <c r="F24" s="149" t="s">
        <v>481</v>
      </c>
      <c r="G24" s="149" t="s">
        <v>482</v>
      </c>
      <c r="H24" s="86">
        <f>IF(ISNUMBER(MCC_Table[[#This Row],[SIZE]]), MCC_Table[[#This Row],[SIZE]]/12, 0)</f>
        <v>2.5</v>
      </c>
      <c r="I24" s="261">
        <v>10</v>
      </c>
      <c r="J24" s="261">
        <v>10</v>
      </c>
      <c r="K24" s="261">
        <v>17</v>
      </c>
      <c r="L24" s="261"/>
      <c r="M24" s="261">
        <v>30</v>
      </c>
      <c r="N24" s="261">
        <v>125</v>
      </c>
      <c r="O24" s="261">
        <v>30</v>
      </c>
      <c r="P24" s="261">
        <v>12</v>
      </c>
      <c r="Q24" s="159"/>
      <c r="R24" s="130">
        <f>_xlfn.NUMBERVALUE(LEFT(MCC_Table[[#This Row],[BUCKET]],LEN(MCC_Table[[#This Row],[BUCKET]])-1))</f>
        <v>7</v>
      </c>
      <c r="S24" s="51" t="str">
        <f>RIGHT(MCC_Table[[#This Row],[BUCKET]],1)</f>
        <v>F</v>
      </c>
      <c r="T24" s="51">
        <f>VLOOKUP(MCC_Table[[#This Row],[START UNIT]],UnitMap[],2,FALSE)</f>
        <v>6</v>
      </c>
      <c r="U24" s="51" cm="1">
        <f t="array" ref="U24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24" s="51">
        <f>IF(ISNUMBER(MCC_Table[[#This Row],[SIZE]]), MCC_Table[[#This Row],[SIZE]]/6, 0)</f>
        <v>5</v>
      </c>
      <c r="W24" s="51">
        <f>MCC_Table[[#This Row],[START INDEX]]+MCC_Table[[#This Row],[UNITS USED]]-1</f>
        <v>10</v>
      </c>
      <c r="X24" s="263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</row>
    <row r="25" spans="1:55" x14ac:dyDescent="0.3">
      <c r="A25" s="146" t="s">
        <v>449</v>
      </c>
      <c r="B25" s="261" t="s">
        <v>531</v>
      </c>
      <c r="C25" s="264" t="s">
        <v>532</v>
      </c>
      <c r="D25" s="269" t="s">
        <v>533</v>
      </c>
      <c r="E25" s="264" t="s">
        <v>506</v>
      </c>
      <c r="F25" s="149" t="s">
        <v>463</v>
      </c>
      <c r="G25" s="149" t="s">
        <v>507</v>
      </c>
      <c r="H25" s="87">
        <f>IF(ISNUMBER(MCC_Table[[#This Row],[SIZE]]), MCC_Table[[#This Row],[SIZE]]/12, 0)</f>
        <v>1</v>
      </c>
      <c r="I25" s="261"/>
      <c r="J25" s="261"/>
      <c r="K25" s="261"/>
      <c r="L25" s="261"/>
      <c r="M25" s="261">
        <v>30</v>
      </c>
      <c r="N25" s="261">
        <v>125</v>
      </c>
      <c r="O25" s="261"/>
      <c r="P25" s="261"/>
      <c r="Q25" s="159"/>
      <c r="R25" s="54">
        <f>_xlfn.NUMBERVALUE(LEFT(MCC_Table[[#This Row],[BUCKET]],LEN(MCC_Table[[#This Row],[BUCKET]])-1))</f>
        <v>7</v>
      </c>
      <c r="S25" s="10" t="str">
        <f>RIGHT(MCC_Table[[#This Row],[BUCKET]],1)</f>
        <v>L</v>
      </c>
      <c r="T25" s="10">
        <f>VLOOKUP(MCC_Table[[#This Row],[START UNIT]],UnitMap[],2,FALSE)</f>
        <v>11</v>
      </c>
      <c r="U25" s="10" cm="1">
        <f t="array" ref="U25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25" s="10">
        <f>IF(ISNUMBER(MCC_Table[[#This Row],[SIZE]]), MCC_Table[[#This Row],[SIZE]]/6, 0)</f>
        <v>2</v>
      </c>
      <c r="W25" s="10">
        <f>MCC_Table[[#This Row],[START INDEX]]+MCC_Table[[#This Row],[UNITS USED]]-1</f>
        <v>12</v>
      </c>
      <c r="X25" s="263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</row>
    <row r="26" spans="1:55" x14ac:dyDescent="0.3">
      <c r="A26" s="146" t="s">
        <v>449</v>
      </c>
      <c r="B26" s="261" t="s">
        <v>534</v>
      </c>
      <c r="C26" s="264" t="s">
        <v>535</v>
      </c>
      <c r="D26" s="269" t="s">
        <v>536</v>
      </c>
      <c r="E26" s="147" t="s">
        <v>480</v>
      </c>
      <c r="F26" s="149" t="s">
        <v>481</v>
      </c>
      <c r="G26" s="149" t="s">
        <v>482</v>
      </c>
      <c r="H26" s="87">
        <f>IF(ISNUMBER(MCC_Table[[#This Row],[SIZE]]), MCC_Table[[#This Row],[SIZE]]/12, 0)</f>
        <v>2.5</v>
      </c>
      <c r="I26" s="261">
        <v>10</v>
      </c>
      <c r="J26" s="261">
        <v>10</v>
      </c>
      <c r="K26" s="261">
        <v>17</v>
      </c>
      <c r="L26" s="261"/>
      <c r="M26" s="261">
        <v>30</v>
      </c>
      <c r="N26" s="261">
        <v>125</v>
      </c>
      <c r="O26" s="261">
        <v>30</v>
      </c>
      <c r="P26" s="261">
        <v>12</v>
      </c>
      <c r="Q26" s="159"/>
      <c r="R26" s="54">
        <f>_xlfn.NUMBERVALUE(LEFT(MCC_Table[[#This Row],[BUCKET]],LEN(MCC_Table[[#This Row],[BUCKET]])-1))</f>
        <v>8</v>
      </c>
      <c r="S26" s="10" t="str">
        <f>RIGHT(MCC_Table[[#This Row],[BUCKET]],1)</f>
        <v>A</v>
      </c>
      <c r="T26" s="10">
        <f>VLOOKUP(MCC_Table[[#This Row],[START UNIT]],UnitMap[],2,FALSE)</f>
        <v>1</v>
      </c>
      <c r="U26" s="10" cm="1">
        <f t="array" ref="U26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26" s="10">
        <f>IF(ISNUMBER(MCC_Table[[#This Row],[SIZE]]), MCC_Table[[#This Row],[SIZE]]/6, 0)</f>
        <v>5</v>
      </c>
      <c r="W26" s="10">
        <f>MCC_Table[[#This Row],[START INDEX]]+MCC_Table[[#This Row],[UNITS USED]]-1</f>
        <v>5</v>
      </c>
      <c r="X26" s="263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</row>
    <row r="27" spans="1:55" x14ac:dyDescent="0.3">
      <c r="A27" s="146" t="s">
        <v>449</v>
      </c>
      <c r="B27" s="149" t="s">
        <v>537</v>
      </c>
      <c r="C27" s="264" t="s">
        <v>538</v>
      </c>
      <c r="D27" s="268" t="s">
        <v>536</v>
      </c>
      <c r="E27" s="147" t="s">
        <v>480</v>
      </c>
      <c r="F27" s="149" t="s">
        <v>481</v>
      </c>
      <c r="G27" s="149" t="s">
        <v>482</v>
      </c>
      <c r="H27" s="86">
        <f>IF(ISNUMBER(MCC_Table[[#This Row],[SIZE]]), MCC_Table[[#This Row],[SIZE]]/12, 0)</f>
        <v>2.5</v>
      </c>
      <c r="I27" s="261">
        <v>10</v>
      </c>
      <c r="J27" s="261">
        <v>10</v>
      </c>
      <c r="K27" s="261">
        <v>17</v>
      </c>
      <c r="L27" s="261"/>
      <c r="M27" s="261">
        <v>30</v>
      </c>
      <c r="N27" s="261">
        <v>125</v>
      </c>
      <c r="O27" s="261">
        <v>30</v>
      </c>
      <c r="P27" s="261">
        <v>12</v>
      </c>
      <c r="Q27" s="159"/>
      <c r="R27" s="130">
        <f>_xlfn.NUMBERVALUE(LEFT(MCC_Table[[#This Row],[BUCKET]],LEN(MCC_Table[[#This Row],[BUCKET]])-1))</f>
        <v>8</v>
      </c>
      <c r="S27" s="51" t="str">
        <f>RIGHT(MCC_Table[[#This Row],[BUCKET]],1)</f>
        <v>F</v>
      </c>
      <c r="T27" s="51">
        <f>VLOOKUP(MCC_Table[[#This Row],[START UNIT]],UnitMap[],2,FALSE)</f>
        <v>6</v>
      </c>
      <c r="U27" s="51" cm="1">
        <f t="array" ref="U27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27" s="51">
        <f>IF(ISNUMBER(MCC_Table[[#This Row],[SIZE]]), MCC_Table[[#This Row],[SIZE]]/6, 0)</f>
        <v>5</v>
      </c>
      <c r="W27" s="51">
        <f>MCC_Table[[#This Row],[START INDEX]]+MCC_Table[[#This Row],[UNITS USED]]-1</f>
        <v>10</v>
      </c>
      <c r="X27" s="263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</row>
    <row r="28" spans="1:55" x14ac:dyDescent="0.3">
      <c r="A28" s="146" t="s">
        <v>449</v>
      </c>
      <c r="B28" s="261" t="s">
        <v>539</v>
      </c>
      <c r="C28" s="264"/>
      <c r="D28" s="269" t="s">
        <v>540</v>
      </c>
      <c r="E28" s="264" t="s">
        <v>474</v>
      </c>
      <c r="F28" s="149" t="s">
        <v>475</v>
      </c>
      <c r="G28" s="149" t="s">
        <v>476</v>
      </c>
      <c r="H28" s="87">
        <f>IF(ISNUMBER(MCC_Table[[#This Row],[SIZE]]), MCC_Table[[#This Row],[SIZE]]/12, 0)</f>
        <v>1</v>
      </c>
      <c r="I28" s="261"/>
      <c r="J28" s="261"/>
      <c r="K28" s="261"/>
      <c r="L28" s="261"/>
      <c r="M28" s="261"/>
      <c r="N28" s="261"/>
      <c r="O28" s="261"/>
      <c r="P28" s="261"/>
      <c r="Q28" s="159"/>
      <c r="R28" s="54">
        <f>_xlfn.NUMBERVALUE(LEFT(MCC_Table[[#This Row],[BUCKET]],LEN(MCC_Table[[#This Row],[BUCKET]])-1))</f>
        <v>8</v>
      </c>
      <c r="S28" s="10" t="str">
        <f>RIGHT(MCC_Table[[#This Row],[BUCKET]],1)</f>
        <v>L</v>
      </c>
      <c r="T28" s="10">
        <f>VLOOKUP(MCC_Table[[#This Row],[START UNIT]],UnitMap[],2,FALSE)</f>
        <v>11</v>
      </c>
      <c r="U28" s="10" cm="1">
        <f t="array" ref="U28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28" s="10">
        <f>IF(ISNUMBER(MCC_Table[[#This Row],[SIZE]]), MCC_Table[[#This Row],[SIZE]]/6, 0)</f>
        <v>2</v>
      </c>
      <c r="W28" s="10">
        <f>MCC_Table[[#This Row],[START INDEX]]+MCC_Table[[#This Row],[UNITS USED]]-1</f>
        <v>12</v>
      </c>
      <c r="X28" s="263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</row>
    <row r="29" spans="1:55" x14ac:dyDescent="0.3">
      <c r="A29" s="146" t="s">
        <v>449</v>
      </c>
      <c r="B29" s="261" t="s">
        <v>541</v>
      </c>
      <c r="C29" s="264" t="s">
        <v>542</v>
      </c>
      <c r="D29" s="269" t="s">
        <v>543</v>
      </c>
      <c r="E29" s="147" t="s">
        <v>480</v>
      </c>
      <c r="F29" s="149" t="s">
        <v>481</v>
      </c>
      <c r="G29" s="149" t="s">
        <v>482</v>
      </c>
      <c r="H29" s="87">
        <f>IF(ISNUMBER(MCC_Table[[#This Row],[SIZE]]), MCC_Table[[#This Row],[SIZE]]/12, 0)</f>
        <v>2</v>
      </c>
      <c r="I29" s="261">
        <v>2</v>
      </c>
      <c r="J29" s="261">
        <v>2</v>
      </c>
      <c r="K29" s="261">
        <v>4</v>
      </c>
      <c r="L29" s="261"/>
      <c r="M29" s="261">
        <v>15</v>
      </c>
      <c r="N29" s="261">
        <v>125</v>
      </c>
      <c r="O29" s="261">
        <v>10</v>
      </c>
      <c r="P29" s="261">
        <v>12</v>
      </c>
      <c r="Q29" s="159"/>
      <c r="R29" s="54">
        <f>_xlfn.NUMBERVALUE(LEFT(MCC_Table[[#This Row],[BUCKET]],LEN(MCC_Table[[#This Row],[BUCKET]])-1))</f>
        <v>9</v>
      </c>
      <c r="S29" s="10" t="str">
        <f>RIGHT(MCC_Table[[#This Row],[BUCKET]],1)</f>
        <v>A</v>
      </c>
      <c r="T29" s="10">
        <f>VLOOKUP(MCC_Table[[#This Row],[START UNIT]],UnitMap[],2,FALSE)</f>
        <v>1</v>
      </c>
      <c r="U29" s="10" cm="1">
        <f t="array" ref="U29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29" s="10">
        <f>IF(ISNUMBER(MCC_Table[[#This Row],[SIZE]]), MCC_Table[[#This Row],[SIZE]]/6, 0)</f>
        <v>4</v>
      </c>
      <c r="W29" s="10">
        <f>MCC_Table[[#This Row],[START INDEX]]+MCC_Table[[#This Row],[UNITS USED]]-1</f>
        <v>4</v>
      </c>
      <c r="X29" s="263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</row>
    <row r="30" spans="1:55" x14ac:dyDescent="0.3">
      <c r="A30" s="146" t="s">
        <v>449</v>
      </c>
      <c r="B30" s="149" t="s">
        <v>544</v>
      </c>
      <c r="C30" s="264" t="s">
        <v>545</v>
      </c>
      <c r="D30" s="268" t="s">
        <v>546</v>
      </c>
      <c r="E30" s="147" t="s">
        <v>480</v>
      </c>
      <c r="F30" s="149" t="s">
        <v>481</v>
      </c>
      <c r="G30" s="149" t="s">
        <v>482</v>
      </c>
      <c r="H30" s="86">
        <f>IF(ISNUMBER(MCC_Table[[#This Row],[SIZE]]), MCC_Table[[#This Row],[SIZE]]/12, 0)</f>
        <v>2</v>
      </c>
      <c r="I30" s="261">
        <v>2</v>
      </c>
      <c r="J30" s="261">
        <v>2</v>
      </c>
      <c r="K30" s="261">
        <v>4</v>
      </c>
      <c r="L30" s="261"/>
      <c r="M30" s="261">
        <v>15</v>
      </c>
      <c r="N30" s="261">
        <v>125</v>
      </c>
      <c r="O30" s="261">
        <v>10</v>
      </c>
      <c r="P30" s="261">
        <v>12</v>
      </c>
      <c r="Q30" s="159"/>
      <c r="R30" s="130">
        <f>_xlfn.NUMBERVALUE(LEFT(MCC_Table[[#This Row],[BUCKET]],LEN(MCC_Table[[#This Row],[BUCKET]])-1))</f>
        <v>9</v>
      </c>
      <c r="S30" s="51" t="str">
        <f>RIGHT(MCC_Table[[#This Row],[BUCKET]],1)</f>
        <v>E</v>
      </c>
      <c r="T30" s="51">
        <f>VLOOKUP(MCC_Table[[#This Row],[START UNIT]],UnitMap[],2,FALSE)</f>
        <v>5</v>
      </c>
      <c r="U30" s="51" cm="1">
        <f t="array" ref="U30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30" s="51">
        <f>IF(ISNUMBER(MCC_Table[[#This Row],[SIZE]]), MCC_Table[[#This Row],[SIZE]]/6, 0)</f>
        <v>4</v>
      </c>
      <c r="W30" s="51">
        <f>MCC_Table[[#This Row],[START INDEX]]+MCC_Table[[#This Row],[UNITS USED]]-1</f>
        <v>8</v>
      </c>
      <c r="X30" s="263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</row>
    <row r="31" spans="1:55" x14ac:dyDescent="0.3">
      <c r="A31" s="146" t="s">
        <v>449</v>
      </c>
      <c r="B31" s="261" t="s">
        <v>547</v>
      </c>
      <c r="C31" s="264" t="s">
        <v>548</v>
      </c>
      <c r="D31" s="269" t="s">
        <v>549</v>
      </c>
      <c r="E31" s="147" t="s">
        <v>480</v>
      </c>
      <c r="F31" s="149" t="s">
        <v>481</v>
      </c>
      <c r="G31" s="149" t="s">
        <v>482</v>
      </c>
      <c r="H31" s="87">
        <f>IF(ISNUMBER(MCC_Table[[#This Row],[SIZE]]), MCC_Table[[#This Row],[SIZE]]/12, 0)</f>
        <v>2</v>
      </c>
      <c r="I31" s="261">
        <v>2</v>
      </c>
      <c r="J31" s="261">
        <v>2</v>
      </c>
      <c r="K31" s="261">
        <v>4</v>
      </c>
      <c r="L31" s="261"/>
      <c r="M31" s="261">
        <v>15</v>
      </c>
      <c r="N31" s="261">
        <v>125</v>
      </c>
      <c r="O31" s="261">
        <v>10</v>
      </c>
      <c r="P31" s="261">
        <v>12</v>
      </c>
      <c r="Q31" s="159"/>
      <c r="R31" s="54">
        <f>_xlfn.NUMBERVALUE(LEFT(MCC_Table[[#This Row],[BUCKET]],LEN(MCC_Table[[#This Row],[BUCKET]])-1))</f>
        <v>9</v>
      </c>
      <c r="S31" s="10" t="str">
        <f>RIGHT(MCC_Table[[#This Row],[BUCKET]],1)</f>
        <v>J</v>
      </c>
      <c r="T31" s="10">
        <f>VLOOKUP(MCC_Table[[#This Row],[START UNIT]],UnitMap[],2,FALSE)</f>
        <v>9</v>
      </c>
      <c r="U31" s="10" cm="1">
        <f t="array" ref="U31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31" s="10">
        <f>IF(ISNUMBER(MCC_Table[[#This Row],[SIZE]]), MCC_Table[[#This Row],[SIZE]]/6, 0)</f>
        <v>4</v>
      </c>
      <c r="W31" s="10">
        <f>MCC_Table[[#This Row],[START INDEX]]+MCC_Table[[#This Row],[UNITS USED]]-1</f>
        <v>12</v>
      </c>
      <c r="X31" s="263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</row>
    <row r="32" spans="1:55" x14ac:dyDescent="0.3">
      <c r="A32" s="146" t="s">
        <v>449</v>
      </c>
      <c r="B32" s="261" t="s">
        <v>550</v>
      </c>
      <c r="C32" s="264" t="s">
        <v>551</v>
      </c>
      <c r="D32" s="269" t="s">
        <v>552</v>
      </c>
      <c r="E32" s="147" t="s">
        <v>480</v>
      </c>
      <c r="F32" s="149" t="s">
        <v>481</v>
      </c>
      <c r="G32" s="149" t="s">
        <v>482</v>
      </c>
      <c r="H32" s="87">
        <f>IF(ISNUMBER(MCC_Table[[#This Row],[SIZE]]), MCC_Table[[#This Row],[SIZE]]/12, 0)</f>
        <v>2</v>
      </c>
      <c r="I32" s="261">
        <v>2</v>
      </c>
      <c r="J32" s="261">
        <v>2</v>
      </c>
      <c r="K32" s="261">
        <v>4</v>
      </c>
      <c r="L32" s="261"/>
      <c r="M32" s="261">
        <v>15</v>
      </c>
      <c r="N32" s="261">
        <v>125</v>
      </c>
      <c r="O32" s="261">
        <v>10</v>
      </c>
      <c r="P32" s="261">
        <v>12</v>
      </c>
      <c r="Q32" s="159"/>
      <c r="R32" s="54">
        <f>_xlfn.NUMBERVALUE(LEFT(MCC_Table[[#This Row],[BUCKET]],LEN(MCC_Table[[#This Row],[BUCKET]])-1))</f>
        <v>10</v>
      </c>
      <c r="S32" s="10" t="str">
        <f>RIGHT(MCC_Table[[#This Row],[BUCKET]],1)</f>
        <v>A</v>
      </c>
      <c r="T32" s="10">
        <f>VLOOKUP(MCC_Table[[#This Row],[START UNIT]],UnitMap[],2,FALSE)</f>
        <v>1</v>
      </c>
      <c r="U32" s="10" cm="1">
        <f t="array" ref="U32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32" s="10">
        <f>IF(ISNUMBER(MCC_Table[[#This Row],[SIZE]]), MCC_Table[[#This Row],[SIZE]]/6, 0)</f>
        <v>4</v>
      </c>
      <c r="W32" s="10">
        <f>MCC_Table[[#This Row],[START INDEX]]+MCC_Table[[#This Row],[UNITS USED]]-1</f>
        <v>4</v>
      </c>
      <c r="X32" s="263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</row>
    <row r="33" spans="1:55" x14ac:dyDescent="0.3">
      <c r="A33" s="146" t="s">
        <v>449</v>
      </c>
      <c r="B33" s="149" t="s">
        <v>553</v>
      </c>
      <c r="C33" s="264" t="s">
        <v>554</v>
      </c>
      <c r="D33" s="268" t="s">
        <v>555</v>
      </c>
      <c r="E33" s="147" t="s">
        <v>480</v>
      </c>
      <c r="F33" s="149" t="s">
        <v>481</v>
      </c>
      <c r="G33" s="149" t="s">
        <v>482</v>
      </c>
      <c r="H33" s="86">
        <f>IF(ISNUMBER(MCC_Table[[#This Row],[SIZE]]), MCC_Table[[#This Row],[SIZE]]/12, 0)</f>
        <v>2</v>
      </c>
      <c r="I33" s="261">
        <v>2</v>
      </c>
      <c r="J33" s="261">
        <v>2</v>
      </c>
      <c r="K33" s="261">
        <v>4</v>
      </c>
      <c r="L33" s="261"/>
      <c r="M33" s="261">
        <v>15</v>
      </c>
      <c r="N33" s="261">
        <v>125</v>
      </c>
      <c r="O33" s="261">
        <v>10</v>
      </c>
      <c r="P33" s="261">
        <v>12</v>
      </c>
      <c r="Q33" s="159"/>
      <c r="R33" s="130">
        <f>_xlfn.NUMBERVALUE(LEFT(MCC_Table[[#This Row],[BUCKET]],LEN(MCC_Table[[#This Row],[BUCKET]])-1))</f>
        <v>10</v>
      </c>
      <c r="S33" s="51" t="str">
        <f>RIGHT(MCC_Table[[#This Row],[BUCKET]],1)</f>
        <v>E</v>
      </c>
      <c r="T33" s="51">
        <f>VLOOKUP(MCC_Table[[#This Row],[START UNIT]],UnitMap[],2,FALSE)</f>
        <v>5</v>
      </c>
      <c r="U33" s="51" cm="1">
        <f t="array" ref="U33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33" s="51">
        <f>IF(ISNUMBER(MCC_Table[[#This Row],[SIZE]]), MCC_Table[[#This Row],[SIZE]]/6, 0)</f>
        <v>4</v>
      </c>
      <c r="W33" s="51">
        <f>MCC_Table[[#This Row],[START INDEX]]+MCC_Table[[#This Row],[UNITS USED]]-1</f>
        <v>8</v>
      </c>
      <c r="X33" s="263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</row>
    <row r="34" spans="1:55" x14ac:dyDescent="0.3">
      <c r="A34" s="146" t="s">
        <v>449</v>
      </c>
      <c r="B34" s="261" t="s">
        <v>556</v>
      </c>
      <c r="C34" s="264" t="s">
        <v>557</v>
      </c>
      <c r="D34" s="269" t="s">
        <v>558</v>
      </c>
      <c r="E34" s="147" t="s">
        <v>480</v>
      </c>
      <c r="F34" s="149" t="s">
        <v>481</v>
      </c>
      <c r="G34" s="149" t="s">
        <v>482</v>
      </c>
      <c r="H34" s="87">
        <f>IF(ISNUMBER(MCC_Table[[#This Row],[SIZE]]), MCC_Table[[#This Row],[SIZE]]/12, 0)</f>
        <v>2</v>
      </c>
      <c r="I34" s="261">
        <v>2</v>
      </c>
      <c r="J34" s="261">
        <v>2</v>
      </c>
      <c r="K34" s="261">
        <v>4</v>
      </c>
      <c r="L34" s="261"/>
      <c r="M34" s="261">
        <v>15</v>
      </c>
      <c r="N34" s="261">
        <v>125</v>
      </c>
      <c r="O34" s="261">
        <v>10</v>
      </c>
      <c r="P34" s="261">
        <v>12</v>
      </c>
      <c r="Q34" s="159"/>
      <c r="R34" s="54">
        <f>_xlfn.NUMBERVALUE(LEFT(MCC_Table[[#This Row],[BUCKET]],LEN(MCC_Table[[#This Row],[BUCKET]])-1))</f>
        <v>10</v>
      </c>
      <c r="S34" s="10" t="str">
        <f>RIGHT(MCC_Table[[#This Row],[BUCKET]],1)</f>
        <v>J</v>
      </c>
      <c r="T34" s="10">
        <f>VLOOKUP(MCC_Table[[#This Row],[START UNIT]],UnitMap[],2,FALSE)</f>
        <v>9</v>
      </c>
      <c r="U34" s="10" cm="1">
        <f t="array" ref="U34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34" s="10">
        <f>IF(ISNUMBER(MCC_Table[[#This Row],[SIZE]]), MCC_Table[[#This Row],[SIZE]]/6, 0)</f>
        <v>4</v>
      </c>
      <c r="W34" s="10">
        <f>MCC_Table[[#This Row],[START INDEX]]+MCC_Table[[#This Row],[UNITS USED]]-1</f>
        <v>12</v>
      </c>
      <c r="X34" s="263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</row>
    <row r="35" spans="1:55" x14ac:dyDescent="0.3">
      <c r="A35" s="146" t="s">
        <v>449</v>
      </c>
      <c r="B35" s="261" t="s">
        <v>559</v>
      </c>
      <c r="C35" s="264" t="s">
        <v>53</v>
      </c>
      <c r="D35" s="269" t="s">
        <v>560</v>
      </c>
      <c r="E35" s="147" t="s">
        <v>480</v>
      </c>
      <c r="F35" s="149" t="s">
        <v>481</v>
      </c>
      <c r="G35" s="149" t="s">
        <v>482</v>
      </c>
      <c r="H35" s="87">
        <f>IF(ISNUMBER(MCC_Table[[#This Row],[SIZE]]), MCC_Table[[#This Row],[SIZE]]/12, 0)</f>
        <v>2</v>
      </c>
      <c r="I35" s="261">
        <v>5</v>
      </c>
      <c r="J35" s="261">
        <v>5</v>
      </c>
      <c r="K35" s="261">
        <v>10.5</v>
      </c>
      <c r="L35" s="261"/>
      <c r="M35" s="261">
        <v>20</v>
      </c>
      <c r="N35" s="261">
        <v>125</v>
      </c>
      <c r="O35" s="261">
        <v>20</v>
      </c>
      <c r="P35" s="261">
        <v>12</v>
      </c>
      <c r="Q35" s="159"/>
      <c r="R35" s="54">
        <f>_xlfn.NUMBERVALUE(LEFT(MCC_Table[[#This Row],[BUCKET]],LEN(MCC_Table[[#This Row],[BUCKET]])-1))</f>
        <v>11</v>
      </c>
      <c r="S35" s="10" t="str">
        <f>RIGHT(MCC_Table[[#This Row],[BUCKET]],1)</f>
        <v>A</v>
      </c>
      <c r="T35" s="10">
        <f>VLOOKUP(MCC_Table[[#This Row],[START UNIT]],UnitMap[],2,FALSE)</f>
        <v>1</v>
      </c>
      <c r="U35" s="10" cm="1">
        <f t="array" ref="U35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24</v>
      </c>
      <c r="V35" s="10">
        <f>IF(ISNUMBER(MCC_Table[[#This Row],[SIZE]]), MCC_Table[[#This Row],[SIZE]]/6, 0)</f>
        <v>4</v>
      </c>
      <c r="W35" s="10">
        <f>MCC_Table[[#This Row],[START INDEX]]+MCC_Table[[#This Row],[UNITS USED]]-1</f>
        <v>4</v>
      </c>
      <c r="X35" s="263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</row>
    <row r="36" spans="1:55" x14ac:dyDescent="0.3">
      <c r="A36" s="146" t="s">
        <v>449</v>
      </c>
      <c r="B36" s="261" t="s">
        <v>561</v>
      </c>
      <c r="C36" s="264"/>
      <c r="D36" s="269" t="s">
        <v>562</v>
      </c>
      <c r="E36" s="149" t="s">
        <v>462</v>
      </c>
      <c r="F36" s="149" t="s">
        <v>463</v>
      </c>
      <c r="G36" s="149" t="s">
        <v>464</v>
      </c>
      <c r="H36" s="87">
        <f>IF(ISNUMBER(MCC_Table[[#This Row],[SIZE]]), MCC_Table[[#This Row],[SIZE]]/12, 0)</f>
        <v>2.5</v>
      </c>
      <c r="I36" s="261"/>
      <c r="J36" s="261"/>
      <c r="K36" s="261"/>
      <c r="L36" s="261"/>
      <c r="M36" s="261"/>
      <c r="N36" s="261"/>
      <c r="O36" s="261"/>
      <c r="P36" s="261"/>
      <c r="Q36" s="159"/>
      <c r="R36" s="54">
        <f>_xlfn.NUMBERVALUE(LEFT(MCC_Table[[#This Row],[BUCKET]],LEN(MCC_Table[[#This Row],[BUCKET]])-1))</f>
        <v>11</v>
      </c>
      <c r="S36" s="10" t="str">
        <f>RIGHT(MCC_Table[[#This Row],[BUCKET]],1)</f>
        <v>E</v>
      </c>
      <c r="T36" s="10">
        <f>VLOOKUP(MCC_Table[[#This Row],[START UNIT]],UnitMap[],2,FALSE)</f>
        <v>5</v>
      </c>
      <c r="U36" s="10" cm="1">
        <f t="array" ref="U36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36" s="10">
        <f>IF(ISNUMBER(MCC_Table[[#This Row],[SIZE]]), MCC_Table[[#This Row],[SIZE]]/6, 0)</f>
        <v>5</v>
      </c>
      <c r="W36" s="10">
        <f>MCC_Table[[#This Row],[START INDEX]]+MCC_Table[[#This Row],[UNITS USED]]-1</f>
        <v>9</v>
      </c>
      <c r="X36" s="263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</row>
    <row r="37" spans="1:55" x14ac:dyDescent="0.3">
      <c r="A37" s="146" t="s">
        <v>449</v>
      </c>
      <c r="B37" s="149" t="s">
        <v>563</v>
      </c>
      <c r="C37" s="264"/>
      <c r="D37" s="268" t="s">
        <v>461</v>
      </c>
      <c r="E37" s="147" t="s">
        <v>462</v>
      </c>
      <c r="F37" s="149" t="s">
        <v>463</v>
      </c>
      <c r="G37" s="149" t="s">
        <v>464</v>
      </c>
      <c r="H37" s="86">
        <f>IF(ISNUMBER(MCC_Table[[#This Row],[SIZE]]), MCC_Table[[#This Row],[SIZE]]/12, 0)</f>
        <v>0.5</v>
      </c>
      <c r="I37" s="261"/>
      <c r="J37" s="261"/>
      <c r="K37" s="261"/>
      <c r="L37" s="261"/>
      <c r="M37" s="261"/>
      <c r="N37" s="261"/>
      <c r="O37" s="261"/>
      <c r="P37" s="261"/>
      <c r="Q37" s="159"/>
      <c r="R37" s="130">
        <f>_xlfn.NUMBERVALUE(LEFT(MCC_Table[[#This Row],[BUCKET]],LEN(MCC_Table[[#This Row],[BUCKET]])-1))</f>
        <v>11</v>
      </c>
      <c r="S37" s="51" t="str">
        <f>RIGHT(MCC_Table[[#This Row],[BUCKET]],1)</f>
        <v>K</v>
      </c>
      <c r="T37" s="51">
        <f>VLOOKUP(MCC_Table[[#This Row],[START UNIT]],UnitMap[],2,FALSE)</f>
        <v>10</v>
      </c>
      <c r="U37" s="51" cm="1">
        <f t="array" ref="U37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6</v>
      </c>
      <c r="V37" s="51">
        <f>IF(ISNUMBER(MCC_Table[[#This Row],[SIZE]]), MCC_Table[[#This Row],[SIZE]]/6, 0)</f>
        <v>1</v>
      </c>
      <c r="W37" s="51">
        <f>MCC_Table[[#This Row],[START INDEX]]+MCC_Table[[#This Row],[UNITS USED]]-1</f>
        <v>10</v>
      </c>
      <c r="X37" s="263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</row>
    <row r="38" spans="1:55" x14ac:dyDescent="0.3">
      <c r="A38" s="146" t="s">
        <v>449</v>
      </c>
      <c r="B38" s="261" t="s">
        <v>564</v>
      </c>
      <c r="C38" s="147"/>
      <c r="D38" s="269" t="s">
        <v>521</v>
      </c>
      <c r="E38" s="149" t="s">
        <v>462</v>
      </c>
      <c r="F38" s="149" t="s">
        <v>463</v>
      </c>
      <c r="G38" s="149" t="s">
        <v>464</v>
      </c>
      <c r="H38" s="87">
        <f>IF(ISNUMBER(MCC_Table[[#This Row],[SIZE]]), MCC_Table[[#This Row],[SIZE]]/12, 0)</f>
        <v>1</v>
      </c>
      <c r="I38" s="261"/>
      <c r="J38" s="261"/>
      <c r="K38" s="261"/>
      <c r="L38" s="261"/>
      <c r="M38" s="261"/>
      <c r="N38" s="261"/>
      <c r="O38" s="261"/>
      <c r="P38" s="261"/>
      <c r="Q38" s="159"/>
      <c r="R38" s="54">
        <f>_xlfn.NUMBERVALUE(LEFT(MCC_Table[[#This Row],[BUCKET]],LEN(MCC_Table[[#This Row],[BUCKET]])-1))</f>
        <v>11</v>
      </c>
      <c r="S38" s="10" t="str">
        <f>RIGHT(MCC_Table[[#This Row],[BUCKET]],1)</f>
        <v>L</v>
      </c>
      <c r="T38" s="10">
        <f>VLOOKUP(MCC_Table[[#This Row],[START UNIT]],UnitMap[],2,FALSE)</f>
        <v>11</v>
      </c>
      <c r="U38" s="10" cm="1">
        <f t="array" ref="U38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38" s="10">
        <f>IF(ISNUMBER(MCC_Table[[#This Row],[SIZE]]), MCC_Table[[#This Row],[SIZE]]/6, 0)</f>
        <v>2</v>
      </c>
      <c r="W38" s="10">
        <f>MCC_Table[[#This Row],[START INDEX]]+MCC_Table[[#This Row],[UNITS USED]]-1</f>
        <v>12</v>
      </c>
      <c r="X38" s="263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</row>
    <row r="39" spans="1:55" x14ac:dyDescent="0.3">
      <c r="A39" s="146" t="s">
        <v>449</v>
      </c>
      <c r="B39" s="149" t="s">
        <v>565</v>
      </c>
      <c r="C39" s="264"/>
      <c r="D39" s="268" t="s">
        <v>562</v>
      </c>
      <c r="E39" s="147" t="s">
        <v>462</v>
      </c>
      <c r="F39" s="149" t="s">
        <v>463</v>
      </c>
      <c r="G39" s="149" t="s">
        <v>464</v>
      </c>
      <c r="H39" s="86">
        <f>IF(ISNUMBER(MCC_Table[[#This Row],[SIZE]]), MCC_Table[[#This Row],[SIZE]]/12, 0)</f>
        <v>2.5</v>
      </c>
      <c r="I39" s="261"/>
      <c r="J39" s="261"/>
      <c r="K39" s="261"/>
      <c r="L39" s="261"/>
      <c r="M39" s="261"/>
      <c r="N39" s="261"/>
      <c r="O39" s="261"/>
      <c r="P39" s="261"/>
      <c r="Q39" s="159"/>
      <c r="R39" s="130">
        <f>_xlfn.NUMBERVALUE(LEFT(MCC_Table[[#This Row],[BUCKET]],LEN(MCC_Table[[#This Row],[BUCKET]])-1))</f>
        <v>12</v>
      </c>
      <c r="S39" s="51" t="str">
        <f>RIGHT(MCC_Table[[#This Row],[BUCKET]],1)</f>
        <v>A</v>
      </c>
      <c r="T39" s="51">
        <f>VLOOKUP(MCC_Table[[#This Row],[START UNIT]],UnitMap[],2,FALSE)</f>
        <v>1</v>
      </c>
      <c r="U39" s="51" cm="1">
        <f t="array" ref="U39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39" s="51">
        <f>IF(ISNUMBER(MCC_Table[[#This Row],[SIZE]]), MCC_Table[[#This Row],[SIZE]]/6, 0)</f>
        <v>5</v>
      </c>
      <c r="W39" s="51">
        <f>MCC_Table[[#This Row],[START INDEX]]+MCC_Table[[#This Row],[UNITS USED]]-1</f>
        <v>5</v>
      </c>
      <c r="X39" s="263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</row>
    <row r="40" spans="1:55" x14ac:dyDescent="0.3">
      <c r="A40" s="146" t="s">
        <v>449</v>
      </c>
      <c r="B40" s="149" t="s">
        <v>566</v>
      </c>
      <c r="C40" s="147"/>
      <c r="D40" s="268" t="s">
        <v>562</v>
      </c>
      <c r="E40" s="147" t="s">
        <v>462</v>
      </c>
      <c r="F40" s="149" t="s">
        <v>463</v>
      </c>
      <c r="G40" s="149" t="s">
        <v>464</v>
      </c>
      <c r="H40" s="86">
        <f>IF(ISNUMBER(MCC_Table[[#This Row],[SIZE]]), MCC_Table[[#This Row],[SIZE]]/12, 0)</f>
        <v>2.5</v>
      </c>
      <c r="I40" s="261"/>
      <c r="J40" s="261"/>
      <c r="K40" s="261"/>
      <c r="L40" s="261"/>
      <c r="M40" s="261"/>
      <c r="N40" s="261"/>
      <c r="O40" s="261"/>
      <c r="P40" s="261"/>
      <c r="Q40" s="159"/>
      <c r="R40" s="130">
        <f>_xlfn.NUMBERVALUE(LEFT(MCC_Table[[#This Row],[BUCKET]],LEN(MCC_Table[[#This Row],[BUCKET]])-1))</f>
        <v>12</v>
      </c>
      <c r="S40" s="51" t="str">
        <f>RIGHT(MCC_Table[[#This Row],[BUCKET]],1)</f>
        <v>F</v>
      </c>
      <c r="T40" s="51">
        <f>VLOOKUP(MCC_Table[[#This Row],[START UNIT]],UnitMap[],2,FALSE)</f>
        <v>6</v>
      </c>
      <c r="U40" s="51" cm="1">
        <f t="array" ref="U40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30</v>
      </c>
      <c r="V40" s="51">
        <f>IF(ISNUMBER(MCC_Table[[#This Row],[SIZE]]), MCC_Table[[#This Row],[SIZE]]/6, 0)</f>
        <v>5</v>
      </c>
      <c r="W40" s="51">
        <f>MCC_Table[[#This Row],[START INDEX]]+MCC_Table[[#This Row],[UNITS USED]]-1</f>
        <v>10</v>
      </c>
      <c r="X40" s="263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</row>
    <row r="41" spans="1:55" x14ac:dyDescent="0.3">
      <c r="A41" s="146" t="s">
        <v>449</v>
      </c>
      <c r="B41" s="261" t="s">
        <v>567</v>
      </c>
      <c r="C41" s="264" t="s">
        <v>568</v>
      </c>
      <c r="D41" s="269" t="s">
        <v>569</v>
      </c>
      <c r="E41" s="149" t="s">
        <v>570</v>
      </c>
      <c r="F41" s="149" t="s">
        <v>481</v>
      </c>
      <c r="G41" s="149" t="s">
        <v>571</v>
      </c>
      <c r="H41" s="87">
        <f>IF(ISNUMBER(MCC_Table[[#This Row],[SIZE]]), MCC_Table[[#This Row],[SIZE]]/12, 0)</f>
        <v>1</v>
      </c>
      <c r="I41" s="261">
        <v>5</v>
      </c>
      <c r="J41" s="261">
        <v>5</v>
      </c>
      <c r="K41" s="261"/>
      <c r="L41" s="261"/>
      <c r="M41" s="261">
        <v>15</v>
      </c>
      <c r="N41" s="261">
        <v>125</v>
      </c>
      <c r="O41" s="261"/>
      <c r="P41" s="261"/>
      <c r="Q41" s="159"/>
      <c r="R41" s="54">
        <f>_xlfn.NUMBERVALUE(LEFT(MCC_Table[[#This Row],[BUCKET]],LEN(MCC_Table[[#This Row],[BUCKET]])-1))</f>
        <v>12</v>
      </c>
      <c r="S41" s="10" t="str">
        <f>RIGHT(MCC_Table[[#This Row],[BUCKET]],1)</f>
        <v>L</v>
      </c>
      <c r="T41" s="10">
        <f>VLOOKUP(MCC_Table[[#This Row],[START UNIT]],UnitMap[],2,FALSE)</f>
        <v>11</v>
      </c>
      <c r="U41" s="10" cm="1">
        <f t="array" ref="U41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12</v>
      </c>
      <c r="V41" s="10">
        <f>IF(ISNUMBER(MCC_Table[[#This Row],[SIZE]]), MCC_Table[[#This Row],[SIZE]]/6, 0)</f>
        <v>2</v>
      </c>
      <c r="W41" s="10">
        <f>MCC_Table[[#This Row],[START INDEX]]+MCC_Table[[#This Row],[UNITS USED]]-1</f>
        <v>12</v>
      </c>
      <c r="X41" s="263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</row>
    <row r="42" spans="1:55" x14ac:dyDescent="0.3">
      <c r="A42" s="146"/>
      <c r="B42" s="149"/>
      <c r="C42" s="147"/>
      <c r="D42" s="269"/>
      <c r="E42" s="149"/>
      <c r="F42" s="149"/>
      <c r="G42" s="149"/>
      <c r="H42" s="86">
        <f>IF(ISNUMBER(MCC_Table[[#This Row],[SIZE]]), MCC_Table[[#This Row],[SIZE]]/12, 0)</f>
        <v>0</v>
      </c>
      <c r="I42" s="261"/>
      <c r="J42" s="261"/>
      <c r="K42" s="261"/>
      <c r="L42" s="261"/>
      <c r="M42" s="261"/>
      <c r="N42" s="261"/>
      <c r="O42" s="261"/>
      <c r="P42" s="261"/>
      <c r="Q42" s="159"/>
      <c r="R42" s="130" t="e">
        <f>_xlfn.NUMBERVALUE(LEFT(MCC_Table[[#This Row],[BUCKET]],LEN(MCC_Table[[#This Row],[BUCKET]])-1))</f>
        <v>#VALUE!</v>
      </c>
      <c r="S42" s="51" t="str">
        <f>RIGHT(MCC_Table[[#This Row],[BUCKET]],1)</f>
        <v/>
      </c>
      <c r="T42" s="51" t="e">
        <f>VLOOKUP(MCC_Table[[#This Row],[START UNIT]],UnitMap[],2,FALSE)</f>
        <v>#N/A</v>
      </c>
      <c r="U42" s="51" t="e" cm="1">
        <f t="array" ref="U42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#VALUE!</v>
      </c>
      <c r="V42" s="51">
        <f>IF(ISNUMBER(MCC_Table[[#This Row],[SIZE]]), MCC_Table[[#This Row],[SIZE]]/6, 0)</f>
        <v>0</v>
      </c>
      <c r="W42" s="51" t="e">
        <f>MCC_Table[[#This Row],[START INDEX]]+MCC_Table[[#This Row],[UNITS USED]]-1</f>
        <v>#N/A</v>
      </c>
      <c r="X42" s="263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</row>
    <row r="43" spans="1:55" x14ac:dyDescent="0.3">
      <c r="A43" s="146"/>
      <c r="B43" s="149"/>
      <c r="C43" s="147"/>
      <c r="D43" s="269"/>
      <c r="E43" s="149"/>
      <c r="F43" s="149"/>
      <c r="G43" s="149"/>
      <c r="H43" s="86">
        <f>IF(ISNUMBER(MCC_Table[[#This Row],[SIZE]]), MCC_Table[[#This Row],[SIZE]]/12, 0)</f>
        <v>0</v>
      </c>
      <c r="I43" s="261"/>
      <c r="J43" s="261"/>
      <c r="K43" s="261"/>
      <c r="L43" s="261"/>
      <c r="M43" s="261"/>
      <c r="N43" s="261"/>
      <c r="O43" s="261"/>
      <c r="P43" s="261"/>
      <c r="Q43" s="159"/>
      <c r="R43" s="130" t="e">
        <f>_xlfn.NUMBERVALUE(LEFT(MCC_Table[[#This Row],[BUCKET]],LEN(MCC_Table[[#This Row],[BUCKET]])-1))</f>
        <v>#VALUE!</v>
      </c>
      <c r="S43" s="51" t="str">
        <f>RIGHT(MCC_Table[[#This Row],[BUCKET]],1)</f>
        <v/>
      </c>
      <c r="T43" s="51" t="e">
        <f>VLOOKUP(MCC_Table[[#This Row],[START UNIT]],UnitMap[],2,FALSE)</f>
        <v>#N/A</v>
      </c>
      <c r="U43" s="51" t="e" cm="1">
        <f t="array" ref="U43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#VALUE!</v>
      </c>
      <c r="V43" s="51">
        <f>IF(ISNUMBER(MCC_Table[[#This Row],[SIZE]]), MCC_Table[[#This Row],[SIZE]]/6, 0)</f>
        <v>0</v>
      </c>
      <c r="W43" s="51" t="e">
        <f>MCC_Table[[#This Row],[START INDEX]]+MCC_Table[[#This Row],[UNITS USED]]-1</f>
        <v>#N/A</v>
      </c>
      <c r="X43" s="263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</row>
    <row r="44" spans="1:55" x14ac:dyDescent="0.3">
      <c r="A44" s="146"/>
      <c r="B44" s="149"/>
      <c r="C44" s="147"/>
      <c r="D44" s="269"/>
      <c r="E44" s="149"/>
      <c r="F44" s="149"/>
      <c r="G44" s="149"/>
      <c r="H44" s="86">
        <f>IF(ISNUMBER(MCC_Table[[#This Row],[SIZE]]), MCC_Table[[#This Row],[SIZE]]/12, 0)</f>
        <v>0</v>
      </c>
      <c r="I44" s="261"/>
      <c r="J44" s="261"/>
      <c r="K44" s="261"/>
      <c r="L44" s="261"/>
      <c r="M44" s="261"/>
      <c r="N44" s="261"/>
      <c r="O44" s="261"/>
      <c r="P44" s="261"/>
      <c r="Q44" s="159"/>
      <c r="R44" s="130" t="e">
        <f>_xlfn.NUMBERVALUE(LEFT(MCC_Table[[#This Row],[BUCKET]],LEN(MCC_Table[[#This Row],[BUCKET]])-1))</f>
        <v>#VALUE!</v>
      </c>
      <c r="S44" s="51" t="str">
        <f>RIGHT(MCC_Table[[#This Row],[BUCKET]],1)</f>
        <v/>
      </c>
      <c r="T44" s="51" t="e">
        <f>VLOOKUP(MCC_Table[[#This Row],[START UNIT]],UnitMap[],2,FALSE)</f>
        <v>#N/A</v>
      </c>
      <c r="U44" s="51" t="e" cm="1">
        <f t="array" ref="U44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#VALUE!</v>
      </c>
      <c r="V44" s="51">
        <f>IF(ISNUMBER(MCC_Table[[#This Row],[SIZE]]), MCC_Table[[#This Row],[SIZE]]/6, 0)</f>
        <v>0</v>
      </c>
      <c r="W44" s="51" t="e">
        <f>MCC_Table[[#This Row],[START INDEX]]+MCC_Table[[#This Row],[UNITS USED]]-1</f>
        <v>#N/A</v>
      </c>
      <c r="X44" s="263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</row>
    <row r="45" spans="1:55" x14ac:dyDescent="0.3">
      <c r="A45" s="146"/>
      <c r="B45" s="149"/>
      <c r="C45" s="147"/>
      <c r="D45" s="269"/>
      <c r="E45" s="149"/>
      <c r="F45" s="149"/>
      <c r="G45" s="149"/>
      <c r="H45" s="86">
        <f>IF(ISNUMBER(MCC_Table[[#This Row],[SIZE]]), MCC_Table[[#This Row],[SIZE]]/12, 0)</f>
        <v>0</v>
      </c>
      <c r="I45" s="261"/>
      <c r="J45" s="261"/>
      <c r="K45" s="261"/>
      <c r="L45" s="261"/>
      <c r="M45" s="261"/>
      <c r="N45" s="261"/>
      <c r="O45" s="261"/>
      <c r="P45" s="261"/>
      <c r="Q45" s="159"/>
      <c r="R45" s="130" t="e">
        <f>_xlfn.NUMBERVALUE(LEFT(MCC_Table[[#This Row],[BUCKET]],LEN(MCC_Table[[#This Row],[BUCKET]])-1))</f>
        <v>#VALUE!</v>
      </c>
      <c r="S45" s="51" t="str">
        <f>RIGHT(MCC_Table[[#This Row],[BUCKET]],1)</f>
        <v/>
      </c>
      <c r="T45" s="51" t="e">
        <f>VLOOKUP(MCC_Table[[#This Row],[START UNIT]],UnitMap[],2,FALSE)</f>
        <v>#N/A</v>
      </c>
      <c r="U45" s="51" t="e" cm="1">
        <f t="array" ref="U45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#VALUE!</v>
      </c>
      <c r="V45" s="51">
        <f>IF(ISNUMBER(MCC_Table[[#This Row],[SIZE]]), MCC_Table[[#This Row],[SIZE]]/6, 0)</f>
        <v>0</v>
      </c>
      <c r="W45" s="51" t="e">
        <f>MCC_Table[[#This Row],[START INDEX]]+MCC_Table[[#This Row],[UNITS USED]]-1</f>
        <v>#N/A</v>
      </c>
      <c r="X45" s="263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</row>
    <row r="46" spans="1:55" x14ac:dyDescent="0.3">
      <c r="A46" s="146"/>
      <c r="B46" s="149"/>
      <c r="C46" s="147"/>
      <c r="D46" s="269"/>
      <c r="E46" s="149"/>
      <c r="F46" s="149"/>
      <c r="G46" s="149"/>
      <c r="H46" s="86">
        <f>IF(ISNUMBER(MCC_Table[[#This Row],[SIZE]]), MCC_Table[[#This Row],[SIZE]]/12, 0)</f>
        <v>0</v>
      </c>
      <c r="I46" s="261"/>
      <c r="J46" s="261"/>
      <c r="K46" s="261"/>
      <c r="L46" s="261"/>
      <c r="M46" s="261"/>
      <c r="N46" s="261"/>
      <c r="O46" s="261"/>
      <c r="P46" s="261"/>
      <c r="Q46" s="159"/>
      <c r="R46" s="130" t="e">
        <f>_xlfn.NUMBERVALUE(LEFT(MCC_Table[[#This Row],[BUCKET]],LEN(MCC_Table[[#This Row],[BUCKET]])-1))</f>
        <v>#VALUE!</v>
      </c>
      <c r="S46" s="51" t="str">
        <f>RIGHT(MCC_Table[[#This Row],[BUCKET]],1)</f>
        <v/>
      </c>
      <c r="T46" s="51" t="e">
        <f>VLOOKUP(MCC_Table[[#This Row],[START UNIT]],UnitMap[],2,FALSE)</f>
        <v>#N/A</v>
      </c>
      <c r="U46" s="51" t="e" cm="1">
        <f t="array" ref="U46">_xlfn.LET(
    _xlpm.next_row_index, ROW() - ROW(MCC_Table[#Headers]) + 1,
    _xlpm.next_section, IFERROR(INDEX(MCC_Table[SECTION], _xlpm.next_row_index, 1), ""),
    _xlpm.next_start_index, IFERROR(INDEX(MCC_Table[START INDEX], _xlpm.next_row_index, 1), 0),
IF(
    AND(MCC_Table[[#This Row],[SECTION]] = _xlpm.next_section, _xlpm.next_section &lt;&gt; ""),
    (_xlpm.next_start_index - MCC_Table[[#This Row],[START INDEX]]) * 6,
    (13 - MCC_Table[[#This Row],[START INDEX]]) * 6
))</f>
        <v>#VALUE!</v>
      </c>
      <c r="V46" s="51">
        <f>IF(ISNUMBER(MCC_Table[[#This Row],[SIZE]]), MCC_Table[[#This Row],[SIZE]]/6, 0)</f>
        <v>0</v>
      </c>
      <c r="W46" s="51" t="e">
        <f>MCC_Table[[#This Row],[START INDEX]]+MCC_Table[[#This Row],[UNITS USED]]-1</f>
        <v>#N/A</v>
      </c>
      <c r="X46" s="263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</row>
    <row r="47" spans="1:55" ht="15" thickBot="1" x14ac:dyDescent="0.35">
      <c r="A47" s="265"/>
      <c r="B47" s="266"/>
      <c r="C47" s="258"/>
      <c r="D47" s="270"/>
      <c r="E47" s="259"/>
      <c r="F47" s="259"/>
      <c r="G47" s="259"/>
      <c r="H47" s="267"/>
      <c r="I47" s="266"/>
      <c r="J47" s="266"/>
      <c r="K47" s="266"/>
      <c r="L47" s="266"/>
      <c r="M47" s="266"/>
      <c r="N47" s="266"/>
      <c r="O47" s="266"/>
      <c r="P47" s="266"/>
      <c r="Q47" s="260"/>
      <c r="R47" s="54"/>
      <c r="S47" s="10"/>
      <c r="T47" s="10"/>
      <c r="U47" s="10"/>
      <c r="V47" s="10"/>
      <c r="W47" s="10"/>
      <c r="X47" s="263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</row>
  </sheetData>
  <sheetProtection formatCells="0" formatColumns="0" insertRows="0" sort="0" autoFilter="0"/>
  <phoneticPr fontId="1" type="noConversion"/>
  <pageMargins left="0.7" right="0.7" top="1" bottom="0.75" header="0.3" footer="0.3"/>
  <pageSetup paperSize="3" scale="78" fitToHeight="0" orientation="landscape" r:id="rId1"/>
  <headerFooter>
    <oddHeader>&amp;L&amp;G&amp;C&amp;"Yu Gothic UI,Bold"&amp;16RL5 MOTOR LIST&amp;R&amp;G</oddHeader>
  </headerFooter>
  <legacyDrawingHF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832D67-224B-43E4-A384-7D3506266DDB}">
          <x14:formula1>
            <xm:f>Helper!$D$2:$D$8</xm:f>
          </x14:formula1>
          <xm:sqref>F2:F47</xm:sqref>
        </x14:dataValidation>
        <x14:dataValidation type="list" allowBlank="1" showInputMessage="1" showErrorMessage="1" xr:uid="{BF3C330D-E3BB-4EA3-BA35-0F635E128A6F}">
          <x14:formula1>
            <xm:f>Helper!$F$2:$F$30</xm:f>
          </x14:formula1>
          <xm:sqref>G2:G47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426F9-7C56-48A1-92D2-7862D34C5FDA}">
  <sheetPr codeName="Sheet4">
    <tabColor rgb="FFFFCCFF"/>
    <pageSetUpPr fitToPage="1"/>
  </sheetPr>
  <dimension ref="A1:Q115"/>
  <sheetViews>
    <sheetView zoomScaleNormal="100" zoomScaleSheetLayoutView="70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B79" sqref="B79"/>
    </sheetView>
  </sheetViews>
  <sheetFormatPr defaultRowHeight="14.4" x14ac:dyDescent="0.3"/>
  <cols>
    <col min="1" max="1" width="16.109375" bestFit="1" customWidth="1"/>
    <col min="2" max="2" width="9.88671875" bestFit="1" customWidth="1"/>
    <col min="3" max="3" width="48.109375" style="3" bestFit="1" customWidth="1"/>
    <col min="4" max="4" width="32.88671875" bestFit="1" customWidth="1"/>
    <col min="5" max="5" width="16.5546875" customWidth="1"/>
    <col min="6" max="6" width="13.5546875" customWidth="1"/>
    <col min="7" max="7" width="26.6640625" customWidth="1"/>
    <col min="8" max="10" width="13.6640625" style="17" hidden="1" customWidth="1"/>
    <col min="11" max="11" width="14.6640625" style="17" hidden="1" customWidth="1"/>
    <col min="12" max="16" width="13.6640625" style="17" hidden="1" customWidth="1"/>
    <col min="17" max="17" width="45.6640625" style="3" customWidth="1"/>
    <col min="19" max="19" width="20.6640625" bestFit="1" customWidth="1"/>
    <col min="20" max="20" width="22.44140625" bestFit="1" customWidth="1"/>
    <col min="21" max="21" width="5.88671875" bestFit="1" customWidth="1"/>
    <col min="22" max="22" width="15.44140625" bestFit="1" customWidth="1"/>
  </cols>
  <sheetData>
    <row r="1" spans="1:17" s="9" customFormat="1" ht="29.4" thickBot="1" x14ac:dyDescent="0.35">
      <c r="A1" s="35" t="s">
        <v>572</v>
      </c>
      <c r="B1" s="33" t="s">
        <v>573</v>
      </c>
      <c r="C1" s="33" t="s">
        <v>574</v>
      </c>
      <c r="D1" s="32" t="s">
        <v>575</v>
      </c>
      <c r="E1" s="32" t="s">
        <v>576</v>
      </c>
      <c r="F1" s="32" t="s">
        <v>577</v>
      </c>
      <c r="G1" s="33" t="s">
        <v>578</v>
      </c>
      <c r="H1" s="58" t="s">
        <v>17</v>
      </c>
      <c r="I1" s="59" t="s">
        <v>579</v>
      </c>
      <c r="J1" s="59" t="s">
        <v>580</v>
      </c>
      <c r="K1" s="59" t="s">
        <v>581</v>
      </c>
      <c r="L1" s="59" t="s">
        <v>443</v>
      </c>
      <c r="M1" s="59" t="s">
        <v>444</v>
      </c>
      <c r="N1" s="59" t="s">
        <v>445</v>
      </c>
      <c r="O1" s="59" t="s">
        <v>582</v>
      </c>
      <c r="P1" s="59" t="s">
        <v>448</v>
      </c>
      <c r="Q1" s="34" t="s">
        <v>24</v>
      </c>
    </row>
    <row r="2" spans="1:17" x14ac:dyDescent="0.3">
      <c r="A2" s="38" t="s">
        <v>583</v>
      </c>
      <c r="B2" s="39" t="s">
        <v>584</v>
      </c>
      <c r="C2" s="4" t="s">
        <v>585</v>
      </c>
      <c r="D2" s="10" t="s">
        <v>586</v>
      </c>
      <c r="E2" s="11" t="s">
        <v>587</v>
      </c>
      <c r="F2" s="11" t="s">
        <v>588</v>
      </c>
      <c r="G2" s="11"/>
      <c r="H2" s="27"/>
      <c r="I2" s="27"/>
      <c r="J2" s="27"/>
      <c r="K2" s="27"/>
      <c r="L2" s="27"/>
      <c r="M2" s="27"/>
      <c r="N2" s="27"/>
      <c r="O2" s="27"/>
      <c r="P2" s="27"/>
      <c r="Q2" s="22"/>
    </row>
    <row r="3" spans="1:17" x14ac:dyDescent="0.3">
      <c r="A3" s="40" t="s">
        <v>589</v>
      </c>
      <c r="B3" s="39" t="s">
        <v>584</v>
      </c>
      <c r="C3" s="41" t="s">
        <v>590</v>
      </c>
      <c r="D3" s="10" t="s">
        <v>586</v>
      </c>
      <c r="E3" s="11" t="s">
        <v>587</v>
      </c>
      <c r="F3" s="11" t="s">
        <v>588</v>
      </c>
      <c r="G3" s="11"/>
      <c r="H3" s="27"/>
      <c r="I3" s="27"/>
      <c r="J3" s="27"/>
      <c r="K3" s="27"/>
      <c r="L3" s="27"/>
      <c r="M3" s="27"/>
      <c r="N3" s="27"/>
      <c r="O3" s="27"/>
      <c r="P3" s="27"/>
      <c r="Q3" s="22"/>
    </row>
    <row r="4" spans="1:17" x14ac:dyDescent="0.3">
      <c r="A4" s="40" t="s">
        <v>591</v>
      </c>
      <c r="B4" s="39" t="s">
        <v>592</v>
      </c>
      <c r="C4" s="41" t="s">
        <v>593</v>
      </c>
      <c r="D4" s="10" t="s">
        <v>586</v>
      </c>
      <c r="E4" s="11" t="s">
        <v>587</v>
      </c>
      <c r="F4" s="11" t="s">
        <v>588</v>
      </c>
      <c r="G4" s="11"/>
      <c r="H4" s="27"/>
      <c r="I4" s="27"/>
      <c r="J4" s="27"/>
      <c r="K4" s="27"/>
      <c r="L4" s="27"/>
      <c r="M4" s="27"/>
      <c r="N4" s="27"/>
      <c r="O4" s="27"/>
      <c r="P4" s="27"/>
      <c r="Q4" s="22"/>
    </row>
    <row r="5" spans="1:17" x14ac:dyDescent="0.3">
      <c r="A5" s="38" t="s">
        <v>594</v>
      </c>
      <c r="B5" s="39" t="s">
        <v>584</v>
      </c>
      <c r="C5" s="4" t="s">
        <v>595</v>
      </c>
      <c r="D5" s="10" t="s">
        <v>586</v>
      </c>
      <c r="E5" s="11" t="s">
        <v>587</v>
      </c>
      <c r="F5" s="11" t="s">
        <v>588</v>
      </c>
      <c r="G5" s="11"/>
      <c r="H5" s="27"/>
      <c r="I5" s="27"/>
      <c r="J5" s="27"/>
      <c r="K5" s="27"/>
      <c r="L5" s="27"/>
      <c r="M5" s="27"/>
      <c r="N5" s="27"/>
      <c r="O5" s="27"/>
      <c r="P5" s="27"/>
      <c r="Q5" s="22"/>
    </row>
    <row r="6" spans="1:17" x14ac:dyDescent="0.3">
      <c r="A6" s="38" t="s">
        <v>596</v>
      </c>
      <c r="B6" s="39" t="s">
        <v>592</v>
      </c>
      <c r="C6" s="4" t="s">
        <v>597</v>
      </c>
      <c r="D6" s="10" t="s">
        <v>586</v>
      </c>
      <c r="E6" s="11" t="s">
        <v>587</v>
      </c>
      <c r="F6" s="11" t="s">
        <v>588</v>
      </c>
      <c r="G6" s="11"/>
      <c r="H6" s="27"/>
      <c r="I6" s="27"/>
      <c r="J6" s="27"/>
      <c r="K6" s="27"/>
      <c r="L6" s="27"/>
      <c r="M6" s="27"/>
      <c r="N6" s="27"/>
      <c r="O6" s="27"/>
      <c r="P6" s="27"/>
      <c r="Q6" s="22"/>
    </row>
    <row r="7" spans="1:17" x14ac:dyDescent="0.3">
      <c r="A7" s="38" t="s">
        <v>598</v>
      </c>
      <c r="B7" s="39" t="s">
        <v>599</v>
      </c>
      <c r="C7" s="4" t="s">
        <v>600</v>
      </c>
      <c r="D7" s="10" t="s">
        <v>586</v>
      </c>
      <c r="E7" s="11" t="s">
        <v>587</v>
      </c>
      <c r="F7" s="11" t="s">
        <v>588</v>
      </c>
      <c r="G7" s="11"/>
      <c r="H7" s="27"/>
      <c r="I7" s="27"/>
      <c r="J7" s="27"/>
      <c r="K7" s="27"/>
      <c r="L7" s="27"/>
      <c r="M7" s="27"/>
      <c r="N7" s="27"/>
      <c r="O7" s="27"/>
      <c r="P7" s="27"/>
      <c r="Q7" s="22"/>
    </row>
    <row r="8" spans="1:17" x14ac:dyDescent="0.3">
      <c r="A8" s="38" t="s">
        <v>601</v>
      </c>
      <c r="B8" s="39" t="s">
        <v>599</v>
      </c>
      <c r="C8" s="4" t="s">
        <v>602</v>
      </c>
      <c r="D8" s="10" t="s">
        <v>586</v>
      </c>
      <c r="E8" s="11" t="s">
        <v>587</v>
      </c>
      <c r="F8" s="11" t="s">
        <v>588</v>
      </c>
      <c r="G8" s="11"/>
      <c r="H8" s="27"/>
      <c r="I8" s="27"/>
      <c r="J8" s="27"/>
      <c r="K8" s="27"/>
      <c r="L8" s="27"/>
      <c r="M8" s="27"/>
      <c r="N8" s="27"/>
      <c r="O8" s="27"/>
      <c r="P8" s="27"/>
      <c r="Q8" s="22"/>
    </row>
    <row r="9" spans="1:17" x14ac:dyDescent="0.3">
      <c r="A9" s="38" t="s">
        <v>603</v>
      </c>
      <c r="B9" s="39" t="s">
        <v>592</v>
      </c>
      <c r="C9" s="4" t="s">
        <v>604</v>
      </c>
      <c r="D9" s="10" t="s">
        <v>605</v>
      </c>
      <c r="E9" s="11" t="s">
        <v>606</v>
      </c>
      <c r="F9" s="11" t="s">
        <v>588</v>
      </c>
      <c r="G9" s="11"/>
      <c r="H9" s="27"/>
      <c r="I9" s="27"/>
      <c r="J9" s="27"/>
      <c r="K9" s="27"/>
      <c r="L9" s="27"/>
      <c r="M9" s="27"/>
      <c r="N9" s="27"/>
      <c r="O9" s="27"/>
      <c r="P9" s="27"/>
      <c r="Q9" s="22"/>
    </row>
    <row r="10" spans="1:17" x14ac:dyDescent="0.3">
      <c r="A10" s="38" t="s">
        <v>607</v>
      </c>
      <c r="B10" s="39" t="s">
        <v>584</v>
      </c>
      <c r="C10" s="4" t="s">
        <v>608</v>
      </c>
      <c r="D10" s="10" t="s">
        <v>586</v>
      </c>
      <c r="E10" s="11" t="s">
        <v>609</v>
      </c>
      <c r="F10" s="11" t="s">
        <v>588</v>
      </c>
      <c r="G10" s="11"/>
      <c r="H10" s="27"/>
      <c r="I10" s="27"/>
      <c r="J10" s="27"/>
      <c r="K10" s="27"/>
      <c r="L10" s="27"/>
      <c r="M10" s="27"/>
      <c r="N10" s="27"/>
      <c r="O10" s="27"/>
      <c r="P10" s="27"/>
      <c r="Q10" s="22"/>
    </row>
    <row r="11" spans="1:17" x14ac:dyDescent="0.3">
      <c r="A11" s="40" t="s">
        <v>610</v>
      </c>
      <c r="B11" s="39" t="s">
        <v>592</v>
      </c>
      <c r="C11" s="4" t="s">
        <v>611</v>
      </c>
      <c r="D11" s="10" t="s">
        <v>586</v>
      </c>
      <c r="E11" s="11" t="s">
        <v>587</v>
      </c>
      <c r="F11" s="11" t="s">
        <v>588</v>
      </c>
      <c r="G11" s="11"/>
      <c r="H11" s="27"/>
      <c r="I11" s="27"/>
      <c r="J11" s="27"/>
      <c r="K11" s="27"/>
      <c r="L11" s="27"/>
      <c r="M11" s="27"/>
      <c r="N11" s="27"/>
      <c r="O11" s="27"/>
      <c r="P11" s="27"/>
      <c r="Q11" s="22"/>
    </row>
    <row r="12" spans="1:17" x14ac:dyDescent="0.3">
      <c r="A12" s="38" t="s">
        <v>612</v>
      </c>
      <c r="B12" s="39" t="s">
        <v>599</v>
      </c>
      <c r="C12" s="4" t="s">
        <v>613</v>
      </c>
      <c r="D12" s="10" t="s">
        <v>586</v>
      </c>
      <c r="E12" s="11" t="s">
        <v>587</v>
      </c>
      <c r="F12" s="11" t="s">
        <v>588</v>
      </c>
      <c r="G12" s="11"/>
      <c r="H12" s="27"/>
      <c r="I12" s="27"/>
      <c r="J12" s="27"/>
      <c r="K12" s="27"/>
      <c r="L12" s="27"/>
      <c r="M12" s="27"/>
      <c r="N12" s="27"/>
      <c r="O12" s="27"/>
      <c r="P12" s="27"/>
      <c r="Q12" s="22"/>
    </row>
    <row r="13" spans="1:17" x14ac:dyDescent="0.3">
      <c r="A13" s="38" t="s">
        <v>614</v>
      </c>
      <c r="B13" s="39" t="s">
        <v>584</v>
      </c>
      <c r="C13" s="4" t="s">
        <v>615</v>
      </c>
      <c r="D13" s="10" t="s">
        <v>586</v>
      </c>
      <c r="E13" s="11" t="s">
        <v>609</v>
      </c>
      <c r="F13" s="11" t="s">
        <v>588</v>
      </c>
      <c r="G13" s="11"/>
      <c r="H13" s="27"/>
      <c r="I13" s="27"/>
      <c r="J13" s="27"/>
      <c r="K13" s="27"/>
      <c r="L13" s="27"/>
      <c r="M13" s="27"/>
      <c r="N13" s="27"/>
      <c r="O13" s="27"/>
      <c r="P13" s="27"/>
      <c r="Q13" s="22"/>
    </row>
    <row r="14" spans="1:17" x14ac:dyDescent="0.3">
      <c r="A14" s="38" t="s">
        <v>616</v>
      </c>
      <c r="B14" s="39" t="s">
        <v>592</v>
      </c>
      <c r="C14" s="4" t="s">
        <v>617</v>
      </c>
      <c r="D14" s="10" t="s">
        <v>586</v>
      </c>
      <c r="E14" s="11" t="s">
        <v>587</v>
      </c>
      <c r="F14" s="11" t="s">
        <v>588</v>
      </c>
      <c r="G14" s="11"/>
      <c r="H14" s="27"/>
      <c r="I14" s="27"/>
      <c r="J14" s="27"/>
      <c r="K14" s="27"/>
      <c r="L14" s="27"/>
      <c r="M14" s="27"/>
      <c r="N14" s="27"/>
      <c r="O14" s="27"/>
      <c r="P14" s="27"/>
      <c r="Q14" s="22"/>
    </row>
    <row r="15" spans="1:17" x14ac:dyDescent="0.3">
      <c r="A15" s="38" t="s">
        <v>618</v>
      </c>
      <c r="B15" s="39" t="s">
        <v>599</v>
      </c>
      <c r="C15" s="4" t="s">
        <v>619</v>
      </c>
      <c r="D15" s="10" t="s">
        <v>586</v>
      </c>
      <c r="E15" s="11" t="s">
        <v>587</v>
      </c>
      <c r="F15" s="11" t="s">
        <v>588</v>
      </c>
      <c r="G15" s="11"/>
      <c r="H15" s="27"/>
      <c r="I15" s="27"/>
      <c r="J15" s="27"/>
      <c r="K15" s="27"/>
      <c r="L15" s="27"/>
      <c r="M15" s="27"/>
      <c r="N15" s="27"/>
      <c r="O15" s="27"/>
      <c r="P15" s="27"/>
      <c r="Q15" s="22"/>
    </row>
    <row r="16" spans="1:17" x14ac:dyDescent="0.3">
      <c r="A16" s="38" t="s">
        <v>620</v>
      </c>
      <c r="B16" s="39" t="s">
        <v>584</v>
      </c>
      <c r="C16" s="4" t="s">
        <v>621</v>
      </c>
      <c r="D16" s="10" t="s">
        <v>622</v>
      </c>
      <c r="E16" s="11" t="s">
        <v>609</v>
      </c>
      <c r="F16" s="11" t="s">
        <v>588</v>
      </c>
      <c r="G16" s="11"/>
      <c r="H16" s="27"/>
      <c r="I16" s="27"/>
      <c r="J16" s="27"/>
      <c r="K16" s="27"/>
      <c r="L16" s="27"/>
      <c r="M16" s="27"/>
      <c r="N16" s="27"/>
      <c r="O16" s="27"/>
      <c r="P16" s="27"/>
      <c r="Q16" s="22"/>
    </row>
    <row r="17" spans="1:17" x14ac:dyDescent="0.3">
      <c r="A17" s="38" t="s">
        <v>623</v>
      </c>
      <c r="B17" s="39" t="s">
        <v>584</v>
      </c>
      <c r="C17" s="4" t="s">
        <v>624</v>
      </c>
      <c r="D17" s="10" t="s">
        <v>586</v>
      </c>
      <c r="E17" s="11" t="s">
        <v>609</v>
      </c>
      <c r="F17" s="11" t="s">
        <v>588</v>
      </c>
      <c r="G17" s="11"/>
      <c r="H17" s="27"/>
      <c r="I17" s="27"/>
      <c r="J17" s="27"/>
      <c r="K17" s="27"/>
      <c r="L17" s="27"/>
      <c r="M17" s="27"/>
      <c r="N17" s="27"/>
      <c r="O17" s="27"/>
      <c r="P17" s="27"/>
      <c r="Q17" s="22"/>
    </row>
    <row r="18" spans="1:17" x14ac:dyDescent="0.3">
      <c r="A18" s="38" t="s">
        <v>625</v>
      </c>
      <c r="B18" s="39" t="s">
        <v>584</v>
      </c>
      <c r="C18" s="4" t="s">
        <v>626</v>
      </c>
      <c r="D18" s="10" t="s">
        <v>586</v>
      </c>
      <c r="E18" s="11" t="s">
        <v>609</v>
      </c>
      <c r="F18" s="11" t="s">
        <v>588</v>
      </c>
      <c r="G18" s="11"/>
      <c r="H18" s="27"/>
      <c r="I18" s="27"/>
      <c r="J18" s="27"/>
      <c r="K18" s="27"/>
      <c r="L18" s="27"/>
      <c r="M18" s="27"/>
      <c r="N18" s="27"/>
      <c r="O18" s="27"/>
      <c r="P18" s="27"/>
      <c r="Q18" s="22"/>
    </row>
    <row r="19" spans="1:17" x14ac:dyDescent="0.3">
      <c r="A19" s="38" t="s">
        <v>627</v>
      </c>
      <c r="B19" s="39" t="s">
        <v>592</v>
      </c>
      <c r="C19" s="4" t="s">
        <v>628</v>
      </c>
      <c r="D19" s="10" t="s">
        <v>586</v>
      </c>
      <c r="E19" s="11" t="s">
        <v>629</v>
      </c>
      <c r="F19" s="11" t="s">
        <v>588</v>
      </c>
      <c r="G19" s="11"/>
      <c r="H19" s="27"/>
      <c r="I19" s="27"/>
      <c r="J19" s="27"/>
      <c r="K19" s="27"/>
      <c r="L19" s="27"/>
      <c r="M19" s="27"/>
      <c r="N19" s="27"/>
      <c r="O19" s="27"/>
      <c r="P19" s="27"/>
      <c r="Q19" s="22"/>
    </row>
    <row r="20" spans="1:17" x14ac:dyDescent="0.3">
      <c r="A20" s="38" t="s">
        <v>630</v>
      </c>
      <c r="B20" s="39" t="s">
        <v>631</v>
      </c>
      <c r="C20" s="4" t="s">
        <v>632</v>
      </c>
      <c r="D20" s="10" t="s">
        <v>586</v>
      </c>
      <c r="E20" s="11"/>
      <c r="F20" s="11" t="s">
        <v>588</v>
      </c>
      <c r="G20" s="39"/>
      <c r="H20" s="27"/>
      <c r="I20" s="27"/>
      <c r="J20" s="27"/>
      <c r="K20" s="27"/>
      <c r="L20" s="27"/>
      <c r="M20" s="27"/>
      <c r="N20" s="27"/>
      <c r="O20" s="27"/>
      <c r="P20" s="27"/>
      <c r="Q20" s="22"/>
    </row>
    <row r="21" spans="1:17" x14ac:dyDescent="0.3">
      <c r="A21" s="38" t="s">
        <v>633</v>
      </c>
      <c r="B21" s="39" t="s">
        <v>584</v>
      </c>
      <c r="C21" s="4" t="s">
        <v>634</v>
      </c>
      <c r="D21" s="10" t="s">
        <v>586</v>
      </c>
      <c r="E21" s="11" t="s">
        <v>609</v>
      </c>
      <c r="F21" s="11" t="s">
        <v>588</v>
      </c>
      <c r="G21" s="11"/>
      <c r="H21" s="27"/>
      <c r="I21" s="27"/>
      <c r="J21" s="27"/>
      <c r="K21" s="27"/>
      <c r="L21" s="27"/>
      <c r="M21" s="27"/>
      <c r="N21" s="27"/>
      <c r="O21" s="27"/>
      <c r="P21" s="27"/>
      <c r="Q21" s="22"/>
    </row>
    <row r="22" spans="1:17" x14ac:dyDescent="0.3">
      <c r="A22" s="38" t="s">
        <v>635</v>
      </c>
      <c r="B22" s="39" t="s">
        <v>584</v>
      </c>
      <c r="C22" s="4" t="s">
        <v>636</v>
      </c>
      <c r="D22" s="10" t="s">
        <v>637</v>
      </c>
      <c r="E22" s="11" t="s">
        <v>606</v>
      </c>
      <c r="F22" s="11" t="s">
        <v>588</v>
      </c>
      <c r="G22" s="11"/>
      <c r="H22" s="27"/>
      <c r="I22" s="27"/>
      <c r="J22" s="27"/>
      <c r="K22" s="27"/>
      <c r="L22" s="27"/>
      <c r="M22" s="27"/>
      <c r="N22" s="27"/>
      <c r="O22" s="27"/>
      <c r="P22" s="27"/>
      <c r="Q22" s="22"/>
    </row>
    <row r="23" spans="1:17" x14ac:dyDescent="0.3">
      <c r="A23" s="38" t="s">
        <v>638</v>
      </c>
      <c r="B23" s="39" t="s">
        <v>584</v>
      </c>
      <c r="C23" s="4" t="s">
        <v>639</v>
      </c>
      <c r="D23" s="10" t="s">
        <v>637</v>
      </c>
      <c r="E23" s="11" t="s">
        <v>606</v>
      </c>
      <c r="F23" s="11" t="s">
        <v>588</v>
      </c>
      <c r="G23" s="11"/>
      <c r="H23" s="27"/>
      <c r="I23" s="27"/>
      <c r="J23" s="27"/>
      <c r="K23" s="27"/>
      <c r="L23" s="27"/>
      <c r="M23" s="27"/>
      <c r="N23" s="27"/>
      <c r="O23" s="27"/>
      <c r="P23" s="27"/>
      <c r="Q23" s="22"/>
    </row>
    <row r="24" spans="1:17" x14ac:dyDescent="0.3">
      <c r="A24" s="38" t="s">
        <v>640</v>
      </c>
      <c r="B24" s="39" t="s">
        <v>592</v>
      </c>
      <c r="C24" s="4" t="s">
        <v>641</v>
      </c>
      <c r="D24" s="10" t="s">
        <v>642</v>
      </c>
      <c r="E24" s="11" t="s">
        <v>606</v>
      </c>
      <c r="F24" s="11" t="s">
        <v>588</v>
      </c>
      <c r="G24" s="11"/>
      <c r="H24" s="27"/>
      <c r="I24" s="27"/>
      <c r="J24" s="27"/>
      <c r="K24" s="27"/>
      <c r="L24" s="27"/>
      <c r="M24" s="27"/>
      <c r="N24" s="27"/>
      <c r="O24" s="27"/>
      <c r="P24" s="27"/>
      <c r="Q24" s="22"/>
    </row>
    <row r="25" spans="1:17" x14ac:dyDescent="0.3">
      <c r="A25" s="38" t="s">
        <v>643</v>
      </c>
      <c r="B25" s="39" t="s">
        <v>631</v>
      </c>
      <c r="C25" s="4" t="s">
        <v>644</v>
      </c>
      <c r="D25" s="10" t="s">
        <v>642</v>
      </c>
      <c r="E25" s="11"/>
      <c r="F25" s="45" t="s">
        <v>588</v>
      </c>
      <c r="G25" s="39" t="s">
        <v>645</v>
      </c>
      <c r="H25" s="27"/>
      <c r="I25" s="27"/>
      <c r="J25" s="27"/>
      <c r="K25" s="27"/>
      <c r="L25" s="27"/>
      <c r="M25" s="27"/>
      <c r="N25" s="27"/>
      <c r="O25" s="27"/>
      <c r="P25" s="27"/>
      <c r="Q25" s="22" t="s">
        <v>646</v>
      </c>
    </row>
    <row r="26" spans="1:17" x14ac:dyDescent="0.3">
      <c r="A26" s="38" t="s">
        <v>647</v>
      </c>
      <c r="B26" s="39" t="s">
        <v>648</v>
      </c>
      <c r="C26" s="4" t="s">
        <v>649</v>
      </c>
      <c r="D26" s="10" t="s">
        <v>642</v>
      </c>
      <c r="E26" s="11"/>
      <c r="F26" s="45" t="s">
        <v>588</v>
      </c>
      <c r="G26" s="39"/>
      <c r="H26" s="27"/>
      <c r="I26" s="27"/>
      <c r="J26" s="27"/>
      <c r="K26" s="27"/>
      <c r="L26" s="27"/>
      <c r="M26" s="27"/>
      <c r="N26" s="27"/>
      <c r="O26" s="27"/>
      <c r="P26" s="27"/>
      <c r="Q26" s="22"/>
    </row>
    <row r="27" spans="1:17" x14ac:dyDescent="0.3">
      <c r="A27" s="38" t="s">
        <v>650</v>
      </c>
      <c r="B27" s="39" t="s">
        <v>592</v>
      </c>
      <c r="C27" s="4" t="s">
        <v>651</v>
      </c>
      <c r="D27" s="10" t="s">
        <v>586</v>
      </c>
      <c r="E27" s="11" t="s">
        <v>652</v>
      </c>
      <c r="F27" s="11" t="s">
        <v>588</v>
      </c>
      <c r="G27" s="11"/>
      <c r="H27" s="27"/>
      <c r="I27" s="27"/>
      <c r="J27" s="27"/>
      <c r="K27" s="27"/>
      <c r="L27" s="27"/>
      <c r="M27" s="27"/>
      <c r="N27" s="27"/>
      <c r="O27" s="27"/>
      <c r="P27" s="27"/>
      <c r="Q27" s="22"/>
    </row>
    <row r="28" spans="1:17" x14ac:dyDescent="0.3">
      <c r="A28" s="38" t="s">
        <v>653</v>
      </c>
      <c r="B28" s="39" t="s">
        <v>654</v>
      </c>
      <c r="C28" s="4" t="s">
        <v>655</v>
      </c>
      <c r="D28" s="10" t="s">
        <v>656</v>
      </c>
      <c r="E28" s="11" t="s">
        <v>652</v>
      </c>
      <c r="F28" s="11" t="s">
        <v>588</v>
      </c>
      <c r="G28" s="11"/>
      <c r="H28" s="27"/>
      <c r="I28" s="27"/>
      <c r="J28" s="27"/>
      <c r="K28" s="27"/>
      <c r="L28" s="27"/>
      <c r="M28" s="27"/>
      <c r="N28" s="27"/>
      <c r="O28" s="27"/>
      <c r="P28" s="27"/>
      <c r="Q28" s="22"/>
    </row>
    <row r="29" spans="1:17" x14ac:dyDescent="0.3">
      <c r="A29" s="38" t="s">
        <v>657</v>
      </c>
      <c r="B29" s="39" t="s">
        <v>584</v>
      </c>
      <c r="C29" s="4" t="s">
        <v>658</v>
      </c>
      <c r="D29" s="10" t="s">
        <v>586</v>
      </c>
      <c r="E29" s="11" t="s">
        <v>609</v>
      </c>
      <c r="F29" s="11" t="s">
        <v>588</v>
      </c>
      <c r="G29" s="11"/>
      <c r="H29" s="27"/>
      <c r="I29" s="27"/>
      <c r="J29" s="27"/>
      <c r="K29" s="27"/>
      <c r="L29" s="27"/>
      <c r="M29" s="27"/>
      <c r="N29" s="27"/>
      <c r="O29" s="27"/>
      <c r="P29" s="27"/>
      <c r="Q29" s="22"/>
    </row>
    <row r="30" spans="1:17" x14ac:dyDescent="0.3">
      <c r="A30" s="38" t="s">
        <v>659</v>
      </c>
      <c r="B30" s="39" t="s">
        <v>592</v>
      </c>
      <c r="C30" s="4" t="s">
        <v>660</v>
      </c>
      <c r="D30" s="10" t="s">
        <v>586</v>
      </c>
      <c r="E30" s="11" t="s">
        <v>587</v>
      </c>
      <c r="F30" s="11" t="s">
        <v>588</v>
      </c>
      <c r="G30" s="11"/>
      <c r="H30" s="27"/>
      <c r="I30" s="27"/>
      <c r="J30" s="27"/>
      <c r="K30" s="27"/>
      <c r="L30" s="27"/>
      <c r="M30" s="27"/>
      <c r="N30" s="27"/>
      <c r="O30" s="27"/>
      <c r="P30" s="27"/>
      <c r="Q30" s="22"/>
    </row>
    <row r="31" spans="1:17" x14ac:dyDescent="0.3">
      <c r="A31" s="38" t="s">
        <v>661</v>
      </c>
      <c r="B31" s="39" t="s">
        <v>599</v>
      </c>
      <c r="C31" s="4" t="s">
        <v>662</v>
      </c>
      <c r="D31" s="10" t="s">
        <v>586</v>
      </c>
      <c r="E31" s="11" t="s">
        <v>587</v>
      </c>
      <c r="F31" s="45" t="s">
        <v>588</v>
      </c>
      <c r="G31" s="39" t="s">
        <v>663</v>
      </c>
      <c r="H31" s="27"/>
      <c r="I31" s="27"/>
      <c r="J31" s="27"/>
      <c r="K31" s="27"/>
      <c r="L31" s="27"/>
      <c r="M31" s="27"/>
      <c r="N31" s="27"/>
      <c r="O31" s="27"/>
      <c r="P31" s="27"/>
      <c r="Q31" s="22"/>
    </row>
    <row r="32" spans="1:17" x14ac:dyDescent="0.3">
      <c r="A32" s="38" t="s">
        <v>664</v>
      </c>
      <c r="B32" s="39" t="s">
        <v>584</v>
      </c>
      <c r="C32" s="4" t="s">
        <v>665</v>
      </c>
      <c r="D32" s="10" t="s">
        <v>586</v>
      </c>
      <c r="E32" s="11" t="s">
        <v>587</v>
      </c>
      <c r="F32" s="11" t="s">
        <v>588</v>
      </c>
      <c r="G32" s="11"/>
      <c r="H32" s="27"/>
      <c r="I32" s="27"/>
      <c r="J32" s="27"/>
      <c r="K32" s="27"/>
      <c r="L32" s="27"/>
      <c r="M32" s="27"/>
      <c r="N32" s="27"/>
      <c r="O32" s="27"/>
      <c r="P32" s="27"/>
      <c r="Q32" s="22"/>
    </row>
    <row r="33" spans="1:17" x14ac:dyDescent="0.3">
      <c r="A33" s="38" t="s">
        <v>666</v>
      </c>
      <c r="B33" s="39" t="s">
        <v>592</v>
      </c>
      <c r="C33" s="4" t="s">
        <v>667</v>
      </c>
      <c r="D33" s="10" t="s">
        <v>586</v>
      </c>
      <c r="E33" s="11" t="s">
        <v>609</v>
      </c>
      <c r="F33" s="11" t="s">
        <v>588</v>
      </c>
      <c r="G33" s="11"/>
      <c r="H33" s="27"/>
      <c r="I33" s="27"/>
      <c r="J33" s="27"/>
      <c r="K33" s="27"/>
      <c r="L33" s="27"/>
      <c r="M33" s="27"/>
      <c r="N33" s="27"/>
      <c r="O33" s="27"/>
      <c r="P33" s="27"/>
      <c r="Q33" s="22"/>
    </row>
    <row r="34" spans="1:17" x14ac:dyDescent="0.3">
      <c r="A34" s="38" t="s">
        <v>668</v>
      </c>
      <c r="B34" s="39" t="s">
        <v>631</v>
      </c>
      <c r="C34" s="4" t="s">
        <v>669</v>
      </c>
      <c r="D34" s="10" t="s">
        <v>586</v>
      </c>
      <c r="E34" s="11"/>
      <c r="F34" s="45" t="s">
        <v>588</v>
      </c>
      <c r="G34" s="39" t="s">
        <v>670</v>
      </c>
      <c r="H34" s="27"/>
      <c r="I34" s="27"/>
      <c r="J34" s="27"/>
      <c r="K34" s="27"/>
      <c r="L34" s="27"/>
      <c r="M34" s="27"/>
      <c r="N34" s="27"/>
      <c r="O34" s="27"/>
      <c r="P34" s="27"/>
      <c r="Q34" s="22"/>
    </row>
    <row r="35" spans="1:17" x14ac:dyDescent="0.3">
      <c r="A35" s="38" t="s">
        <v>671</v>
      </c>
      <c r="B35" s="39" t="s">
        <v>592</v>
      </c>
      <c r="C35" s="4" t="s">
        <v>672</v>
      </c>
      <c r="D35" s="10" t="s">
        <v>586</v>
      </c>
      <c r="E35" s="11" t="s">
        <v>587</v>
      </c>
      <c r="F35" s="11" t="s">
        <v>588</v>
      </c>
      <c r="G35" s="11"/>
      <c r="H35" s="27"/>
      <c r="I35" s="27"/>
      <c r="J35" s="27"/>
      <c r="K35" s="27"/>
      <c r="L35" s="27"/>
      <c r="M35" s="27"/>
      <c r="N35" s="27"/>
      <c r="O35" s="27"/>
      <c r="P35" s="27"/>
      <c r="Q35" s="22"/>
    </row>
    <row r="36" spans="1:17" x14ac:dyDescent="0.3">
      <c r="A36" s="38" t="s">
        <v>673</v>
      </c>
      <c r="B36" s="39" t="s">
        <v>592</v>
      </c>
      <c r="C36" s="50" t="s">
        <v>674</v>
      </c>
      <c r="D36" s="10" t="s">
        <v>675</v>
      </c>
      <c r="E36" s="11" t="s">
        <v>652</v>
      </c>
      <c r="F36" s="11" t="s">
        <v>588</v>
      </c>
      <c r="G36" s="11"/>
      <c r="H36" s="27"/>
      <c r="I36" s="27"/>
      <c r="J36" s="27"/>
      <c r="K36" s="27"/>
      <c r="L36" s="27"/>
      <c r="M36" s="27"/>
      <c r="N36" s="27"/>
      <c r="O36" s="27"/>
      <c r="P36" s="27"/>
      <c r="Q36" s="22"/>
    </row>
    <row r="37" spans="1:17" x14ac:dyDescent="0.3">
      <c r="A37" s="38" t="s">
        <v>676</v>
      </c>
      <c r="B37" s="39" t="s">
        <v>592</v>
      </c>
      <c r="C37" s="4" t="s">
        <v>677</v>
      </c>
      <c r="D37" s="10" t="s">
        <v>622</v>
      </c>
      <c r="E37" s="11" t="s">
        <v>629</v>
      </c>
      <c r="F37" s="11" t="s">
        <v>588</v>
      </c>
      <c r="G37" s="11"/>
      <c r="H37" s="27"/>
      <c r="I37" s="27"/>
      <c r="J37" s="27"/>
      <c r="K37" s="27"/>
      <c r="L37" s="27"/>
      <c r="M37" s="27"/>
      <c r="N37" s="27"/>
      <c r="O37" s="27"/>
      <c r="P37" s="27"/>
      <c r="Q37" s="22"/>
    </row>
    <row r="38" spans="1:17" x14ac:dyDescent="0.3">
      <c r="A38" s="38" t="s">
        <v>678</v>
      </c>
      <c r="B38" s="39" t="s">
        <v>599</v>
      </c>
      <c r="C38" s="4" t="s">
        <v>679</v>
      </c>
      <c r="D38" s="10" t="s">
        <v>622</v>
      </c>
      <c r="E38" s="11"/>
      <c r="F38" s="45" t="s">
        <v>588</v>
      </c>
      <c r="G38" s="39" t="s">
        <v>680</v>
      </c>
      <c r="H38" s="27"/>
      <c r="I38" s="27"/>
      <c r="J38" s="27"/>
      <c r="K38" s="27"/>
      <c r="L38" s="27"/>
      <c r="M38" s="27"/>
      <c r="N38" s="27"/>
      <c r="O38" s="27"/>
      <c r="P38" s="27"/>
      <c r="Q38" s="22"/>
    </row>
    <row r="39" spans="1:17" x14ac:dyDescent="0.3">
      <c r="A39" s="38" t="s">
        <v>681</v>
      </c>
      <c r="B39" s="39" t="s">
        <v>631</v>
      </c>
      <c r="C39" s="4" t="s">
        <v>682</v>
      </c>
      <c r="D39" s="10" t="s">
        <v>622</v>
      </c>
      <c r="E39" s="11"/>
      <c r="F39" s="45" t="s">
        <v>588</v>
      </c>
      <c r="G39" s="39" t="s">
        <v>683</v>
      </c>
      <c r="H39" s="27"/>
      <c r="I39" s="27"/>
      <c r="J39" s="27"/>
      <c r="K39" s="27"/>
      <c r="L39" s="27"/>
      <c r="M39" s="27"/>
      <c r="N39" s="27"/>
      <c r="O39" s="27"/>
      <c r="P39" s="27"/>
      <c r="Q39" s="22"/>
    </row>
    <row r="40" spans="1:17" x14ac:dyDescent="0.3">
      <c r="A40" s="38" t="s">
        <v>684</v>
      </c>
      <c r="B40" s="39" t="s">
        <v>685</v>
      </c>
      <c r="C40" s="4" t="s">
        <v>686</v>
      </c>
      <c r="D40" s="10" t="s">
        <v>622</v>
      </c>
      <c r="E40" s="11"/>
      <c r="F40" s="45" t="s">
        <v>588</v>
      </c>
      <c r="G40" s="39" t="s">
        <v>687</v>
      </c>
      <c r="H40" s="27"/>
      <c r="I40" s="27"/>
      <c r="J40" s="27"/>
      <c r="K40" s="27"/>
      <c r="L40" s="27"/>
      <c r="M40" s="27"/>
      <c r="N40" s="27"/>
      <c r="O40" s="27"/>
      <c r="P40" s="27"/>
      <c r="Q40" s="22"/>
    </row>
    <row r="41" spans="1:17" x14ac:dyDescent="0.3">
      <c r="A41" s="38" t="s">
        <v>688</v>
      </c>
      <c r="B41" s="39" t="s">
        <v>689</v>
      </c>
      <c r="C41" s="4" t="s">
        <v>690</v>
      </c>
      <c r="D41" s="10" t="s">
        <v>622</v>
      </c>
      <c r="E41" s="11"/>
      <c r="F41" s="45" t="s">
        <v>588</v>
      </c>
      <c r="G41" s="39" t="s">
        <v>691</v>
      </c>
      <c r="H41" s="27"/>
      <c r="I41" s="27"/>
      <c r="J41" s="27"/>
      <c r="K41" s="27"/>
      <c r="L41" s="27"/>
      <c r="M41" s="27"/>
      <c r="N41" s="27"/>
      <c r="O41" s="27"/>
      <c r="P41" s="27"/>
      <c r="Q41" s="22"/>
    </row>
    <row r="42" spans="1:17" x14ac:dyDescent="0.3">
      <c r="A42" s="38" t="s">
        <v>692</v>
      </c>
      <c r="B42" s="39" t="s">
        <v>584</v>
      </c>
      <c r="C42" s="4" t="s">
        <v>693</v>
      </c>
      <c r="D42" s="10" t="s">
        <v>622</v>
      </c>
      <c r="E42" s="11" t="s">
        <v>629</v>
      </c>
      <c r="F42" s="11" t="s">
        <v>588</v>
      </c>
      <c r="G42" s="11"/>
      <c r="H42" s="27"/>
      <c r="I42" s="27"/>
      <c r="J42" s="27"/>
      <c r="K42" s="27"/>
      <c r="L42" s="27"/>
      <c r="M42" s="27"/>
      <c r="N42" s="27"/>
      <c r="O42" s="27"/>
      <c r="P42" s="27"/>
      <c r="Q42" s="22"/>
    </row>
    <row r="43" spans="1:17" x14ac:dyDescent="0.3">
      <c r="A43" s="36" t="s">
        <v>694</v>
      </c>
      <c r="B43" s="39" t="s">
        <v>584</v>
      </c>
      <c r="C43" s="42" t="s">
        <v>695</v>
      </c>
      <c r="D43" s="13" t="s">
        <v>622</v>
      </c>
      <c r="E43" s="11" t="s">
        <v>629</v>
      </c>
      <c r="F43" s="13" t="s">
        <v>588</v>
      </c>
      <c r="G43" s="11"/>
      <c r="H43" s="28"/>
      <c r="I43" s="28"/>
      <c r="J43" s="28"/>
      <c r="K43" s="28"/>
      <c r="L43" s="28"/>
      <c r="M43" s="28"/>
      <c r="N43" s="28"/>
      <c r="O43" s="28"/>
      <c r="P43" s="28"/>
      <c r="Q43" s="23"/>
    </row>
    <row r="44" spans="1:17" x14ac:dyDescent="0.3">
      <c r="A44" s="38" t="s">
        <v>696</v>
      </c>
      <c r="B44" s="39" t="s">
        <v>592</v>
      </c>
      <c r="C44" s="4" t="s">
        <v>697</v>
      </c>
      <c r="D44" s="10" t="s">
        <v>622</v>
      </c>
      <c r="E44" s="11" t="s">
        <v>606</v>
      </c>
      <c r="F44" s="11" t="s">
        <v>588</v>
      </c>
      <c r="G44" s="11"/>
      <c r="H44" s="27"/>
      <c r="I44" s="27"/>
      <c r="J44" s="27"/>
      <c r="K44" s="27"/>
      <c r="L44" s="27"/>
      <c r="M44" s="27"/>
      <c r="N44" s="27"/>
      <c r="O44" s="27"/>
      <c r="P44" s="27"/>
      <c r="Q44" s="22"/>
    </row>
    <row r="45" spans="1:17" x14ac:dyDescent="0.3">
      <c r="A45" s="38" t="s">
        <v>698</v>
      </c>
      <c r="B45" s="39" t="s">
        <v>592</v>
      </c>
      <c r="C45" s="4" t="s">
        <v>699</v>
      </c>
      <c r="D45" s="10" t="s">
        <v>586</v>
      </c>
      <c r="E45" s="11" t="s">
        <v>606</v>
      </c>
      <c r="F45" s="11" t="s">
        <v>588</v>
      </c>
      <c r="G45" s="11"/>
      <c r="H45" s="27"/>
      <c r="I45" s="27"/>
      <c r="J45" s="27"/>
      <c r="K45" s="27"/>
      <c r="L45" s="27"/>
      <c r="M45" s="27"/>
      <c r="N45" s="27"/>
      <c r="O45" s="27"/>
      <c r="P45" s="27"/>
      <c r="Q45" s="22" t="s">
        <v>700</v>
      </c>
    </row>
    <row r="46" spans="1:17" x14ac:dyDescent="0.3">
      <c r="A46" s="38" t="s">
        <v>701</v>
      </c>
      <c r="B46" s="39" t="s">
        <v>599</v>
      </c>
      <c r="C46" s="4" t="s">
        <v>702</v>
      </c>
      <c r="D46" s="10" t="s">
        <v>586</v>
      </c>
      <c r="E46" s="11"/>
      <c r="F46" s="45" t="s">
        <v>588</v>
      </c>
      <c r="G46" s="39"/>
      <c r="H46" s="27"/>
      <c r="I46" s="27"/>
      <c r="J46" s="27"/>
      <c r="K46" s="27"/>
      <c r="L46" s="27"/>
      <c r="M46" s="27"/>
      <c r="N46" s="27"/>
      <c r="O46" s="27"/>
      <c r="P46" s="27"/>
      <c r="Q46" s="22" t="s">
        <v>700</v>
      </c>
    </row>
    <row r="47" spans="1:17" x14ac:dyDescent="0.3">
      <c r="A47" s="38" t="s">
        <v>703</v>
      </c>
      <c r="B47" s="39" t="s">
        <v>631</v>
      </c>
      <c r="C47" s="4" t="s">
        <v>704</v>
      </c>
      <c r="D47" s="10" t="s">
        <v>586</v>
      </c>
      <c r="E47" s="11"/>
      <c r="F47" s="45" t="s">
        <v>588</v>
      </c>
      <c r="G47" s="39"/>
      <c r="H47" s="27"/>
      <c r="I47" s="27"/>
      <c r="J47" s="27"/>
      <c r="K47" s="27"/>
      <c r="L47" s="27"/>
      <c r="M47" s="27"/>
      <c r="N47" s="27"/>
      <c r="O47" s="27"/>
      <c r="P47" s="27"/>
      <c r="Q47" s="22" t="s">
        <v>700</v>
      </c>
    </row>
    <row r="48" spans="1:17" x14ac:dyDescent="0.3">
      <c r="A48" s="38" t="s">
        <v>705</v>
      </c>
      <c r="B48" s="39" t="s">
        <v>685</v>
      </c>
      <c r="C48" s="4" t="s">
        <v>706</v>
      </c>
      <c r="D48" s="10" t="s">
        <v>586</v>
      </c>
      <c r="E48" s="11"/>
      <c r="F48" s="45" t="s">
        <v>588</v>
      </c>
      <c r="G48" s="39"/>
      <c r="H48" s="27"/>
      <c r="I48" s="27"/>
      <c r="J48" s="27"/>
      <c r="K48" s="27"/>
      <c r="L48" s="27"/>
      <c r="M48" s="27"/>
      <c r="N48" s="27"/>
      <c r="O48" s="27"/>
      <c r="P48" s="27"/>
      <c r="Q48" s="22" t="s">
        <v>700</v>
      </c>
    </row>
    <row r="49" spans="1:17" x14ac:dyDescent="0.3">
      <c r="A49" s="38" t="s">
        <v>707</v>
      </c>
      <c r="B49" s="39" t="s">
        <v>689</v>
      </c>
      <c r="C49" s="4" t="s">
        <v>708</v>
      </c>
      <c r="D49" s="10" t="s">
        <v>586</v>
      </c>
      <c r="E49" s="11"/>
      <c r="F49" s="45" t="s">
        <v>588</v>
      </c>
      <c r="G49" s="39"/>
      <c r="H49" s="27"/>
      <c r="I49" s="27"/>
      <c r="J49" s="27"/>
      <c r="K49" s="27"/>
      <c r="L49" s="27"/>
      <c r="M49" s="27"/>
      <c r="N49" s="27"/>
      <c r="O49" s="27"/>
      <c r="P49" s="27"/>
      <c r="Q49" s="22" t="s">
        <v>700</v>
      </c>
    </row>
    <row r="50" spans="1:17" x14ac:dyDescent="0.3">
      <c r="A50" s="38"/>
      <c r="B50" s="39"/>
      <c r="C50" s="4" t="s">
        <v>709</v>
      </c>
      <c r="D50" s="10" t="s">
        <v>709</v>
      </c>
      <c r="E50" s="10" t="s">
        <v>709</v>
      </c>
      <c r="F50" s="10" t="s">
        <v>709</v>
      </c>
      <c r="G50" s="10"/>
      <c r="H50" s="29"/>
      <c r="I50" s="29"/>
      <c r="J50" s="29"/>
      <c r="K50" s="29"/>
      <c r="L50" s="29"/>
      <c r="M50" s="29"/>
      <c r="N50" s="29"/>
      <c r="O50" s="29"/>
      <c r="P50" s="29"/>
      <c r="Q50" s="24"/>
    </row>
    <row r="51" spans="1:17" x14ac:dyDescent="0.3">
      <c r="A51" s="43" t="s">
        <v>710</v>
      </c>
      <c r="B51" s="39" t="s">
        <v>584</v>
      </c>
      <c r="C51" s="4" t="s">
        <v>585</v>
      </c>
      <c r="D51" s="14" t="s">
        <v>586</v>
      </c>
      <c r="E51" s="11" t="s">
        <v>587</v>
      </c>
      <c r="F51" s="15" t="s">
        <v>711</v>
      </c>
      <c r="G51" s="11"/>
      <c r="H51" s="30"/>
      <c r="I51" s="30"/>
      <c r="J51" s="30"/>
      <c r="K51" s="30"/>
      <c r="L51" s="30"/>
      <c r="M51" s="30"/>
      <c r="N51" s="30"/>
      <c r="O51" s="30"/>
      <c r="P51" s="30"/>
      <c r="Q51" s="25"/>
    </row>
    <row r="52" spans="1:17" x14ac:dyDescent="0.3">
      <c r="A52" s="40" t="s">
        <v>712</v>
      </c>
      <c r="B52" s="39" t="s">
        <v>584</v>
      </c>
      <c r="C52" s="41" t="s">
        <v>590</v>
      </c>
      <c r="D52" s="10" t="s">
        <v>586</v>
      </c>
      <c r="E52" s="11" t="s">
        <v>587</v>
      </c>
      <c r="F52" s="11" t="s">
        <v>711</v>
      </c>
      <c r="G52" s="11"/>
      <c r="H52" s="27"/>
      <c r="I52" s="27"/>
      <c r="J52" s="27"/>
      <c r="K52" s="27"/>
      <c r="L52" s="27"/>
      <c r="M52" s="27"/>
      <c r="N52" s="27"/>
      <c r="O52" s="27"/>
      <c r="P52" s="27"/>
      <c r="Q52" s="22"/>
    </row>
    <row r="53" spans="1:17" x14ac:dyDescent="0.3">
      <c r="A53" s="40" t="s">
        <v>713</v>
      </c>
      <c r="B53" s="39" t="s">
        <v>592</v>
      </c>
      <c r="C53" s="41" t="s">
        <v>593</v>
      </c>
      <c r="D53" s="10" t="s">
        <v>586</v>
      </c>
      <c r="E53" s="11" t="s">
        <v>587</v>
      </c>
      <c r="F53" s="11" t="s">
        <v>711</v>
      </c>
      <c r="G53" s="11"/>
      <c r="H53" s="27"/>
      <c r="I53" s="27"/>
      <c r="J53" s="27"/>
      <c r="K53" s="27"/>
      <c r="L53" s="27"/>
      <c r="M53" s="27"/>
      <c r="N53" s="27"/>
      <c r="O53" s="27"/>
      <c r="P53" s="27"/>
      <c r="Q53" s="22"/>
    </row>
    <row r="54" spans="1:17" x14ac:dyDescent="0.3">
      <c r="A54" s="40" t="s">
        <v>714</v>
      </c>
      <c r="B54" s="39" t="s">
        <v>584</v>
      </c>
      <c r="C54" s="4" t="s">
        <v>595</v>
      </c>
      <c r="D54" s="10" t="s">
        <v>586</v>
      </c>
      <c r="E54" s="11" t="s">
        <v>587</v>
      </c>
      <c r="F54" s="11" t="s">
        <v>711</v>
      </c>
      <c r="G54" s="11"/>
      <c r="H54" s="27"/>
      <c r="I54" s="27"/>
      <c r="J54" s="27"/>
      <c r="K54" s="27"/>
      <c r="L54" s="27"/>
      <c r="M54" s="27"/>
      <c r="N54" s="27"/>
      <c r="O54" s="27"/>
      <c r="P54" s="27"/>
      <c r="Q54" s="22"/>
    </row>
    <row r="55" spans="1:17" x14ac:dyDescent="0.3">
      <c r="A55" s="40" t="s">
        <v>715</v>
      </c>
      <c r="B55" s="39" t="s">
        <v>592</v>
      </c>
      <c r="C55" s="4" t="s">
        <v>597</v>
      </c>
      <c r="D55" s="10" t="s">
        <v>586</v>
      </c>
      <c r="E55" s="11" t="s">
        <v>587</v>
      </c>
      <c r="F55" s="11" t="s">
        <v>711</v>
      </c>
      <c r="G55" s="11"/>
      <c r="H55" s="27"/>
      <c r="I55" s="27"/>
      <c r="J55" s="27"/>
      <c r="K55" s="27"/>
      <c r="L55" s="27"/>
      <c r="M55" s="27"/>
      <c r="N55" s="27"/>
      <c r="O55" s="27"/>
      <c r="P55" s="27"/>
      <c r="Q55" s="22"/>
    </row>
    <row r="56" spans="1:17" x14ac:dyDescent="0.3">
      <c r="A56" s="38" t="s">
        <v>716</v>
      </c>
      <c r="B56" s="39" t="s">
        <v>599</v>
      </c>
      <c r="C56" s="4" t="s">
        <v>600</v>
      </c>
      <c r="D56" s="10" t="s">
        <v>586</v>
      </c>
      <c r="E56" s="11" t="s">
        <v>587</v>
      </c>
      <c r="F56" s="11" t="s">
        <v>711</v>
      </c>
      <c r="G56" s="11"/>
      <c r="H56" s="27"/>
      <c r="I56" s="27"/>
      <c r="J56" s="27"/>
      <c r="K56" s="27"/>
      <c r="L56" s="27"/>
      <c r="M56" s="27"/>
      <c r="N56" s="27"/>
      <c r="O56" s="27"/>
      <c r="P56" s="27"/>
      <c r="Q56" s="22"/>
    </row>
    <row r="57" spans="1:17" x14ac:dyDescent="0.3">
      <c r="A57" s="38" t="s">
        <v>717</v>
      </c>
      <c r="B57" s="39" t="s">
        <v>599</v>
      </c>
      <c r="C57" s="4" t="s">
        <v>602</v>
      </c>
      <c r="D57" s="10" t="s">
        <v>586</v>
      </c>
      <c r="E57" s="11" t="s">
        <v>587</v>
      </c>
      <c r="F57" s="11" t="s">
        <v>711</v>
      </c>
      <c r="G57" s="11"/>
      <c r="H57" s="27"/>
      <c r="I57" s="27"/>
      <c r="J57" s="27"/>
      <c r="K57" s="27"/>
      <c r="L57" s="27"/>
      <c r="M57" s="27"/>
      <c r="N57" s="27"/>
      <c r="O57" s="27"/>
      <c r="P57" s="27"/>
      <c r="Q57" s="22"/>
    </row>
    <row r="58" spans="1:17" x14ac:dyDescent="0.3">
      <c r="A58" s="38" t="s">
        <v>718</v>
      </c>
      <c r="B58" s="39" t="s">
        <v>592</v>
      </c>
      <c r="C58" s="4" t="s">
        <v>604</v>
      </c>
      <c r="D58" s="10" t="s">
        <v>605</v>
      </c>
      <c r="E58" s="11" t="s">
        <v>606</v>
      </c>
      <c r="F58" s="11" t="s">
        <v>711</v>
      </c>
      <c r="G58" s="11"/>
      <c r="H58" s="27"/>
      <c r="I58" s="27"/>
      <c r="J58" s="27"/>
      <c r="K58" s="27"/>
      <c r="L58" s="27"/>
      <c r="M58" s="27"/>
      <c r="N58" s="27"/>
      <c r="O58" s="27"/>
      <c r="P58" s="27"/>
      <c r="Q58" s="22"/>
    </row>
    <row r="59" spans="1:17" x14ac:dyDescent="0.3">
      <c r="A59" s="40" t="s">
        <v>719</v>
      </c>
      <c r="B59" s="39" t="s">
        <v>584</v>
      </c>
      <c r="C59" s="4" t="s">
        <v>608</v>
      </c>
      <c r="D59" s="10" t="s">
        <v>586</v>
      </c>
      <c r="E59" s="11" t="s">
        <v>609</v>
      </c>
      <c r="F59" s="11" t="s">
        <v>711</v>
      </c>
      <c r="G59" s="11"/>
      <c r="H59" s="27"/>
      <c r="I59" s="27"/>
      <c r="J59" s="27"/>
      <c r="K59" s="27"/>
      <c r="L59" s="27"/>
      <c r="M59" s="27"/>
      <c r="N59" s="27"/>
      <c r="O59" s="27"/>
      <c r="P59" s="27"/>
      <c r="Q59" s="22"/>
    </row>
    <row r="60" spans="1:17" x14ac:dyDescent="0.3">
      <c r="A60" s="40" t="s">
        <v>720</v>
      </c>
      <c r="B60" s="39" t="s">
        <v>592</v>
      </c>
      <c r="C60" s="4" t="s">
        <v>611</v>
      </c>
      <c r="D60" s="10" t="s">
        <v>586</v>
      </c>
      <c r="E60" s="11" t="s">
        <v>587</v>
      </c>
      <c r="F60" s="11" t="s">
        <v>711</v>
      </c>
      <c r="G60" s="11"/>
      <c r="H60" s="27"/>
      <c r="I60" s="27"/>
      <c r="J60" s="27"/>
      <c r="K60" s="27"/>
      <c r="L60" s="27"/>
      <c r="M60" s="27"/>
      <c r="N60" s="27"/>
      <c r="O60" s="27"/>
      <c r="P60" s="27"/>
      <c r="Q60" s="22"/>
    </row>
    <row r="61" spans="1:17" x14ac:dyDescent="0.3">
      <c r="A61" s="38" t="s">
        <v>721</v>
      </c>
      <c r="B61" s="39" t="s">
        <v>599</v>
      </c>
      <c r="C61" s="4" t="s">
        <v>613</v>
      </c>
      <c r="D61" s="10" t="s">
        <v>586</v>
      </c>
      <c r="E61" s="11" t="s">
        <v>587</v>
      </c>
      <c r="F61" s="11" t="s">
        <v>711</v>
      </c>
      <c r="G61" s="11"/>
      <c r="H61" s="27"/>
      <c r="I61" s="27"/>
      <c r="J61" s="27"/>
      <c r="K61" s="27"/>
      <c r="L61" s="27"/>
      <c r="M61" s="27"/>
      <c r="N61" s="27"/>
      <c r="O61" s="27"/>
      <c r="P61" s="27"/>
      <c r="Q61" s="22"/>
    </row>
    <row r="62" spans="1:17" x14ac:dyDescent="0.3">
      <c r="A62" s="40" t="s">
        <v>722</v>
      </c>
      <c r="B62" s="39" t="s">
        <v>584</v>
      </c>
      <c r="C62" s="4" t="s">
        <v>615</v>
      </c>
      <c r="D62" s="10" t="s">
        <v>586</v>
      </c>
      <c r="E62" s="11" t="s">
        <v>609</v>
      </c>
      <c r="F62" s="11" t="s">
        <v>711</v>
      </c>
      <c r="G62" s="11"/>
      <c r="H62" s="27"/>
      <c r="I62" s="27"/>
      <c r="J62" s="27"/>
      <c r="K62" s="27"/>
      <c r="L62" s="27"/>
      <c r="M62" s="27"/>
      <c r="N62" s="27"/>
      <c r="O62" s="27"/>
      <c r="P62" s="27"/>
      <c r="Q62" s="22"/>
    </row>
    <row r="63" spans="1:17" x14ac:dyDescent="0.3">
      <c r="A63" s="40" t="s">
        <v>723</v>
      </c>
      <c r="B63" s="39" t="s">
        <v>592</v>
      </c>
      <c r="C63" s="4" t="s">
        <v>617</v>
      </c>
      <c r="D63" s="10" t="s">
        <v>586</v>
      </c>
      <c r="E63" s="11" t="s">
        <v>587</v>
      </c>
      <c r="F63" s="11" t="s">
        <v>711</v>
      </c>
      <c r="G63" s="11"/>
      <c r="H63" s="27"/>
      <c r="I63" s="27"/>
      <c r="J63" s="27"/>
      <c r="K63" s="27"/>
      <c r="L63" s="27"/>
      <c r="M63" s="27"/>
      <c r="N63" s="27"/>
      <c r="O63" s="27"/>
      <c r="P63" s="27"/>
      <c r="Q63" s="22"/>
    </row>
    <row r="64" spans="1:17" x14ac:dyDescent="0.3">
      <c r="A64" s="38" t="s">
        <v>724</v>
      </c>
      <c r="B64" s="39" t="s">
        <v>599</v>
      </c>
      <c r="C64" s="4" t="s">
        <v>619</v>
      </c>
      <c r="D64" s="10" t="s">
        <v>586</v>
      </c>
      <c r="E64" s="11" t="s">
        <v>587</v>
      </c>
      <c r="F64" s="11" t="s">
        <v>711</v>
      </c>
      <c r="G64" s="11"/>
      <c r="H64" s="27"/>
      <c r="I64" s="27"/>
      <c r="J64" s="27"/>
      <c r="K64" s="27"/>
      <c r="L64" s="27"/>
      <c r="M64" s="27"/>
      <c r="N64" s="27"/>
      <c r="O64" s="27"/>
      <c r="P64" s="27"/>
      <c r="Q64" s="22"/>
    </row>
    <row r="65" spans="1:17" x14ac:dyDescent="0.3">
      <c r="A65" s="36" t="s">
        <v>725</v>
      </c>
      <c r="B65" s="39" t="s">
        <v>584</v>
      </c>
      <c r="C65" s="4" t="s">
        <v>621</v>
      </c>
      <c r="D65" s="10" t="s">
        <v>622</v>
      </c>
      <c r="E65" s="11" t="s">
        <v>609</v>
      </c>
      <c r="F65" s="11" t="s">
        <v>711</v>
      </c>
      <c r="G65" s="11"/>
      <c r="H65" s="27"/>
      <c r="I65" s="27"/>
      <c r="J65" s="27"/>
      <c r="K65" s="27"/>
      <c r="L65" s="27"/>
      <c r="M65" s="27"/>
      <c r="N65" s="27"/>
      <c r="O65" s="27"/>
      <c r="P65" s="27"/>
      <c r="Q65" s="22"/>
    </row>
    <row r="66" spans="1:17" x14ac:dyDescent="0.3">
      <c r="A66" s="38" t="s">
        <v>726</v>
      </c>
      <c r="B66" s="39" t="s">
        <v>584</v>
      </c>
      <c r="C66" s="4" t="s">
        <v>624</v>
      </c>
      <c r="D66" s="10" t="s">
        <v>586</v>
      </c>
      <c r="E66" s="11" t="s">
        <v>609</v>
      </c>
      <c r="F66" s="11" t="s">
        <v>711</v>
      </c>
      <c r="G66" s="11"/>
      <c r="H66" s="27"/>
      <c r="I66" s="27"/>
      <c r="J66" s="27"/>
      <c r="K66" s="27"/>
      <c r="L66" s="27"/>
      <c r="M66" s="27"/>
      <c r="N66" s="27"/>
      <c r="O66" s="27"/>
      <c r="P66" s="27"/>
      <c r="Q66" s="22"/>
    </row>
    <row r="67" spans="1:17" x14ac:dyDescent="0.3">
      <c r="A67" s="38" t="s">
        <v>727</v>
      </c>
      <c r="B67" s="39" t="s">
        <v>584</v>
      </c>
      <c r="C67" s="4" t="s">
        <v>626</v>
      </c>
      <c r="D67" s="10" t="s">
        <v>586</v>
      </c>
      <c r="E67" s="11" t="s">
        <v>609</v>
      </c>
      <c r="F67" s="11" t="s">
        <v>711</v>
      </c>
      <c r="G67" s="11"/>
      <c r="H67" s="27"/>
      <c r="I67" s="27"/>
      <c r="J67" s="27"/>
      <c r="K67" s="27"/>
      <c r="L67" s="27"/>
      <c r="M67" s="27"/>
      <c r="N67" s="27"/>
      <c r="O67" s="27"/>
      <c r="P67" s="27"/>
      <c r="Q67" s="22"/>
    </row>
    <row r="68" spans="1:17" x14ac:dyDescent="0.3">
      <c r="A68" s="36" t="s">
        <v>728</v>
      </c>
      <c r="B68" s="39" t="s">
        <v>592</v>
      </c>
      <c r="C68" s="4" t="s">
        <v>729</v>
      </c>
      <c r="D68" s="10" t="s">
        <v>586</v>
      </c>
      <c r="E68" s="11" t="s">
        <v>629</v>
      </c>
      <c r="F68" s="11" t="s">
        <v>711</v>
      </c>
      <c r="G68" s="11"/>
      <c r="H68" s="27"/>
      <c r="I68" s="27"/>
      <c r="J68" s="27"/>
      <c r="K68" s="27"/>
      <c r="L68" s="27"/>
      <c r="M68" s="27"/>
      <c r="N68" s="27"/>
      <c r="O68" s="27"/>
      <c r="P68" s="27"/>
      <c r="Q68" s="22"/>
    </row>
    <row r="69" spans="1:17" x14ac:dyDescent="0.3">
      <c r="A69" s="38" t="s">
        <v>730</v>
      </c>
      <c r="B69" s="39" t="s">
        <v>631</v>
      </c>
      <c r="C69" s="4" t="s">
        <v>632</v>
      </c>
      <c r="D69" s="10" t="s">
        <v>586</v>
      </c>
      <c r="E69" s="11"/>
      <c r="F69" s="11" t="s">
        <v>711</v>
      </c>
      <c r="G69" s="39"/>
      <c r="H69" s="27"/>
      <c r="I69" s="27"/>
      <c r="J69" s="27"/>
      <c r="K69" s="27"/>
      <c r="L69" s="27"/>
      <c r="M69" s="27"/>
      <c r="N69" s="27"/>
      <c r="O69" s="27"/>
      <c r="P69" s="27"/>
      <c r="Q69" s="22"/>
    </row>
    <row r="70" spans="1:17" x14ac:dyDescent="0.3">
      <c r="A70" s="38" t="s">
        <v>731</v>
      </c>
      <c r="B70" s="39" t="s">
        <v>584</v>
      </c>
      <c r="C70" s="4" t="s">
        <v>634</v>
      </c>
      <c r="D70" s="10" t="s">
        <v>586</v>
      </c>
      <c r="E70" s="11" t="s">
        <v>609</v>
      </c>
      <c r="F70" s="11" t="s">
        <v>711</v>
      </c>
      <c r="G70" s="11"/>
      <c r="H70" s="27"/>
      <c r="I70" s="27"/>
      <c r="J70" s="27"/>
      <c r="K70" s="27"/>
      <c r="L70" s="27"/>
      <c r="M70" s="27"/>
      <c r="N70" s="27"/>
      <c r="O70" s="27"/>
      <c r="P70" s="27"/>
      <c r="Q70" s="22"/>
    </row>
    <row r="71" spans="1:17" x14ac:dyDescent="0.3">
      <c r="A71" s="40" t="s">
        <v>732</v>
      </c>
      <c r="B71" s="39" t="s">
        <v>584</v>
      </c>
      <c r="C71" s="4" t="s">
        <v>636</v>
      </c>
      <c r="D71" s="10" t="s">
        <v>733</v>
      </c>
      <c r="E71" s="11" t="s">
        <v>606</v>
      </c>
      <c r="F71" s="11" t="s">
        <v>711</v>
      </c>
      <c r="G71" s="11"/>
      <c r="H71" s="27"/>
      <c r="I71" s="27"/>
      <c r="J71" s="27"/>
      <c r="K71" s="27"/>
      <c r="L71" s="27"/>
      <c r="M71" s="27"/>
      <c r="N71" s="27"/>
      <c r="O71" s="27"/>
      <c r="P71" s="27"/>
      <c r="Q71" s="22"/>
    </row>
    <row r="72" spans="1:17" x14ac:dyDescent="0.3">
      <c r="A72" s="40" t="s">
        <v>734</v>
      </c>
      <c r="B72" s="39" t="s">
        <v>584</v>
      </c>
      <c r="C72" s="4" t="s">
        <v>639</v>
      </c>
      <c r="D72" s="10" t="s">
        <v>733</v>
      </c>
      <c r="E72" s="11" t="s">
        <v>606</v>
      </c>
      <c r="F72" s="11" t="s">
        <v>711</v>
      </c>
      <c r="G72" s="11"/>
      <c r="H72" s="27"/>
      <c r="I72" s="27"/>
      <c r="J72" s="27"/>
      <c r="K72" s="27"/>
      <c r="L72" s="27"/>
      <c r="M72" s="27"/>
      <c r="N72" s="27"/>
      <c r="O72" s="27"/>
      <c r="P72" s="27"/>
      <c r="Q72" s="22"/>
    </row>
    <row r="73" spans="1:17" x14ac:dyDescent="0.3">
      <c r="A73" s="38" t="s">
        <v>735</v>
      </c>
      <c r="B73" s="39" t="s">
        <v>592</v>
      </c>
      <c r="C73" s="4" t="s">
        <v>641</v>
      </c>
      <c r="D73" s="10" t="s">
        <v>642</v>
      </c>
      <c r="E73" s="11" t="s">
        <v>606</v>
      </c>
      <c r="F73" s="11" t="s">
        <v>711</v>
      </c>
      <c r="G73" s="11"/>
      <c r="H73" s="27"/>
      <c r="I73" s="27"/>
      <c r="J73" s="27"/>
      <c r="K73" s="27"/>
      <c r="L73" s="27"/>
      <c r="M73" s="27"/>
      <c r="N73" s="27"/>
      <c r="O73" s="27"/>
      <c r="P73" s="27"/>
      <c r="Q73" s="22"/>
    </row>
    <row r="74" spans="1:17" x14ac:dyDescent="0.3">
      <c r="A74" s="38" t="s">
        <v>736</v>
      </c>
      <c r="B74" s="39" t="s">
        <v>648</v>
      </c>
      <c r="C74" s="4" t="s">
        <v>649</v>
      </c>
      <c r="D74" s="10" t="s">
        <v>642</v>
      </c>
      <c r="E74" s="11"/>
      <c r="F74" s="45" t="s">
        <v>711</v>
      </c>
      <c r="G74" s="39"/>
      <c r="H74" s="27"/>
      <c r="I74" s="27"/>
      <c r="J74" s="27"/>
      <c r="K74" s="27"/>
      <c r="L74" s="27"/>
      <c r="M74" s="27"/>
      <c r="N74" s="27"/>
      <c r="O74" s="27"/>
      <c r="P74" s="27"/>
      <c r="Q74" s="22"/>
    </row>
    <row r="75" spans="1:17" x14ac:dyDescent="0.3">
      <c r="A75" s="38" t="s">
        <v>737</v>
      </c>
      <c r="B75" s="39" t="s">
        <v>592</v>
      </c>
      <c r="C75" s="4" t="s">
        <v>651</v>
      </c>
      <c r="D75" s="10" t="s">
        <v>586</v>
      </c>
      <c r="E75" s="11" t="s">
        <v>652</v>
      </c>
      <c r="F75" s="11" t="s">
        <v>711</v>
      </c>
      <c r="G75" s="11"/>
      <c r="H75" s="27"/>
      <c r="I75" s="27"/>
      <c r="J75" s="27"/>
      <c r="K75" s="27"/>
      <c r="L75" s="27"/>
      <c r="M75" s="27"/>
      <c r="N75" s="27"/>
      <c r="O75" s="27"/>
      <c r="P75" s="27"/>
      <c r="Q75" s="22"/>
    </row>
    <row r="76" spans="1:17" x14ac:dyDescent="0.3">
      <c r="A76" s="40" t="s">
        <v>738</v>
      </c>
      <c r="B76" s="39" t="s">
        <v>654</v>
      </c>
      <c r="C76" s="4" t="s">
        <v>655</v>
      </c>
      <c r="D76" s="10" t="s">
        <v>656</v>
      </c>
      <c r="E76" s="11" t="s">
        <v>652</v>
      </c>
      <c r="F76" s="11" t="s">
        <v>711</v>
      </c>
      <c r="G76" s="11"/>
      <c r="H76" s="27"/>
      <c r="I76" s="27"/>
      <c r="J76" s="27"/>
      <c r="K76" s="27"/>
      <c r="L76" s="27"/>
      <c r="M76" s="27"/>
      <c r="N76" s="27"/>
      <c r="O76" s="27"/>
      <c r="P76" s="27"/>
      <c r="Q76" s="22"/>
    </row>
    <row r="77" spans="1:17" x14ac:dyDescent="0.3">
      <c r="A77" s="38" t="s">
        <v>739</v>
      </c>
      <c r="B77" s="39" t="s">
        <v>584</v>
      </c>
      <c r="C77" s="4" t="s">
        <v>658</v>
      </c>
      <c r="D77" s="10" t="s">
        <v>586</v>
      </c>
      <c r="E77" s="11" t="s">
        <v>609</v>
      </c>
      <c r="F77" s="11" t="s">
        <v>711</v>
      </c>
      <c r="G77" s="11"/>
      <c r="H77" s="27"/>
      <c r="I77" s="27"/>
      <c r="J77" s="27"/>
      <c r="K77" s="27"/>
      <c r="L77" s="27"/>
      <c r="M77" s="27"/>
      <c r="N77" s="27"/>
      <c r="O77" s="27"/>
      <c r="P77" s="27"/>
      <c r="Q77" s="22"/>
    </row>
    <row r="78" spans="1:17" x14ac:dyDescent="0.3">
      <c r="A78" s="38" t="s">
        <v>740</v>
      </c>
      <c r="B78" s="39" t="s">
        <v>592</v>
      </c>
      <c r="C78" s="4" t="s">
        <v>660</v>
      </c>
      <c r="D78" s="10" t="s">
        <v>586</v>
      </c>
      <c r="E78" s="11" t="s">
        <v>587</v>
      </c>
      <c r="F78" s="11" t="s">
        <v>711</v>
      </c>
      <c r="G78" s="11"/>
      <c r="H78" s="27"/>
      <c r="I78" s="27"/>
      <c r="J78" s="27"/>
      <c r="K78" s="27"/>
      <c r="L78" s="27"/>
      <c r="M78" s="27"/>
      <c r="N78" s="27"/>
      <c r="O78" s="27"/>
      <c r="P78" s="27"/>
      <c r="Q78" s="22"/>
    </row>
    <row r="79" spans="1:17" x14ac:dyDescent="0.3">
      <c r="A79" s="38" t="s">
        <v>741</v>
      </c>
      <c r="B79" s="39" t="s">
        <v>599</v>
      </c>
      <c r="C79" s="4" t="s">
        <v>662</v>
      </c>
      <c r="D79" s="10" t="s">
        <v>586</v>
      </c>
      <c r="E79" s="11" t="s">
        <v>587</v>
      </c>
      <c r="F79" s="45" t="s">
        <v>711</v>
      </c>
      <c r="G79" s="39" t="s">
        <v>742</v>
      </c>
      <c r="H79" s="27"/>
      <c r="I79" s="27"/>
      <c r="J79" s="27"/>
      <c r="K79" s="27"/>
      <c r="L79" s="27"/>
      <c r="M79" s="27"/>
      <c r="N79" s="27"/>
      <c r="O79" s="27"/>
      <c r="P79" s="27"/>
      <c r="Q79" s="22"/>
    </row>
    <row r="80" spans="1:17" x14ac:dyDescent="0.3">
      <c r="A80" s="38" t="s">
        <v>743</v>
      </c>
      <c r="B80" s="39" t="s">
        <v>584</v>
      </c>
      <c r="C80" s="4" t="s">
        <v>665</v>
      </c>
      <c r="D80" s="10" t="s">
        <v>586</v>
      </c>
      <c r="E80" s="11" t="s">
        <v>587</v>
      </c>
      <c r="F80" s="11" t="s">
        <v>711</v>
      </c>
      <c r="G80" s="11"/>
      <c r="H80" s="27"/>
      <c r="I80" s="27"/>
      <c r="J80" s="27"/>
      <c r="K80" s="27"/>
      <c r="L80" s="27"/>
      <c r="M80" s="27"/>
      <c r="N80" s="27"/>
      <c r="O80" s="27"/>
      <c r="P80" s="27"/>
      <c r="Q80" s="22"/>
    </row>
    <row r="81" spans="1:17" x14ac:dyDescent="0.3">
      <c r="A81" s="38" t="s">
        <v>744</v>
      </c>
      <c r="B81" s="39" t="s">
        <v>592</v>
      </c>
      <c r="C81" s="4" t="s">
        <v>665</v>
      </c>
      <c r="D81" s="10" t="s">
        <v>586</v>
      </c>
      <c r="E81" s="11" t="s">
        <v>609</v>
      </c>
      <c r="F81" s="11" t="s">
        <v>711</v>
      </c>
      <c r="G81" s="11"/>
      <c r="H81" s="27"/>
      <c r="I81" s="27"/>
      <c r="J81" s="27"/>
      <c r="K81" s="27"/>
      <c r="L81" s="27"/>
      <c r="M81" s="27"/>
      <c r="N81" s="27"/>
      <c r="O81" s="27"/>
      <c r="P81" s="27"/>
      <c r="Q81" s="22"/>
    </row>
    <row r="82" spans="1:17" x14ac:dyDescent="0.3">
      <c r="A82" s="38" t="s">
        <v>745</v>
      </c>
      <c r="B82" s="39" t="s">
        <v>631</v>
      </c>
      <c r="C82" s="4" t="s">
        <v>669</v>
      </c>
      <c r="D82" s="10" t="s">
        <v>586</v>
      </c>
      <c r="E82" s="11"/>
      <c r="F82" s="45" t="s">
        <v>711</v>
      </c>
      <c r="G82" s="39" t="s">
        <v>746</v>
      </c>
      <c r="H82" s="27"/>
      <c r="I82" s="27"/>
      <c r="J82" s="27"/>
      <c r="K82" s="27"/>
      <c r="L82" s="27"/>
      <c r="M82" s="27"/>
      <c r="N82" s="27"/>
      <c r="O82" s="27"/>
      <c r="P82" s="27"/>
      <c r="Q82" s="22"/>
    </row>
    <row r="83" spans="1:17" x14ac:dyDescent="0.3">
      <c r="A83" s="38" t="s">
        <v>747</v>
      </c>
      <c r="B83" s="39" t="s">
        <v>592</v>
      </c>
      <c r="C83" s="4" t="s">
        <v>672</v>
      </c>
      <c r="D83" s="10" t="s">
        <v>586</v>
      </c>
      <c r="E83" s="11" t="s">
        <v>587</v>
      </c>
      <c r="F83" s="11" t="s">
        <v>711</v>
      </c>
      <c r="G83" s="11"/>
      <c r="H83" s="27"/>
      <c r="I83" s="27"/>
      <c r="J83" s="27"/>
      <c r="K83" s="27"/>
      <c r="L83" s="27"/>
      <c r="M83" s="27"/>
      <c r="N83" s="27"/>
      <c r="O83" s="27"/>
      <c r="P83" s="27"/>
      <c r="Q83" s="22"/>
    </row>
    <row r="84" spans="1:17" x14ac:dyDescent="0.3">
      <c r="A84" s="38" t="s">
        <v>748</v>
      </c>
      <c r="B84" s="39" t="s">
        <v>592</v>
      </c>
      <c r="C84" s="50" t="s">
        <v>674</v>
      </c>
      <c r="D84" s="10" t="s">
        <v>675</v>
      </c>
      <c r="E84" s="11" t="s">
        <v>652</v>
      </c>
      <c r="F84" s="11" t="s">
        <v>711</v>
      </c>
      <c r="G84" s="11"/>
      <c r="H84" s="27"/>
      <c r="I84" s="27"/>
      <c r="J84" s="27"/>
      <c r="K84" s="27"/>
      <c r="L84" s="27"/>
      <c r="M84" s="27"/>
      <c r="N84" s="27"/>
      <c r="O84" s="27"/>
      <c r="P84" s="27"/>
      <c r="Q84" s="22"/>
    </row>
    <row r="85" spans="1:17" x14ac:dyDescent="0.3">
      <c r="A85" s="40" t="s">
        <v>749</v>
      </c>
      <c r="B85" s="39" t="s">
        <v>592</v>
      </c>
      <c r="C85" s="4" t="s">
        <v>677</v>
      </c>
      <c r="D85" s="10" t="s">
        <v>622</v>
      </c>
      <c r="E85" s="11" t="s">
        <v>629</v>
      </c>
      <c r="F85" s="11" t="s">
        <v>711</v>
      </c>
      <c r="G85" s="11"/>
      <c r="H85" s="27"/>
      <c r="I85" s="27"/>
      <c r="J85" s="27"/>
      <c r="K85" s="27"/>
      <c r="L85" s="27"/>
      <c r="M85" s="27"/>
      <c r="N85" s="27"/>
      <c r="O85" s="27"/>
      <c r="P85" s="27"/>
      <c r="Q85" s="22"/>
    </row>
    <row r="86" spans="1:17" x14ac:dyDescent="0.3">
      <c r="A86" s="38" t="s">
        <v>750</v>
      </c>
      <c r="B86" s="39" t="s">
        <v>599</v>
      </c>
      <c r="C86" s="4" t="s">
        <v>679</v>
      </c>
      <c r="D86" s="10" t="s">
        <v>622</v>
      </c>
      <c r="E86" s="11"/>
      <c r="F86" s="45" t="s">
        <v>711</v>
      </c>
      <c r="G86" s="39" t="s">
        <v>751</v>
      </c>
      <c r="H86" s="27"/>
      <c r="I86" s="27"/>
      <c r="J86" s="27"/>
      <c r="K86" s="27"/>
      <c r="L86" s="27"/>
      <c r="M86" s="27"/>
      <c r="N86" s="27"/>
      <c r="O86" s="27"/>
      <c r="P86" s="27"/>
      <c r="Q86" s="22"/>
    </row>
    <row r="87" spans="1:17" x14ac:dyDescent="0.3">
      <c r="A87" s="38" t="s">
        <v>752</v>
      </c>
      <c r="B87" s="39" t="s">
        <v>631</v>
      </c>
      <c r="C87" s="4" t="s">
        <v>682</v>
      </c>
      <c r="D87" s="10" t="s">
        <v>622</v>
      </c>
      <c r="E87" s="11"/>
      <c r="F87" s="45" t="s">
        <v>711</v>
      </c>
      <c r="G87" s="39" t="s">
        <v>753</v>
      </c>
      <c r="H87" s="27"/>
      <c r="I87" s="27"/>
      <c r="J87" s="27"/>
      <c r="K87" s="27"/>
      <c r="L87" s="27"/>
      <c r="M87" s="27"/>
      <c r="N87" s="27"/>
      <c r="O87" s="27"/>
      <c r="P87" s="27"/>
      <c r="Q87" s="22"/>
    </row>
    <row r="88" spans="1:17" x14ac:dyDescent="0.3">
      <c r="A88" s="38" t="s">
        <v>754</v>
      </c>
      <c r="B88" s="39" t="s">
        <v>685</v>
      </c>
      <c r="C88" s="4" t="s">
        <v>686</v>
      </c>
      <c r="D88" s="10" t="s">
        <v>622</v>
      </c>
      <c r="E88" s="11"/>
      <c r="F88" s="45" t="s">
        <v>711</v>
      </c>
      <c r="G88" s="39" t="s">
        <v>755</v>
      </c>
      <c r="H88" s="27"/>
      <c r="I88" s="27"/>
      <c r="J88" s="27"/>
      <c r="K88" s="27"/>
      <c r="L88" s="27"/>
      <c r="M88" s="27"/>
      <c r="N88" s="27"/>
      <c r="O88" s="27"/>
      <c r="P88" s="27"/>
      <c r="Q88" s="22"/>
    </row>
    <row r="89" spans="1:17" x14ac:dyDescent="0.3">
      <c r="A89" s="38" t="s">
        <v>756</v>
      </c>
      <c r="B89" s="39" t="s">
        <v>689</v>
      </c>
      <c r="C89" s="4" t="s">
        <v>690</v>
      </c>
      <c r="D89" s="10" t="s">
        <v>622</v>
      </c>
      <c r="E89" s="11"/>
      <c r="F89" s="45" t="s">
        <v>711</v>
      </c>
      <c r="G89" s="39" t="s">
        <v>757</v>
      </c>
      <c r="H89" s="27"/>
      <c r="I89" s="27"/>
      <c r="J89" s="27"/>
      <c r="K89" s="27"/>
      <c r="L89" s="27"/>
      <c r="M89" s="27"/>
      <c r="N89" s="27"/>
      <c r="O89" s="27"/>
      <c r="P89" s="27"/>
      <c r="Q89" s="22"/>
    </row>
    <row r="90" spans="1:17" x14ac:dyDescent="0.3">
      <c r="A90" s="38" t="s">
        <v>758</v>
      </c>
      <c r="B90" s="39" t="s">
        <v>592</v>
      </c>
      <c r="C90" s="4" t="s">
        <v>697</v>
      </c>
      <c r="D90" s="10" t="s">
        <v>622</v>
      </c>
      <c r="E90" s="11" t="s">
        <v>606</v>
      </c>
      <c r="F90" s="11" t="s">
        <v>711</v>
      </c>
      <c r="G90" s="11"/>
      <c r="H90" s="27"/>
      <c r="I90" s="27"/>
      <c r="J90" s="27"/>
      <c r="K90" s="27"/>
      <c r="L90" s="27"/>
      <c r="M90" s="27"/>
      <c r="N90" s="27"/>
      <c r="O90" s="27"/>
      <c r="P90" s="27"/>
      <c r="Q90" s="22"/>
    </row>
    <row r="91" spans="1:17" x14ac:dyDescent="0.3">
      <c r="A91" s="40" t="s">
        <v>759</v>
      </c>
      <c r="B91" s="39" t="s">
        <v>584</v>
      </c>
      <c r="C91" s="4" t="s">
        <v>693</v>
      </c>
      <c r="D91" s="10" t="s">
        <v>622</v>
      </c>
      <c r="E91" s="11" t="s">
        <v>629</v>
      </c>
      <c r="F91" s="11" t="s">
        <v>711</v>
      </c>
      <c r="G91" s="11"/>
      <c r="H91" s="27"/>
      <c r="I91" s="27"/>
      <c r="J91" s="27"/>
      <c r="K91" s="27"/>
      <c r="L91" s="27"/>
      <c r="M91" s="27"/>
      <c r="N91" s="27"/>
      <c r="O91" s="27"/>
      <c r="P91" s="27"/>
      <c r="Q91" s="22"/>
    </row>
    <row r="92" spans="1:17" x14ac:dyDescent="0.3">
      <c r="A92" s="40" t="s">
        <v>760</v>
      </c>
      <c r="B92" s="39" t="s">
        <v>584</v>
      </c>
      <c r="C92" s="4" t="s">
        <v>695</v>
      </c>
      <c r="D92" s="10" t="s">
        <v>622</v>
      </c>
      <c r="E92" s="11" t="s">
        <v>629</v>
      </c>
      <c r="F92" s="11" t="s">
        <v>711</v>
      </c>
      <c r="G92" s="11"/>
      <c r="H92" s="27"/>
      <c r="I92" s="27"/>
      <c r="J92" s="27"/>
      <c r="K92" s="27"/>
      <c r="L92" s="27"/>
      <c r="M92" s="27"/>
      <c r="N92" s="27"/>
      <c r="O92" s="27"/>
      <c r="P92" s="27"/>
      <c r="Q92" s="22"/>
    </row>
    <row r="93" spans="1:17" x14ac:dyDescent="0.3">
      <c r="A93" s="38" t="s">
        <v>761</v>
      </c>
      <c r="B93" s="39" t="s">
        <v>592</v>
      </c>
      <c r="C93" s="41" t="s">
        <v>699</v>
      </c>
      <c r="D93" s="10" t="s">
        <v>586</v>
      </c>
      <c r="E93" s="11" t="s">
        <v>606</v>
      </c>
      <c r="F93" s="11" t="s">
        <v>711</v>
      </c>
      <c r="G93" s="11"/>
      <c r="H93" s="27"/>
      <c r="I93" s="27"/>
      <c r="J93" s="27"/>
      <c r="K93" s="27"/>
      <c r="L93" s="27"/>
      <c r="M93" s="27"/>
      <c r="N93" s="27"/>
      <c r="O93" s="27"/>
      <c r="P93" s="27"/>
      <c r="Q93" s="22" t="s">
        <v>700</v>
      </c>
    </row>
    <row r="94" spans="1:17" x14ac:dyDescent="0.3">
      <c r="A94" s="38" t="s">
        <v>762</v>
      </c>
      <c r="B94" s="39" t="s">
        <v>599</v>
      </c>
      <c r="C94" s="4" t="s">
        <v>702</v>
      </c>
      <c r="D94" s="10" t="s">
        <v>586</v>
      </c>
      <c r="E94" s="11"/>
      <c r="F94" s="45" t="s">
        <v>711</v>
      </c>
      <c r="G94" s="39"/>
      <c r="H94" s="27"/>
      <c r="I94" s="27"/>
      <c r="J94" s="27"/>
      <c r="K94" s="27"/>
      <c r="L94" s="27"/>
      <c r="M94" s="27"/>
      <c r="N94" s="27"/>
      <c r="O94" s="27"/>
      <c r="P94" s="27"/>
      <c r="Q94" s="22" t="s">
        <v>700</v>
      </c>
    </row>
    <row r="95" spans="1:17" x14ac:dyDescent="0.3">
      <c r="A95" s="38" t="s">
        <v>763</v>
      </c>
      <c r="B95" s="39" t="s">
        <v>631</v>
      </c>
      <c r="C95" s="4" t="s">
        <v>704</v>
      </c>
      <c r="D95" s="10" t="s">
        <v>586</v>
      </c>
      <c r="E95" s="11"/>
      <c r="F95" s="45" t="s">
        <v>711</v>
      </c>
      <c r="G95" s="39"/>
      <c r="H95" s="27"/>
      <c r="I95" s="27"/>
      <c r="J95" s="27"/>
      <c r="K95" s="27"/>
      <c r="L95" s="27"/>
      <c r="M95" s="27"/>
      <c r="N95" s="27"/>
      <c r="O95" s="27"/>
      <c r="P95" s="27"/>
      <c r="Q95" s="22" t="s">
        <v>700</v>
      </c>
    </row>
    <row r="96" spans="1:17" x14ac:dyDescent="0.3">
      <c r="A96" s="38" t="s">
        <v>764</v>
      </c>
      <c r="B96" s="39" t="s">
        <v>685</v>
      </c>
      <c r="C96" s="4" t="s">
        <v>706</v>
      </c>
      <c r="D96" s="10" t="s">
        <v>586</v>
      </c>
      <c r="E96" s="11"/>
      <c r="F96" s="45" t="s">
        <v>711</v>
      </c>
      <c r="G96" s="39"/>
      <c r="H96" s="27"/>
      <c r="I96" s="27"/>
      <c r="J96" s="27"/>
      <c r="K96" s="27"/>
      <c r="L96" s="27"/>
      <c r="M96" s="27"/>
      <c r="N96" s="27"/>
      <c r="O96" s="27"/>
      <c r="P96" s="27"/>
      <c r="Q96" s="22" t="s">
        <v>700</v>
      </c>
    </row>
    <row r="97" spans="1:17" ht="14.25" customHeight="1" x14ac:dyDescent="0.3">
      <c r="A97" s="38" t="s">
        <v>765</v>
      </c>
      <c r="B97" s="39" t="s">
        <v>689</v>
      </c>
      <c r="C97" s="4" t="s">
        <v>708</v>
      </c>
      <c r="D97" s="10" t="s">
        <v>586</v>
      </c>
      <c r="E97" s="11"/>
      <c r="F97" s="45" t="s">
        <v>711</v>
      </c>
      <c r="G97" s="39"/>
      <c r="H97" s="27"/>
      <c r="I97" s="27"/>
      <c r="J97" s="27"/>
      <c r="K97" s="27"/>
      <c r="L97" s="27"/>
      <c r="M97" s="27"/>
      <c r="N97" s="27"/>
      <c r="O97" s="27"/>
      <c r="P97" s="27"/>
      <c r="Q97" s="22" t="s">
        <v>700</v>
      </c>
    </row>
    <row r="98" spans="1:17" x14ac:dyDescent="0.3">
      <c r="A98" s="36"/>
      <c r="B98" s="37"/>
      <c r="C98" s="4" t="s">
        <v>709</v>
      </c>
      <c r="D98" s="10" t="s">
        <v>709</v>
      </c>
      <c r="E98" s="11" t="s">
        <v>709</v>
      </c>
      <c r="F98" s="11" t="s">
        <v>709</v>
      </c>
      <c r="G98" s="11"/>
      <c r="H98" s="27"/>
      <c r="I98" s="27"/>
      <c r="J98" s="27"/>
      <c r="K98" s="27"/>
      <c r="L98" s="27"/>
      <c r="M98" s="27"/>
      <c r="N98" s="27"/>
      <c r="O98" s="27"/>
      <c r="P98" s="27"/>
      <c r="Q98" s="22"/>
    </row>
    <row r="99" spans="1:17" x14ac:dyDescent="0.3">
      <c r="A99" s="40" t="s">
        <v>766</v>
      </c>
      <c r="B99" s="44" t="s">
        <v>767</v>
      </c>
      <c r="C99" s="4" t="s">
        <v>768</v>
      </c>
      <c r="D99" s="10" t="s">
        <v>656</v>
      </c>
      <c r="E99" s="11" t="s">
        <v>769</v>
      </c>
      <c r="F99" s="11" t="s">
        <v>588</v>
      </c>
      <c r="G99" s="11"/>
      <c r="H99" s="27"/>
      <c r="I99" s="27"/>
      <c r="J99" s="27"/>
      <c r="K99" s="27"/>
      <c r="L99" s="27"/>
      <c r="M99" s="27"/>
      <c r="N99" s="27"/>
      <c r="O99" s="27"/>
      <c r="P99" s="27"/>
      <c r="Q99" s="22"/>
    </row>
    <row r="100" spans="1:17" x14ac:dyDescent="0.3">
      <c r="A100" s="38" t="s">
        <v>770</v>
      </c>
      <c r="B100" s="44" t="s">
        <v>767</v>
      </c>
      <c r="C100" s="4" t="s">
        <v>771</v>
      </c>
      <c r="D100" s="10" t="s">
        <v>656</v>
      </c>
      <c r="E100" s="11" t="s">
        <v>769</v>
      </c>
      <c r="F100" s="11" t="s">
        <v>588</v>
      </c>
      <c r="G100" s="11"/>
      <c r="H100" s="27"/>
      <c r="I100" s="27"/>
      <c r="J100" s="27"/>
      <c r="K100" s="27"/>
      <c r="L100" s="27"/>
      <c r="M100" s="27"/>
      <c r="N100" s="27"/>
      <c r="O100" s="27"/>
      <c r="P100" s="27"/>
      <c r="Q100" s="22"/>
    </row>
    <row r="101" spans="1:17" x14ac:dyDescent="0.3">
      <c r="A101" s="40" t="s">
        <v>772</v>
      </c>
      <c r="B101" s="44" t="s">
        <v>767</v>
      </c>
      <c r="C101" s="4" t="s">
        <v>773</v>
      </c>
      <c r="D101" s="10" t="s">
        <v>656</v>
      </c>
      <c r="E101" s="11" t="s">
        <v>769</v>
      </c>
      <c r="F101" s="11" t="s">
        <v>588</v>
      </c>
      <c r="G101" s="11"/>
      <c r="H101" s="27"/>
      <c r="I101" s="27"/>
      <c r="J101" s="27"/>
      <c r="K101" s="27"/>
      <c r="L101" s="27"/>
      <c r="M101" s="27"/>
      <c r="N101" s="27"/>
      <c r="O101" s="27"/>
      <c r="P101" s="27"/>
      <c r="Q101" s="22"/>
    </row>
    <row r="102" spans="1:17" x14ac:dyDescent="0.3">
      <c r="A102" s="38" t="s">
        <v>774</v>
      </c>
      <c r="B102" s="44" t="s">
        <v>767</v>
      </c>
      <c r="C102" s="4" t="s">
        <v>775</v>
      </c>
      <c r="D102" s="10" t="s">
        <v>656</v>
      </c>
      <c r="E102" s="11" t="s">
        <v>769</v>
      </c>
      <c r="F102" s="11" t="s">
        <v>588</v>
      </c>
      <c r="G102" s="11"/>
      <c r="H102" s="27"/>
      <c r="I102" s="27"/>
      <c r="J102" s="27"/>
      <c r="K102" s="27"/>
      <c r="L102" s="27"/>
      <c r="M102" s="27"/>
      <c r="N102" s="27"/>
      <c r="O102" s="27"/>
      <c r="P102" s="27"/>
      <c r="Q102" s="22"/>
    </row>
    <row r="103" spans="1:17" x14ac:dyDescent="0.3">
      <c r="A103" s="40" t="s">
        <v>776</v>
      </c>
      <c r="B103" s="44" t="s">
        <v>767</v>
      </c>
      <c r="C103" s="4" t="s">
        <v>777</v>
      </c>
      <c r="D103" s="10" t="s">
        <v>656</v>
      </c>
      <c r="E103" s="11" t="s">
        <v>769</v>
      </c>
      <c r="F103" s="11" t="s">
        <v>588</v>
      </c>
      <c r="G103" s="11" t="s">
        <v>303</v>
      </c>
      <c r="H103" s="27"/>
      <c r="I103" s="27"/>
      <c r="J103" s="27"/>
      <c r="K103" s="27"/>
      <c r="L103" s="27"/>
      <c r="M103" s="27"/>
      <c r="N103" s="27"/>
      <c r="O103" s="27"/>
      <c r="P103" s="27"/>
      <c r="Q103" s="22"/>
    </row>
    <row r="104" spans="1:17" x14ac:dyDescent="0.3">
      <c r="A104" s="38" t="s">
        <v>778</v>
      </c>
      <c r="B104" s="44" t="s">
        <v>767</v>
      </c>
      <c r="C104" s="4" t="s">
        <v>779</v>
      </c>
      <c r="D104" s="10" t="s">
        <v>656</v>
      </c>
      <c r="E104" s="11" t="s">
        <v>769</v>
      </c>
      <c r="F104" s="11" t="s">
        <v>588</v>
      </c>
      <c r="G104" s="11"/>
      <c r="H104" s="27"/>
      <c r="I104" s="27"/>
      <c r="J104" s="27"/>
      <c r="K104" s="27"/>
      <c r="L104" s="27"/>
      <c r="M104" s="27"/>
      <c r="N104" s="27"/>
      <c r="O104" s="27"/>
      <c r="P104" s="27"/>
      <c r="Q104" s="22"/>
    </row>
    <row r="105" spans="1:17" x14ac:dyDescent="0.3">
      <c r="A105" s="40" t="s">
        <v>780</v>
      </c>
      <c r="B105" s="44" t="s">
        <v>767</v>
      </c>
      <c r="C105" s="4" t="s">
        <v>781</v>
      </c>
      <c r="D105" s="10" t="s">
        <v>656</v>
      </c>
      <c r="E105" s="11" t="s">
        <v>769</v>
      </c>
      <c r="F105" s="11" t="s">
        <v>588</v>
      </c>
      <c r="G105" s="11"/>
      <c r="H105" s="27"/>
      <c r="I105" s="27"/>
      <c r="J105" s="27"/>
      <c r="K105" s="27"/>
      <c r="L105" s="27"/>
      <c r="M105" s="27"/>
      <c r="N105" s="27"/>
      <c r="O105" s="27"/>
      <c r="P105" s="27"/>
      <c r="Q105" s="22"/>
    </row>
    <row r="106" spans="1:17" x14ac:dyDescent="0.3">
      <c r="A106" s="38" t="s">
        <v>782</v>
      </c>
      <c r="B106" s="44" t="s">
        <v>767</v>
      </c>
      <c r="C106" s="4" t="s">
        <v>783</v>
      </c>
      <c r="D106" s="10" t="s">
        <v>656</v>
      </c>
      <c r="E106" s="11" t="s">
        <v>769</v>
      </c>
      <c r="F106" s="11" t="s">
        <v>711</v>
      </c>
      <c r="G106" s="11"/>
      <c r="H106" s="27"/>
      <c r="I106" s="27"/>
      <c r="J106" s="27"/>
      <c r="K106" s="27"/>
      <c r="L106" s="27"/>
      <c r="M106" s="27"/>
      <c r="N106" s="27"/>
      <c r="O106" s="27"/>
      <c r="P106" s="27"/>
      <c r="Q106" s="22"/>
    </row>
    <row r="107" spans="1:17" x14ac:dyDescent="0.3">
      <c r="A107" s="40" t="s">
        <v>784</v>
      </c>
      <c r="B107" s="44" t="s">
        <v>767</v>
      </c>
      <c r="C107" s="4" t="s">
        <v>785</v>
      </c>
      <c r="D107" s="10" t="s">
        <v>656</v>
      </c>
      <c r="E107" s="11" t="s">
        <v>769</v>
      </c>
      <c r="F107" s="11" t="s">
        <v>711</v>
      </c>
      <c r="G107" s="11"/>
      <c r="H107" s="27"/>
      <c r="I107" s="27"/>
      <c r="J107" s="27"/>
      <c r="K107" s="27"/>
      <c r="L107" s="27"/>
      <c r="M107" s="27"/>
      <c r="N107" s="27"/>
      <c r="O107" s="27"/>
      <c r="P107" s="27"/>
      <c r="Q107" s="22"/>
    </row>
    <row r="108" spans="1:17" x14ac:dyDescent="0.3">
      <c r="A108" s="38" t="s">
        <v>786</v>
      </c>
      <c r="B108" s="44" t="s">
        <v>767</v>
      </c>
      <c r="C108" s="4" t="s">
        <v>787</v>
      </c>
      <c r="D108" s="10" t="s">
        <v>656</v>
      </c>
      <c r="E108" s="11" t="s">
        <v>769</v>
      </c>
      <c r="F108" s="11" t="s">
        <v>711</v>
      </c>
      <c r="G108" s="11"/>
      <c r="H108" s="27"/>
      <c r="I108" s="27"/>
      <c r="J108" s="27"/>
      <c r="K108" s="27"/>
      <c r="L108" s="27"/>
      <c r="M108" s="27"/>
      <c r="N108" s="27"/>
      <c r="O108" s="27"/>
      <c r="P108" s="27"/>
      <c r="Q108" s="22"/>
    </row>
    <row r="109" spans="1:17" x14ac:dyDescent="0.3">
      <c r="A109" s="43" t="s">
        <v>788</v>
      </c>
      <c r="B109" s="44" t="s">
        <v>767</v>
      </c>
      <c r="C109" s="4" t="s">
        <v>789</v>
      </c>
      <c r="D109" s="10" t="s">
        <v>656</v>
      </c>
      <c r="E109" s="11" t="s">
        <v>769</v>
      </c>
      <c r="F109" s="11" t="s">
        <v>711</v>
      </c>
      <c r="G109" s="11"/>
      <c r="H109" s="27"/>
      <c r="I109" s="27"/>
      <c r="J109" s="27"/>
      <c r="K109" s="27"/>
      <c r="L109" s="27"/>
      <c r="M109" s="27"/>
      <c r="N109" s="27"/>
      <c r="O109" s="27"/>
      <c r="P109" s="27"/>
      <c r="Q109" s="22"/>
    </row>
    <row r="110" spans="1:17" x14ac:dyDescent="0.3">
      <c r="A110" s="38" t="s">
        <v>790</v>
      </c>
      <c r="B110" s="44" t="s">
        <v>767</v>
      </c>
      <c r="C110" s="4" t="s">
        <v>791</v>
      </c>
      <c r="D110" s="10" t="s">
        <v>656</v>
      </c>
      <c r="E110" s="11" t="s">
        <v>769</v>
      </c>
      <c r="F110" s="11" t="s">
        <v>711</v>
      </c>
      <c r="G110" s="11" t="s">
        <v>303</v>
      </c>
      <c r="H110" s="27"/>
      <c r="I110" s="27"/>
      <c r="J110" s="27"/>
      <c r="K110" s="27"/>
      <c r="L110" s="27"/>
      <c r="M110" s="27"/>
      <c r="N110" s="27"/>
      <c r="O110" s="27"/>
      <c r="P110" s="27"/>
      <c r="Q110" s="22"/>
    </row>
    <row r="111" spans="1:17" x14ac:dyDescent="0.3">
      <c r="A111" s="38" t="s">
        <v>792</v>
      </c>
      <c r="B111" s="44" t="s">
        <v>767</v>
      </c>
      <c r="C111" s="4" t="s">
        <v>793</v>
      </c>
      <c r="D111" s="10" t="s">
        <v>656</v>
      </c>
      <c r="E111" s="11" t="s">
        <v>769</v>
      </c>
      <c r="F111" s="11" t="s">
        <v>711</v>
      </c>
      <c r="G111" s="11"/>
      <c r="H111" s="27"/>
      <c r="I111" s="27"/>
      <c r="J111" s="27"/>
      <c r="K111" s="27"/>
      <c r="L111" s="27"/>
      <c r="M111" s="27"/>
      <c r="N111" s="27"/>
      <c r="O111" s="27"/>
      <c r="P111" s="27"/>
      <c r="Q111" s="22"/>
    </row>
    <row r="112" spans="1:17" x14ac:dyDescent="0.3">
      <c r="A112" s="38" t="s">
        <v>794</v>
      </c>
      <c r="B112" s="44" t="s">
        <v>767</v>
      </c>
      <c r="C112" s="4" t="s">
        <v>795</v>
      </c>
      <c r="D112" s="10" t="s">
        <v>656</v>
      </c>
      <c r="E112" s="11" t="s">
        <v>769</v>
      </c>
      <c r="F112" s="11" t="s">
        <v>711</v>
      </c>
      <c r="G112" s="11"/>
      <c r="H112" s="27"/>
      <c r="I112" s="27"/>
      <c r="J112" s="27"/>
      <c r="K112" s="27"/>
      <c r="L112" s="27"/>
      <c r="M112" s="27"/>
      <c r="N112" s="27"/>
      <c r="O112" s="27"/>
      <c r="P112" s="27"/>
      <c r="Q112" s="22"/>
    </row>
    <row r="113" spans="1:17" x14ac:dyDescent="0.3">
      <c r="A113" s="38"/>
      <c r="B113" s="39"/>
      <c r="C113" s="4" t="s">
        <v>709</v>
      </c>
      <c r="D113" s="10" t="s">
        <v>709</v>
      </c>
      <c r="E113" s="11" t="s">
        <v>709</v>
      </c>
      <c r="F113" s="11" t="s">
        <v>709</v>
      </c>
      <c r="G113" s="11"/>
      <c r="H113" s="27"/>
      <c r="I113" s="27"/>
      <c r="J113" s="27"/>
      <c r="K113" s="27"/>
      <c r="L113" s="27"/>
      <c r="M113" s="27"/>
      <c r="N113" s="27"/>
      <c r="O113" s="27"/>
      <c r="P113" s="27"/>
      <c r="Q113" s="22"/>
    </row>
    <row r="114" spans="1:17" x14ac:dyDescent="0.3">
      <c r="A114" s="12"/>
      <c r="B114" s="2"/>
      <c r="C114" s="4" t="s">
        <v>709</v>
      </c>
      <c r="D114" s="10" t="s">
        <v>709</v>
      </c>
      <c r="E114" s="11" t="s">
        <v>709</v>
      </c>
      <c r="F114" s="11" t="s">
        <v>709</v>
      </c>
      <c r="G114" s="11"/>
      <c r="H114" s="27"/>
      <c r="I114" s="27"/>
      <c r="J114" s="27"/>
      <c r="K114" s="27"/>
      <c r="L114" s="27"/>
      <c r="M114" s="27"/>
      <c r="N114" s="27"/>
      <c r="O114" s="27"/>
      <c r="P114" s="27"/>
      <c r="Q114" s="22"/>
    </row>
    <row r="115" spans="1:17" ht="15" thickBot="1" x14ac:dyDescent="0.35">
      <c r="A115" s="16"/>
      <c r="B115" s="6"/>
      <c r="C115" s="5" t="s">
        <v>709</v>
      </c>
      <c r="D115" s="6" t="s">
        <v>709</v>
      </c>
      <c r="E115" s="6" t="s">
        <v>709</v>
      </c>
      <c r="F115" s="6" t="s">
        <v>709</v>
      </c>
      <c r="G115" s="6"/>
      <c r="H115" s="31"/>
      <c r="I115" s="31"/>
      <c r="J115" s="31"/>
      <c r="K115" s="31"/>
      <c r="L115" s="31"/>
      <c r="M115" s="31"/>
      <c r="N115" s="31"/>
      <c r="O115" s="31"/>
      <c r="P115" s="31"/>
      <c r="Q115" s="26"/>
    </row>
  </sheetData>
  <autoFilter ref="B1:Q121" xr:uid="{50163A08-E539-4DD1-A32C-D68995C47AD8}"/>
  <phoneticPr fontId="1" type="noConversion"/>
  <conditionalFormatting sqref="A1:Q116">
    <cfRule type="expression" dxfId="48" priority="1">
      <formula>MOD(ROW(),2)=0</formula>
    </cfRule>
  </conditionalFormatting>
  <pageMargins left="0.7" right="0.7" top="0.75" bottom="0.75" header="0.3" footer="0.3"/>
  <pageSetup paperSize="3" scale="6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E3254-2851-450D-8569-8ECAFEC66847}">
  <sheetPr codeName="Sheet5">
    <pageSetUpPr fitToPage="1"/>
  </sheetPr>
  <dimension ref="A1:L20"/>
  <sheetViews>
    <sheetView zoomScale="145" zoomScaleNormal="145" zoomScaleSheetLayoutView="100" workbookViewId="0">
      <selection activeCell="B2" sqref="B2"/>
    </sheetView>
  </sheetViews>
  <sheetFormatPr defaultColWidth="9.109375" defaultRowHeight="14.4" x14ac:dyDescent="0.3"/>
  <cols>
    <col min="1" max="1" width="12.6640625" style="20" customWidth="1"/>
    <col min="2" max="2" width="12.6640625" style="48" customWidth="1"/>
    <col min="3" max="12" width="12.6640625" style="20" customWidth="1"/>
    <col min="13" max="16384" width="9.109375" style="20"/>
  </cols>
  <sheetData>
    <row r="1" spans="1:12" ht="29.4" thickBot="1" x14ac:dyDescent="0.35">
      <c r="A1" s="60" t="s">
        <v>796</v>
      </c>
      <c r="B1" s="61" t="s">
        <v>797</v>
      </c>
      <c r="C1" s="62" t="s">
        <v>14</v>
      </c>
      <c r="D1" s="62" t="s">
        <v>15</v>
      </c>
      <c r="E1" s="62" t="s">
        <v>16</v>
      </c>
      <c r="F1" s="62" t="s">
        <v>17</v>
      </c>
      <c r="G1" s="62" t="s">
        <v>18</v>
      </c>
      <c r="H1" s="62" t="s">
        <v>19</v>
      </c>
      <c r="I1" s="62" t="s">
        <v>20</v>
      </c>
      <c r="J1" s="62" t="s">
        <v>21</v>
      </c>
      <c r="K1" s="63" t="s">
        <v>22</v>
      </c>
      <c r="L1" s="64" t="s">
        <v>23</v>
      </c>
    </row>
    <row r="2" spans="1:12" x14ac:dyDescent="0.3">
      <c r="A2" s="65">
        <v>1</v>
      </c>
      <c r="B2" s="47"/>
      <c r="C2" s="19"/>
      <c r="D2" s="19"/>
      <c r="E2" s="19"/>
      <c r="F2" s="19"/>
      <c r="G2" s="19"/>
      <c r="H2" s="19"/>
      <c r="I2" s="19"/>
      <c r="J2" s="19"/>
      <c r="K2" s="19"/>
      <c r="L2" s="66"/>
    </row>
    <row r="3" spans="1:12" x14ac:dyDescent="0.3">
      <c r="A3" s="67">
        <f>A2+1</f>
        <v>2</v>
      </c>
      <c r="B3" s="46"/>
      <c r="C3" s="18"/>
      <c r="D3" s="18"/>
      <c r="E3" s="18"/>
      <c r="F3" s="18"/>
      <c r="G3" s="18"/>
      <c r="H3" s="18"/>
      <c r="I3" s="18"/>
      <c r="J3" s="18"/>
      <c r="K3" s="18"/>
      <c r="L3" s="68"/>
    </row>
    <row r="4" spans="1:12" s="21" customFormat="1" x14ac:dyDescent="0.3">
      <c r="A4" s="67">
        <f t="shared" ref="A4:A17" si="0">A3+1</f>
        <v>3</v>
      </c>
      <c r="B4" s="46"/>
      <c r="C4" s="18"/>
      <c r="D4" s="18"/>
      <c r="E4" s="18"/>
      <c r="F4" s="18"/>
      <c r="G4" s="18"/>
      <c r="H4" s="18"/>
      <c r="I4" s="18"/>
      <c r="J4" s="18"/>
      <c r="K4" s="18"/>
      <c r="L4" s="68"/>
    </row>
    <row r="5" spans="1:12" x14ac:dyDescent="0.3">
      <c r="A5" s="67">
        <f t="shared" si="0"/>
        <v>4</v>
      </c>
      <c r="B5" s="46"/>
      <c r="C5" s="18"/>
      <c r="D5" s="18"/>
      <c r="E5" s="18"/>
      <c r="F5" s="18"/>
      <c r="G5" s="18"/>
      <c r="H5" s="18"/>
      <c r="I5" s="18"/>
      <c r="J5" s="18"/>
      <c r="K5" s="18"/>
      <c r="L5" s="68"/>
    </row>
    <row r="6" spans="1:12" x14ac:dyDescent="0.3">
      <c r="A6" s="67">
        <f t="shared" si="0"/>
        <v>5</v>
      </c>
      <c r="B6" s="46"/>
      <c r="C6" s="18"/>
      <c r="D6" s="18"/>
      <c r="E6" s="18"/>
      <c r="F6" s="18"/>
      <c r="G6" s="18"/>
      <c r="H6" s="18"/>
      <c r="I6" s="18"/>
      <c r="J6" s="18"/>
      <c r="K6" s="18"/>
      <c r="L6" s="68"/>
    </row>
    <row r="7" spans="1:12" x14ac:dyDescent="0.3">
      <c r="A7" s="67">
        <f t="shared" si="0"/>
        <v>6</v>
      </c>
      <c r="B7" s="46"/>
      <c r="C7" s="18"/>
      <c r="D7" s="18"/>
      <c r="E7" s="18"/>
      <c r="F7" s="18"/>
      <c r="G7" s="18"/>
      <c r="H7" s="18"/>
      <c r="I7" s="18"/>
      <c r="J7" s="18"/>
      <c r="K7" s="18"/>
      <c r="L7" s="68"/>
    </row>
    <row r="8" spans="1:12" x14ac:dyDescent="0.3">
      <c r="A8" s="67">
        <f t="shared" si="0"/>
        <v>7</v>
      </c>
      <c r="B8" s="46"/>
      <c r="C8" s="18"/>
      <c r="D8" s="18"/>
      <c r="E8" s="18"/>
      <c r="F8" s="18"/>
      <c r="G8" s="18"/>
      <c r="H8" s="18"/>
      <c r="I8" s="18"/>
      <c r="J8" s="18"/>
      <c r="K8" s="18"/>
      <c r="L8" s="68"/>
    </row>
    <row r="9" spans="1:12" x14ac:dyDescent="0.3">
      <c r="A9" s="67">
        <f t="shared" si="0"/>
        <v>8</v>
      </c>
      <c r="B9" s="46"/>
      <c r="C9" s="18"/>
      <c r="D9" s="18"/>
      <c r="E9" s="18"/>
      <c r="F9" s="18"/>
      <c r="G9" s="18"/>
      <c r="H9" s="18"/>
      <c r="I9" s="18"/>
      <c r="J9" s="18"/>
      <c r="K9" s="18"/>
      <c r="L9" s="68"/>
    </row>
    <row r="10" spans="1:12" x14ac:dyDescent="0.3">
      <c r="A10" s="67">
        <f t="shared" si="0"/>
        <v>9</v>
      </c>
      <c r="B10" s="46"/>
      <c r="C10" s="18"/>
      <c r="D10" s="18"/>
      <c r="E10" s="18"/>
      <c r="F10" s="18"/>
      <c r="G10" s="18"/>
      <c r="H10" s="18"/>
      <c r="I10" s="18"/>
      <c r="J10" s="18"/>
      <c r="K10" s="18"/>
      <c r="L10" s="68"/>
    </row>
    <row r="11" spans="1:12" x14ac:dyDescent="0.3">
      <c r="A11" s="67">
        <f t="shared" si="0"/>
        <v>10</v>
      </c>
      <c r="B11" s="46"/>
      <c r="C11" s="18"/>
      <c r="D11" s="18"/>
      <c r="E11" s="18"/>
      <c r="F11" s="18"/>
      <c r="G11" s="18"/>
      <c r="H11" s="18"/>
      <c r="I11" s="18"/>
      <c r="J11" s="18"/>
      <c r="K11" s="18"/>
      <c r="L11" s="68"/>
    </row>
    <row r="12" spans="1:12" x14ac:dyDescent="0.3">
      <c r="A12" s="67">
        <f t="shared" si="0"/>
        <v>11</v>
      </c>
      <c r="B12" s="46"/>
      <c r="C12" s="18"/>
      <c r="D12" s="18"/>
      <c r="E12" s="18"/>
      <c r="F12" s="18"/>
      <c r="G12" s="18"/>
      <c r="H12" s="18"/>
      <c r="I12" s="18"/>
      <c r="J12" s="18"/>
      <c r="K12" s="18"/>
      <c r="L12" s="68"/>
    </row>
    <row r="13" spans="1:12" x14ac:dyDescent="0.3">
      <c r="A13" s="67">
        <f t="shared" si="0"/>
        <v>12</v>
      </c>
      <c r="B13" s="46"/>
      <c r="C13" s="18"/>
      <c r="D13" s="18"/>
      <c r="E13" s="18"/>
      <c r="F13" s="18"/>
      <c r="G13" s="18"/>
      <c r="H13" s="18"/>
      <c r="I13" s="18"/>
      <c r="J13" s="18"/>
      <c r="K13" s="18"/>
      <c r="L13" s="68"/>
    </row>
    <row r="14" spans="1:12" x14ac:dyDescent="0.3">
      <c r="A14" s="67">
        <f t="shared" si="0"/>
        <v>13</v>
      </c>
      <c r="B14" s="46"/>
      <c r="C14" s="18"/>
      <c r="D14" s="18"/>
      <c r="E14" s="18"/>
      <c r="F14" s="18"/>
      <c r="G14" s="18"/>
      <c r="H14" s="18"/>
      <c r="I14" s="18"/>
      <c r="J14" s="18"/>
      <c r="K14" s="18"/>
      <c r="L14" s="68"/>
    </row>
    <row r="15" spans="1:12" x14ac:dyDescent="0.3">
      <c r="A15" s="67">
        <f t="shared" si="0"/>
        <v>14</v>
      </c>
      <c r="B15" s="46"/>
      <c r="C15" s="18"/>
      <c r="D15" s="18"/>
      <c r="E15" s="18"/>
      <c r="F15" s="18"/>
      <c r="G15" s="18"/>
      <c r="H15" s="18"/>
      <c r="I15" s="18"/>
      <c r="J15" s="18"/>
      <c r="K15" s="18"/>
      <c r="L15" s="68"/>
    </row>
    <row r="16" spans="1:12" x14ac:dyDescent="0.3">
      <c r="A16" s="67">
        <f t="shared" si="0"/>
        <v>15</v>
      </c>
      <c r="B16" s="46"/>
      <c r="C16" s="18"/>
      <c r="D16" s="18"/>
      <c r="E16" s="18"/>
      <c r="F16" s="18"/>
      <c r="G16" s="18"/>
      <c r="H16" s="18"/>
      <c r="I16" s="18"/>
      <c r="J16" s="18"/>
      <c r="K16" s="18"/>
      <c r="L16" s="68"/>
    </row>
    <row r="17" spans="1:12" x14ac:dyDescent="0.3">
      <c r="A17" s="67">
        <f t="shared" si="0"/>
        <v>16</v>
      </c>
      <c r="B17" s="46"/>
      <c r="C17" s="18"/>
      <c r="D17" s="18"/>
      <c r="E17" s="18"/>
      <c r="F17" s="18"/>
      <c r="G17" s="18"/>
      <c r="H17" s="18"/>
      <c r="I17" s="18"/>
      <c r="J17" s="18"/>
      <c r="K17" s="18"/>
      <c r="L17" s="68"/>
    </row>
    <row r="18" spans="1:12" x14ac:dyDescent="0.3">
      <c r="A18" s="67"/>
      <c r="B18" s="46"/>
      <c r="C18" s="18"/>
      <c r="D18" s="18"/>
      <c r="E18" s="18"/>
      <c r="F18" s="18"/>
      <c r="G18" s="18"/>
      <c r="H18" s="18"/>
      <c r="I18" s="18"/>
      <c r="J18" s="18"/>
      <c r="K18" s="18"/>
      <c r="L18" s="68"/>
    </row>
    <row r="19" spans="1:12" x14ac:dyDescent="0.3">
      <c r="A19" s="67"/>
      <c r="B19" s="46"/>
      <c r="C19" s="18"/>
      <c r="D19" s="18"/>
      <c r="E19" s="18"/>
      <c r="F19" s="18"/>
      <c r="G19" s="18"/>
      <c r="H19" s="18"/>
      <c r="I19" s="18"/>
      <c r="J19" s="18"/>
      <c r="K19" s="18"/>
      <c r="L19" s="68"/>
    </row>
    <row r="20" spans="1:12" ht="15" thickBot="1" x14ac:dyDescent="0.35">
      <c r="A20" s="69"/>
      <c r="B20" s="70"/>
      <c r="C20" s="71"/>
      <c r="D20" s="71"/>
      <c r="E20" s="71"/>
      <c r="F20" s="71"/>
      <c r="G20" s="71"/>
      <c r="H20" s="71"/>
      <c r="I20" s="71"/>
      <c r="J20" s="71"/>
      <c r="K20" s="71"/>
      <c r="L20" s="72"/>
    </row>
  </sheetData>
  <conditionalFormatting sqref="A1:XFD1048576">
    <cfRule type="expression" dxfId="47" priority="1">
      <formula>MOD(ROW(),2)</formula>
    </cfRule>
  </conditionalFormatting>
  <pageMargins left="0.25" right="0.25" top="0.75" bottom="0.75" header="0.3" footer="0.3"/>
  <pageSetup scale="8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E67A5-E58C-42C2-ADDE-5559A4892BA4}">
  <sheetPr codeName="Sheet6"/>
  <dimension ref="A1:R16"/>
  <sheetViews>
    <sheetView view="pageBreakPreview" zoomScaleNormal="100" zoomScaleSheetLayoutView="100" workbookViewId="0">
      <selection activeCell="N25" sqref="N25"/>
    </sheetView>
  </sheetViews>
  <sheetFormatPr defaultColWidth="8.88671875" defaultRowHeight="14.4" x14ac:dyDescent="0.3"/>
  <cols>
    <col min="1" max="6" width="15.6640625" style="1" customWidth="1"/>
    <col min="7" max="16384" width="8.88671875" style="1"/>
  </cols>
  <sheetData>
    <row r="1" spans="1:18" x14ac:dyDescent="0.3">
      <c r="A1" s="278"/>
      <c r="B1" s="278"/>
      <c r="C1" s="278"/>
      <c r="D1" s="278"/>
      <c r="E1" s="278"/>
      <c r="F1" s="278"/>
    </row>
    <row r="10" spans="1:18" x14ac:dyDescent="0.3">
      <c r="R10" s="1" t="s">
        <v>798</v>
      </c>
    </row>
    <row r="15" spans="1:18" x14ac:dyDescent="0.3">
      <c r="A15" s="8"/>
      <c r="B15" s="8"/>
      <c r="C15" s="8"/>
      <c r="D15" s="8"/>
      <c r="E15" s="8"/>
      <c r="F15" s="8"/>
      <c r="G15" s="8"/>
      <c r="H15" s="8"/>
      <c r="I15" s="8"/>
    </row>
    <row r="16" spans="1:18" x14ac:dyDescent="0.3">
      <c r="A16" s="7"/>
      <c r="B16" s="7"/>
      <c r="C16" s="7"/>
      <c r="D16" s="7"/>
      <c r="E16" s="7"/>
      <c r="F16" s="7"/>
      <c r="G16" s="7"/>
      <c r="H16" s="7"/>
      <c r="I16" s="7"/>
    </row>
  </sheetData>
  <mergeCells count="1">
    <mergeCell ref="A1:F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A46D-0710-411D-8A0F-6509156BB508}">
  <sheetPr codeName="Sheet7"/>
  <dimension ref="A1:AU30"/>
  <sheetViews>
    <sheetView workbookViewId="0">
      <selection activeCell="L12" sqref="L12"/>
    </sheetView>
  </sheetViews>
  <sheetFormatPr defaultRowHeight="14.4" x14ac:dyDescent="0.3"/>
  <cols>
    <col min="1" max="1" width="14.6640625" style="1" bestFit="1" customWidth="1"/>
    <col min="2" max="2" width="14.44140625" style="1" bestFit="1" customWidth="1"/>
    <col min="3" max="3" width="11" customWidth="1"/>
    <col min="4" max="4" width="28" bestFit="1" customWidth="1"/>
    <col min="5" max="5" width="11" customWidth="1"/>
    <col min="6" max="6" width="33.109375" bestFit="1" customWidth="1"/>
    <col min="8" max="8" width="19.88671875" bestFit="1" customWidth="1"/>
    <col min="10" max="10" width="11.6640625" bestFit="1" customWidth="1"/>
    <col min="11" max="11" width="15.88671875" bestFit="1" customWidth="1"/>
    <col min="12" max="12" width="40" bestFit="1" customWidth="1"/>
    <col min="13" max="13" width="15.88671875" bestFit="1" customWidth="1"/>
    <col min="14" max="14" width="40" bestFit="1" customWidth="1"/>
  </cols>
  <sheetData>
    <row r="1" spans="1:8" x14ac:dyDescent="0.3">
      <c r="A1" s="1" t="s">
        <v>799</v>
      </c>
      <c r="B1" s="1" t="s">
        <v>800</v>
      </c>
      <c r="D1" s="274" t="s">
        <v>801</v>
      </c>
      <c r="F1" s="1" t="s">
        <v>802</v>
      </c>
      <c r="H1" s="1" t="s">
        <v>803</v>
      </c>
    </row>
    <row r="2" spans="1:8" x14ac:dyDescent="0.3">
      <c r="A2" s="1" t="s">
        <v>804</v>
      </c>
      <c r="B2" s="1">
        <v>1</v>
      </c>
      <c r="D2" t="s">
        <v>475</v>
      </c>
      <c r="F2" t="s">
        <v>805</v>
      </c>
      <c r="H2" t="s">
        <v>806</v>
      </c>
    </row>
    <row r="3" spans="1:8" x14ac:dyDescent="0.3">
      <c r="A3" s="1" t="s">
        <v>807</v>
      </c>
      <c r="B3" s="1">
        <v>2</v>
      </c>
      <c r="D3" t="s">
        <v>469</v>
      </c>
      <c r="F3" t="s">
        <v>470</v>
      </c>
      <c r="H3" t="s">
        <v>808</v>
      </c>
    </row>
    <row r="4" spans="1:8" x14ac:dyDescent="0.3">
      <c r="A4" s="1" t="s">
        <v>809</v>
      </c>
      <c r="B4" s="1">
        <v>3</v>
      </c>
      <c r="D4" t="s">
        <v>463</v>
      </c>
      <c r="F4" t="s">
        <v>810</v>
      </c>
      <c r="H4" t="s">
        <v>811</v>
      </c>
    </row>
    <row r="5" spans="1:8" x14ac:dyDescent="0.3">
      <c r="A5" s="1" t="s">
        <v>812</v>
      </c>
      <c r="B5" s="1">
        <v>4</v>
      </c>
      <c r="D5" t="s">
        <v>813</v>
      </c>
      <c r="F5" t="s">
        <v>507</v>
      </c>
      <c r="H5" t="s">
        <v>814</v>
      </c>
    </row>
    <row r="6" spans="1:8" x14ac:dyDescent="0.3">
      <c r="A6" s="1" t="s">
        <v>815</v>
      </c>
      <c r="B6" s="1">
        <v>5</v>
      </c>
      <c r="D6" t="s">
        <v>816</v>
      </c>
      <c r="F6" t="s">
        <v>817</v>
      </c>
      <c r="H6" t="s">
        <v>818</v>
      </c>
    </row>
    <row r="7" spans="1:8" x14ac:dyDescent="0.3">
      <c r="A7" s="1" t="s">
        <v>819</v>
      </c>
      <c r="B7" s="1">
        <v>6</v>
      </c>
      <c r="D7" t="s">
        <v>453</v>
      </c>
      <c r="F7" t="s">
        <v>464</v>
      </c>
      <c r="H7" t="s">
        <v>820</v>
      </c>
    </row>
    <row r="8" spans="1:8" x14ac:dyDescent="0.3">
      <c r="A8" s="1" t="s">
        <v>821</v>
      </c>
      <c r="B8" s="1">
        <v>7</v>
      </c>
      <c r="D8" t="s">
        <v>481</v>
      </c>
      <c r="F8" t="s">
        <v>822</v>
      </c>
      <c r="H8" t="s">
        <v>823</v>
      </c>
    </row>
    <row r="9" spans="1:8" x14ac:dyDescent="0.3">
      <c r="A9" s="1" t="s">
        <v>824</v>
      </c>
      <c r="B9" s="1">
        <v>8</v>
      </c>
      <c r="F9" t="s">
        <v>825</v>
      </c>
      <c r="H9" t="s">
        <v>826</v>
      </c>
    </row>
    <row r="10" spans="1:8" x14ac:dyDescent="0.3">
      <c r="A10" s="1" t="s">
        <v>827</v>
      </c>
      <c r="B10" s="1">
        <v>9</v>
      </c>
      <c r="F10" t="s">
        <v>459</v>
      </c>
      <c r="H10" t="s">
        <v>828</v>
      </c>
    </row>
    <row r="11" spans="1:8" x14ac:dyDescent="0.3">
      <c r="A11" s="1" t="s">
        <v>829</v>
      </c>
      <c r="B11" s="1">
        <v>10</v>
      </c>
      <c r="F11" t="s">
        <v>830</v>
      </c>
      <c r="H11" t="s">
        <v>831</v>
      </c>
    </row>
    <row r="12" spans="1:8" x14ac:dyDescent="0.3">
      <c r="A12" s="1" t="s">
        <v>832</v>
      </c>
      <c r="B12" s="1">
        <v>11</v>
      </c>
      <c r="F12" t="s">
        <v>454</v>
      </c>
    </row>
    <row r="13" spans="1:8" x14ac:dyDescent="0.3">
      <c r="A13" s="1" t="s">
        <v>833</v>
      </c>
      <c r="B13" s="1">
        <v>12</v>
      </c>
      <c r="F13" t="s">
        <v>834</v>
      </c>
    </row>
    <row r="14" spans="1:8" x14ac:dyDescent="0.3">
      <c r="F14" t="s">
        <v>835</v>
      </c>
    </row>
    <row r="15" spans="1:8" x14ac:dyDescent="0.3">
      <c r="F15" t="s">
        <v>836</v>
      </c>
    </row>
    <row r="16" spans="1:8" x14ac:dyDescent="0.3">
      <c r="F16" t="s">
        <v>837</v>
      </c>
    </row>
    <row r="17" spans="6:47" s="20" customFormat="1" x14ac:dyDescent="0.3">
      <c r="F17" t="s">
        <v>838</v>
      </c>
      <c r="G17"/>
      <c r="H17"/>
      <c r="I17"/>
      <c r="K17" s="90"/>
      <c r="L17" s="95"/>
      <c r="O17" s="103"/>
      <c r="Q17"/>
      <c r="U17"/>
      <c r="X17" s="92"/>
      <c r="Z17" s="92"/>
      <c r="AA17" s="92"/>
      <c r="AB17" s="92"/>
      <c r="AC17" s="92"/>
      <c r="AD17" s="92"/>
      <c r="AE17" s="93"/>
      <c r="AF17" s="118"/>
      <c r="AG17" s="118"/>
      <c r="AH17" s="118"/>
      <c r="AI17" s="118"/>
      <c r="AJ17" s="119"/>
      <c r="AK17" s="119"/>
      <c r="AL17" s="119"/>
      <c r="AM17" s="119"/>
      <c r="AN17" s="119"/>
      <c r="AO17" s="119"/>
      <c r="AP17" s="119"/>
      <c r="AQ17" s="119"/>
      <c r="AR17"/>
      <c r="AS17" s="93"/>
      <c r="AT17" s="93"/>
      <c r="AU17" s="93"/>
    </row>
    <row r="18" spans="6:47" s="20" customFormat="1" x14ac:dyDescent="0.3">
      <c r="F18" t="s">
        <v>839</v>
      </c>
      <c r="G18"/>
      <c r="H18"/>
      <c r="I18"/>
      <c r="K18" s="90"/>
      <c r="L18" s="95"/>
      <c r="O18" s="103"/>
      <c r="Q18"/>
      <c r="U18"/>
      <c r="X18" s="94"/>
      <c r="Z18" s="94"/>
      <c r="AA18" s="94"/>
      <c r="AB18" s="94"/>
      <c r="AC18" s="94"/>
      <c r="AD18" s="94"/>
      <c r="AE18" s="93"/>
      <c r="AF18" s="118"/>
      <c r="AG18" s="118"/>
      <c r="AH18" s="118"/>
      <c r="AI18" s="118"/>
      <c r="AJ18" s="119"/>
      <c r="AK18" s="119"/>
      <c r="AL18" s="119"/>
      <c r="AM18" s="119"/>
      <c r="AN18" s="119"/>
      <c r="AO18" s="119"/>
      <c r="AP18" s="119"/>
      <c r="AQ18" s="119"/>
      <c r="AR18"/>
      <c r="AS18" s="93"/>
      <c r="AT18" s="93"/>
      <c r="AU18" s="93"/>
    </row>
    <row r="19" spans="6:47" s="20" customFormat="1" x14ac:dyDescent="0.3">
      <c r="F19" t="s">
        <v>571</v>
      </c>
      <c r="G19"/>
      <c r="H19"/>
      <c r="I19"/>
      <c r="K19" s="90"/>
      <c r="L19" s="95"/>
      <c r="O19" s="103"/>
      <c r="Q19"/>
      <c r="U19"/>
      <c r="X19" s="92"/>
      <c r="Z19" s="92"/>
      <c r="AA19" s="92"/>
      <c r="AB19" s="92"/>
      <c r="AC19" s="92"/>
      <c r="AD19" s="92"/>
      <c r="AE19" s="93"/>
      <c r="AF19" s="118"/>
      <c r="AG19" s="118"/>
      <c r="AH19" s="118"/>
      <c r="AI19" s="118"/>
      <c r="AJ19" s="119"/>
      <c r="AK19" s="119"/>
      <c r="AL19" s="119"/>
      <c r="AM19" s="119"/>
      <c r="AN19" s="119"/>
      <c r="AO19" s="119"/>
      <c r="AP19" s="119"/>
      <c r="AQ19" s="119"/>
      <c r="AR19"/>
      <c r="AS19" s="93"/>
      <c r="AT19" s="93"/>
      <c r="AU19" s="93"/>
    </row>
    <row r="20" spans="6:47" s="20" customFormat="1" x14ac:dyDescent="0.3">
      <c r="F20" s="275" t="s">
        <v>840</v>
      </c>
      <c r="G20"/>
      <c r="H20"/>
      <c r="I20"/>
      <c r="K20" s="90"/>
      <c r="L20" s="91"/>
      <c r="O20" s="92"/>
      <c r="W20" s="89"/>
      <c r="AE20" s="93"/>
      <c r="AF20" s="118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/>
    </row>
    <row r="21" spans="6:47" x14ac:dyDescent="0.3">
      <c r="F21" s="275" t="s">
        <v>841</v>
      </c>
    </row>
    <row r="22" spans="6:47" x14ac:dyDescent="0.3">
      <c r="F22" s="275" t="s">
        <v>842</v>
      </c>
    </row>
    <row r="23" spans="6:47" x14ac:dyDescent="0.3">
      <c r="F23" t="s">
        <v>843</v>
      </c>
    </row>
    <row r="24" spans="6:47" x14ac:dyDescent="0.3">
      <c r="F24" t="s">
        <v>844</v>
      </c>
    </row>
    <row r="25" spans="6:47" x14ac:dyDescent="0.3">
      <c r="F25" t="s">
        <v>482</v>
      </c>
    </row>
    <row r="26" spans="6:47" x14ac:dyDescent="0.3">
      <c r="F26" t="s">
        <v>845</v>
      </c>
    </row>
    <row r="27" spans="6:47" x14ac:dyDescent="0.3">
      <c r="F27" t="s">
        <v>846</v>
      </c>
    </row>
    <row r="28" spans="6:47" x14ac:dyDescent="0.3">
      <c r="F28" t="s">
        <v>847</v>
      </c>
    </row>
    <row r="29" spans="6:47" x14ac:dyDescent="0.3">
      <c r="F29" t="s">
        <v>476</v>
      </c>
    </row>
    <row r="30" spans="6:47" x14ac:dyDescent="0.3">
      <c r="F30" t="s">
        <v>848</v>
      </c>
    </row>
  </sheetData>
  <phoneticPr fontId="1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F9FA-F632-414E-A127-0C95DFEC5F53}">
  <sheetPr codeName="Sheet8">
    <pageSetUpPr fitToPage="1"/>
  </sheetPr>
  <dimension ref="A1:O109"/>
  <sheetViews>
    <sheetView workbookViewId="0">
      <selection activeCell="P6" sqref="P6"/>
    </sheetView>
  </sheetViews>
  <sheetFormatPr defaultColWidth="10.6640625" defaultRowHeight="15" customHeight="1" x14ac:dyDescent="0.3"/>
  <cols>
    <col min="3" max="3" width="4.6640625" customWidth="1"/>
    <col min="4" max="22" width="15.6640625" customWidth="1"/>
  </cols>
  <sheetData>
    <row r="1" spans="1:15" ht="24.9" customHeight="1" thickBot="1" x14ac:dyDescent="0.45">
      <c r="A1" s="101" t="s">
        <v>449</v>
      </c>
      <c r="D1" s="271">
        <v>1</v>
      </c>
      <c r="E1" s="271">
        <v>2</v>
      </c>
      <c r="F1" s="271">
        <v>3</v>
      </c>
      <c r="G1" s="271">
        <v>4</v>
      </c>
      <c r="H1" s="271">
        <v>5</v>
      </c>
      <c r="I1" s="271">
        <v>6</v>
      </c>
      <c r="J1" s="271">
        <v>7</v>
      </c>
      <c r="K1" s="271">
        <v>8</v>
      </c>
      <c r="L1" s="271">
        <v>9</v>
      </c>
      <c r="M1" s="271">
        <v>10</v>
      </c>
      <c r="N1" s="271">
        <v>11</v>
      </c>
      <c r="O1" s="271">
        <v>12</v>
      </c>
    </row>
    <row r="2" spans="1:15" ht="24" customHeight="1" thickTop="1" x14ac:dyDescent="0.3">
      <c r="C2" s="102" t="s">
        <v>804</v>
      </c>
      <c r="D2" s="279" t="s">
        <v>849</v>
      </c>
      <c r="E2" s="282" t="s">
        <v>850</v>
      </c>
      <c r="F2" s="282" t="s">
        <v>851</v>
      </c>
      <c r="G2" s="282" t="s">
        <v>852</v>
      </c>
      <c r="H2" s="282" t="s">
        <v>853</v>
      </c>
      <c r="I2" s="282" t="s">
        <v>854</v>
      </c>
      <c r="J2" s="282" t="s">
        <v>855</v>
      </c>
      <c r="K2" s="282" t="s">
        <v>856</v>
      </c>
      <c r="L2" s="282" t="s">
        <v>857</v>
      </c>
      <c r="M2" s="282" t="s">
        <v>858</v>
      </c>
      <c r="N2" s="282" t="s">
        <v>859</v>
      </c>
      <c r="O2" s="285" t="s">
        <v>860</v>
      </c>
    </row>
    <row r="3" spans="1:15" ht="24" customHeight="1" x14ac:dyDescent="0.3">
      <c r="C3" s="102" t="s">
        <v>807</v>
      </c>
      <c r="D3" s="280"/>
      <c r="E3" s="283"/>
      <c r="F3" s="283"/>
      <c r="G3" s="283"/>
      <c r="H3" s="283"/>
      <c r="I3" s="283"/>
      <c r="J3" s="283"/>
      <c r="K3" s="283"/>
      <c r="L3" s="283"/>
      <c r="M3" s="283"/>
      <c r="N3" s="283"/>
      <c r="O3" s="286"/>
    </row>
    <row r="4" spans="1:15" ht="24" customHeight="1" x14ac:dyDescent="0.3">
      <c r="C4" s="102" t="s">
        <v>809</v>
      </c>
      <c r="D4" s="280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6"/>
    </row>
    <row r="5" spans="1:15" ht="24" customHeight="1" x14ac:dyDescent="0.3">
      <c r="C5" s="102" t="s">
        <v>812</v>
      </c>
      <c r="D5" s="280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6"/>
    </row>
    <row r="6" spans="1:15" ht="24" customHeight="1" x14ac:dyDescent="0.3">
      <c r="C6" s="102" t="s">
        <v>815</v>
      </c>
      <c r="D6" s="280" t="s">
        <v>861</v>
      </c>
      <c r="E6" s="283" t="s">
        <v>862</v>
      </c>
      <c r="F6" s="283"/>
      <c r="G6" s="283"/>
      <c r="H6" s="283" t="s">
        <v>863</v>
      </c>
      <c r="I6" s="283"/>
      <c r="J6" s="283"/>
      <c r="K6" s="283"/>
      <c r="L6" s="283" t="s">
        <v>864</v>
      </c>
      <c r="M6" s="283" t="s">
        <v>865</v>
      </c>
      <c r="N6" s="283" t="s">
        <v>866</v>
      </c>
      <c r="O6" s="286"/>
    </row>
    <row r="7" spans="1:15" ht="24" customHeight="1" x14ac:dyDescent="0.3">
      <c r="C7" s="102" t="s">
        <v>819</v>
      </c>
      <c r="D7" s="280"/>
      <c r="E7" s="283"/>
      <c r="F7" s="283" t="s">
        <v>867</v>
      </c>
      <c r="G7" s="283" t="s">
        <v>868</v>
      </c>
      <c r="H7" s="283"/>
      <c r="I7" s="283" t="s">
        <v>869</v>
      </c>
      <c r="J7" s="283" t="s">
        <v>870</v>
      </c>
      <c r="K7" s="283" t="s">
        <v>871</v>
      </c>
      <c r="L7" s="283"/>
      <c r="M7" s="283"/>
      <c r="N7" s="283"/>
      <c r="O7" s="286" t="s">
        <v>872</v>
      </c>
    </row>
    <row r="8" spans="1:15" ht="24" customHeight="1" x14ac:dyDescent="0.3">
      <c r="C8" s="102" t="s">
        <v>821</v>
      </c>
      <c r="D8" s="280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6"/>
    </row>
    <row r="9" spans="1:15" ht="24" customHeight="1" x14ac:dyDescent="0.3">
      <c r="C9" s="102" t="s">
        <v>824</v>
      </c>
      <c r="D9" s="273" t="s">
        <v>873</v>
      </c>
      <c r="E9" s="283"/>
      <c r="F9" s="283"/>
      <c r="G9" s="283"/>
      <c r="H9" s="283"/>
      <c r="I9" s="272" t="s">
        <v>874</v>
      </c>
      <c r="J9" s="283"/>
      <c r="K9" s="283"/>
      <c r="L9" s="283"/>
      <c r="M9" s="283"/>
      <c r="N9" s="283"/>
      <c r="O9" s="286"/>
    </row>
    <row r="10" spans="1:15" ht="24" customHeight="1" x14ac:dyDescent="0.3">
      <c r="C10" s="102" t="s">
        <v>827</v>
      </c>
      <c r="D10" s="280" t="s">
        <v>875</v>
      </c>
      <c r="E10" s="283" t="s">
        <v>876</v>
      </c>
      <c r="F10" s="283"/>
      <c r="G10" s="283"/>
      <c r="H10" s="283" t="s">
        <v>877</v>
      </c>
      <c r="I10" s="283" t="s">
        <v>878</v>
      </c>
      <c r="J10" s="283"/>
      <c r="K10" s="283"/>
      <c r="L10" s="283" t="s">
        <v>879</v>
      </c>
      <c r="M10" s="283" t="s">
        <v>880</v>
      </c>
      <c r="N10" s="283"/>
      <c r="O10" s="286"/>
    </row>
    <row r="11" spans="1:15" ht="24" customHeight="1" x14ac:dyDescent="0.3">
      <c r="C11" s="102" t="s">
        <v>829</v>
      </c>
      <c r="D11" s="280"/>
      <c r="E11" s="283"/>
      <c r="F11" s="283"/>
      <c r="G11" s="283"/>
      <c r="H11" s="283"/>
      <c r="I11" s="283"/>
      <c r="J11" s="283"/>
      <c r="K11" s="283"/>
      <c r="L11" s="283"/>
      <c r="M11" s="283"/>
      <c r="N11" s="272" t="s">
        <v>881</v>
      </c>
      <c r="O11" s="286"/>
    </row>
    <row r="12" spans="1:15" ht="24" customHeight="1" x14ac:dyDescent="0.3">
      <c r="C12" s="102" t="s">
        <v>832</v>
      </c>
      <c r="D12" s="280" t="s">
        <v>882</v>
      </c>
      <c r="E12" s="283"/>
      <c r="F12" s="283" t="s">
        <v>883</v>
      </c>
      <c r="G12" s="283" t="s">
        <v>884</v>
      </c>
      <c r="H12" s="283"/>
      <c r="I12" s="283"/>
      <c r="J12" s="283" t="s">
        <v>885</v>
      </c>
      <c r="K12" s="283" t="s">
        <v>886</v>
      </c>
      <c r="L12" s="283"/>
      <c r="M12" s="283"/>
      <c r="N12" s="283" t="s">
        <v>887</v>
      </c>
      <c r="O12" s="286" t="s">
        <v>888</v>
      </c>
    </row>
    <row r="13" spans="1:15" ht="24" customHeight="1" thickBot="1" x14ac:dyDescent="0.35">
      <c r="C13" s="102" t="s">
        <v>833</v>
      </c>
      <c r="D13" s="281"/>
      <c r="E13" s="284"/>
      <c r="F13" s="284"/>
      <c r="G13" s="284"/>
      <c r="H13" s="284"/>
      <c r="I13" s="284"/>
      <c r="J13" s="284"/>
      <c r="K13" s="284"/>
      <c r="L13" s="284"/>
      <c r="M13" s="284"/>
      <c r="N13" s="284"/>
      <c r="O13" s="287"/>
    </row>
    <row r="14" spans="1:15" ht="15" customHeight="1" thickTop="1" x14ac:dyDescent="0.3"/>
    <row r="17" customFormat="1" ht="24.9" customHeight="1" x14ac:dyDescent="0.3"/>
    <row r="18" customFormat="1" ht="24" customHeight="1" x14ac:dyDescent="0.3"/>
    <row r="19" customFormat="1" ht="24" customHeight="1" x14ac:dyDescent="0.3"/>
    <row r="20" customFormat="1" ht="24" customHeight="1" x14ac:dyDescent="0.3"/>
    <row r="21" customFormat="1" ht="24" customHeight="1" x14ac:dyDescent="0.3"/>
    <row r="22" customFormat="1" ht="24" customHeight="1" x14ac:dyDescent="0.3"/>
    <row r="23" customFormat="1" ht="24" customHeight="1" x14ac:dyDescent="0.3"/>
    <row r="24" customFormat="1" ht="24" customHeight="1" x14ac:dyDescent="0.3"/>
    <row r="25" customFormat="1" ht="24" customHeight="1" x14ac:dyDescent="0.3"/>
    <row r="26" customFormat="1" ht="24" customHeight="1" x14ac:dyDescent="0.3"/>
    <row r="27" customFormat="1" ht="24" customHeight="1" x14ac:dyDescent="0.3"/>
    <row r="28" customFormat="1" ht="24" customHeight="1" x14ac:dyDescent="0.3"/>
    <row r="29" customFormat="1" ht="24" customHeight="1" x14ac:dyDescent="0.3"/>
    <row r="33" customFormat="1" ht="24.9" customHeight="1" x14ac:dyDescent="0.3"/>
    <row r="34" customFormat="1" ht="24" customHeight="1" x14ac:dyDescent="0.3"/>
    <row r="35" customFormat="1" ht="24" customHeight="1" x14ac:dyDescent="0.3"/>
    <row r="36" customFormat="1" ht="24" customHeight="1" x14ac:dyDescent="0.3"/>
    <row r="37" customFormat="1" ht="24" customHeight="1" x14ac:dyDescent="0.3"/>
    <row r="38" customFormat="1" ht="24" customHeight="1" x14ac:dyDescent="0.3"/>
    <row r="39" customFormat="1" ht="24" customHeight="1" x14ac:dyDescent="0.3"/>
    <row r="40" customFormat="1" ht="24" customHeight="1" x14ac:dyDescent="0.3"/>
    <row r="41" customFormat="1" ht="24" customHeight="1" x14ac:dyDescent="0.3"/>
    <row r="42" customFormat="1" ht="24" customHeight="1" x14ac:dyDescent="0.3"/>
    <row r="43" customFormat="1" ht="24" customHeight="1" x14ac:dyDescent="0.3"/>
    <row r="44" customFormat="1" ht="24" customHeight="1" x14ac:dyDescent="0.3"/>
    <row r="45" customFormat="1" ht="24" customHeight="1" x14ac:dyDescent="0.3"/>
    <row r="49" customFormat="1" ht="24.9" customHeight="1" x14ac:dyDescent="0.3"/>
    <row r="50" customFormat="1" ht="24" customHeight="1" x14ac:dyDescent="0.3"/>
    <row r="51" customFormat="1" ht="24" customHeight="1" x14ac:dyDescent="0.3"/>
    <row r="52" customFormat="1" ht="24" customHeight="1" x14ac:dyDescent="0.3"/>
    <row r="53" customFormat="1" ht="24" customHeight="1" x14ac:dyDescent="0.3"/>
    <row r="54" customFormat="1" ht="24" customHeight="1" x14ac:dyDescent="0.3"/>
    <row r="55" customFormat="1" ht="24" customHeight="1" x14ac:dyDescent="0.3"/>
    <row r="56" customFormat="1" ht="24" customHeight="1" x14ac:dyDescent="0.3"/>
    <row r="57" customFormat="1" ht="24" customHeight="1" x14ac:dyDescent="0.3"/>
    <row r="58" customFormat="1" ht="24" customHeight="1" x14ac:dyDescent="0.3"/>
    <row r="59" customFormat="1" ht="24" customHeight="1" x14ac:dyDescent="0.3"/>
    <row r="60" customFormat="1" ht="24" customHeight="1" x14ac:dyDescent="0.3"/>
    <row r="61" customFormat="1" ht="24" customHeight="1" x14ac:dyDescent="0.3"/>
    <row r="65" customFormat="1" ht="24.9" customHeight="1" x14ac:dyDescent="0.3"/>
    <row r="66" customFormat="1" ht="24" customHeight="1" x14ac:dyDescent="0.3"/>
    <row r="67" customFormat="1" ht="24" customHeight="1" x14ac:dyDescent="0.3"/>
    <row r="68" customFormat="1" ht="24" customHeight="1" x14ac:dyDescent="0.3"/>
    <row r="69" customFormat="1" ht="24" customHeight="1" x14ac:dyDescent="0.3"/>
    <row r="70" customFormat="1" ht="24" customHeight="1" x14ac:dyDescent="0.3"/>
    <row r="71" customFormat="1" ht="24" customHeight="1" x14ac:dyDescent="0.3"/>
    <row r="72" customFormat="1" ht="24" customHeight="1" x14ac:dyDescent="0.3"/>
    <row r="73" customFormat="1" ht="24" customHeight="1" x14ac:dyDescent="0.3"/>
    <row r="74" customFormat="1" ht="24" customHeight="1" x14ac:dyDescent="0.3"/>
    <row r="75" customFormat="1" ht="24" customHeight="1" x14ac:dyDescent="0.3"/>
    <row r="76" customFormat="1" ht="24" customHeight="1" x14ac:dyDescent="0.3"/>
    <row r="77" customFormat="1" ht="24" customHeight="1" x14ac:dyDescent="0.3"/>
    <row r="81" customFormat="1" ht="24.9" customHeight="1" x14ac:dyDescent="0.3"/>
    <row r="82" customFormat="1" ht="24" customHeight="1" x14ac:dyDescent="0.3"/>
    <row r="83" customFormat="1" ht="24" customHeight="1" x14ac:dyDescent="0.3"/>
    <row r="84" customFormat="1" ht="24" customHeight="1" x14ac:dyDescent="0.3"/>
    <row r="85" customFormat="1" ht="24" customHeight="1" x14ac:dyDescent="0.3"/>
    <row r="86" customFormat="1" ht="24" customHeight="1" x14ac:dyDescent="0.3"/>
    <row r="87" customFormat="1" ht="24" customHeight="1" x14ac:dyDescent="0.3"/>
    <row r="88" customFormat="1" ht="24" customHeight="1" x14ac:dyDescent="0.3"/>
    <row r="89" customFormat="1" ht="24" customHeight="1" x14ac:dyDescent="0.3"/>
    <row r="90" customFormat="1" ht="24" customHeight="1" x14ac:dyDescent="0.3"/>
    <row r="91" customFormat="1" ht="24" customHeight="1" x14ac:dyDescent="0.3"/>
    <row r="92" customFormat="1" ht="24" customHeight="1" x14ac:dyDescent="0.3"/>
    <row r="93" customFormat="1" ht="24" customHeight="1" x14ac:dyDescent="0.3"/>
    <row r="97" customFormat="1" ht="24.9" customHeight="1" x14ac:dyDescent="0.3"/>
    <row r="98" customFormat="1" ht="24" customHeight="1" x14ac:dyDescent="0.3"/>
    <row r="99" customFormat="1" ht="24" customHeight="1" x14ac:dyDescent="0.3"/>
    <row r="100" customFormat="1" ht="24" customHeight="1" x14ac:dyDescent="0.3"/>
    <row r="101" customFormat="1" ht="24" customHeight="1" x14ac:dyDescent="0.3"/>
    <row r="102" customFormat="1" ht="24" customHeight="1" x14ac:dyDescent="0.3"/>
    <row r="103" customFormat="1" ht="24" customHeight="1" x14ac:dyDescent="0.3"/>
    <row r="104" customFormat="1" ht="24" customHeight="1" x14ac:dyDescent="0.3"/>
    <row r="105" customFormat="1" ht="24" customHeight="1" x14ac:dyDescent="0.3"/>
    <row r="106" customFormat="1" ht="24" customHeight="1" x14ac:dyDescent="0.3"/>
    <row r="107" customFormat="1" ht="24" customHeight="1" x14ac:dyDescent="0.3"/>
    <row r="108" customFormat="1" ht="24" customHeight="1" x14ac:dyDescent="0.3"/>
    <row r="109" customFormat="1" ht="24" customHeight="1" x14ac:dyDescent="0.3"/>
  </sheetData>
  <mergeCells count="37">
    <mergeCell ref="N2:N5"/>
    <mergeCell ref="N6:N10"/>
    <mergeCell ref="N12:N13"/>
    <mergeCell ref="O2:O6"/>
    <mergeCell ref="O7:O11"/>
    <mergeCell ref="O12:O13"/>
    <mergeCell ref="L2:L5"/>
    <mergeCell ref="L6:L9"/>
    <mergeCell ref="L10:L13"/>
    <mergeCell ref="M2:M5"/>
    <mergeCell ref="M6:M9"/>
    <mergeCell ref="M10:M13"/>
    <mergeCell ref="J2:J6"/>
    <mergeCell ref="J7:J11"/>
    <mergeCell ref="J12:J13"/>
    <mergeCell ref="K2:K6"/>
    <mergeCell ref="K7:K11"/>
    <mergeCell ref="K12:K13"/>
    <mergeCell ref="H2:H5"/>
    <mergeCell ref="H6:H9"/>
    <mergeCell ref="H10:H13"/>
    <mergeCell ref="I2:I6"/>
    <mergeCell ref="I7:I8"/>
    <mergeCell ref="I10:I13"/>
    <mergeCell ref="F2:F6"/>
    <mergeCell ref="F7:F11"/>
    <mergeCell ref="F12:F13"/>
    <mergeCell ref="G2:G6"/>
    <mergeCell ref="G7:G11"/>
    <mergeCell ref="G12:G13"/>
    <mergeCell ref="D2:D5"/>
    <mergeCell ref="D6:D8"/>
    <mergeCell ref="D10:D11"/>
    <mergeCell ref="D12:D13"/>
    <mergeCell ref="E2:E5"/>
    <mergeCell ref="E6:E9"/>
    <mergeCell ref="E10:E13"/>
  </mergeCells>
  <pageMargins left="0.7" right="0.7" top="0.75" bottom="0.75" header="0.3" footer="0.3"/>
  <pageSetup paperSize="3" scale="61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C172-FBB9-497F-81A4-5D2D582D5D28}">
  <sheetPr codeName="Sheet9">
    <tabColor theme="9" tint="0.79998168889431442"/>
    <pageSetUpPr fitToPage="1"/>
  </sheetPr>
  <dimension ref="A1:AZ431"/>
  <sheetViews>
    <sheetView zoomScale="120" zoomScaleNormal="120" zoomScaleSheetLayoutView="100" workbookViewId="0">
      <pane xSplit="3" ySplit="1" topLeftCell="G60" activePane="bottomRight" state="frozen"/>
      <selection pane="topRight" activeCell="C1" sqref="C1"/>
      <selection pane="bottomLeft" activeCell="A2" sqref="A2"/>
      <selection pane="bottomRight" activeCell="J11" sqref="J11"/>
    </sheetView>
  </sheetViews>
  <sheetFormatPr defaultColWidth="20.33203125" defaultRowHeight="14.4" x14ac:dyDescent="0.3"/>
  <cols>
    <col min="1" max="1" width="13.33203125" style="20" bestFit="1" customWidth="1"/>
    <col min="2" max="2" width="12.44140625" bestFit="1" customWidth="1"/>
    <col min="3" max="3" width="20.88671875" bestFit="1" customWidth="1"/>
    <col min="4" max="4" width="49.6640625" style="143" bestFit="1" customWidth="1"/>
    <col min="5" max="5" width="17.109375" bestFit="1" customWidth="1"/>
    <col min="6" max="6" width="7.5546875" bestFit="1" customWidth="1"/>
    <col min="7" max="7" width="15.33203125" bestFit="1" customWidth="1"/>
    <col min="8" max="8" width="23.5546875" bestFit="1" customWidth="1"/>
    <col min="9" max="9" width="17.5546875" bestFit="1" customWidth="1"/>
    <col min="10" max="10" width="15.5546875" bestFit="1" customWidth="1"/>
    <col min="11" max="11" width="12.109375" bestFit="1" customWidth="1"/>
    <col min="12" max="12" width="14.5546875" bestFit="1" customWidth="1"/>
    <col min="13" max="13" width="7.5546875" style="20" bestFit="1" customWidth="1"/>
    <col min="14" max="14" width="24.5546875" bestFit="1" customWidth="1"/>
    <col min="15" max="15" width="28.33203125" style="1" bestFit="1" customWidth="1"/>
    <col min="16" max="16" width="13.109375" style="20" hidden="1" customWidth="1"/>
    <col min="17" max="17" width="15.88671875" hidden="1" customWidth="1"/>
    <col min="18" max="18" width="16.88671875" style="20" hidden="1" customWidth="1"/>
    <col min="19" max="19" width="9.109375" style="20" hidden="1" customWidth="1"/>
    <col min="20" max="20" width="16.109375" style="20" hidden="1" customWidth="1"/>
    <col min="21" max="21" width="15.109375" hidden="1" customWidth="1"/>
    <col min="22" max="22" width="13.109375" customWidth="1"/>
    <col min="23" max="23" width="15.88671875" customWidth="1"/>
    <col min="24" max="24" width="16.88671875" customWidth="1"/>
    <col min="25" max="25" width="9.109375" customWidth="1"/>
    <col min="26" max="26" width="16.109375" customWidth="1"/>
    <col min="27" max="27" width="15.109375" customWidth="1"/>
    <col min="28" max="36" width="11.109375" style="20" bestFit="1" customWidth="1"/>
    <col min="37" max="37" width="11.109375" bestFit="1" customWidth="1"/>
    <col min="38" max="39" width="11.109375" style="118" bestFit="1" customWidth="1"/>
    <col min="40" max="40" width="11.109375" style="118" hidden="1" customWidth="1"/>
    <col min="41" max="49" width="13.6640625" style="118" customWidth="1"/>
    <col min="51" max="52" width="12.88671875" customWidth="1"/>
    <col min="53" max="53" width="95" style="20" bestFit="1" customWidth="1"/>
    <col min="54" max="16384" width="20.33203125" style="20"/>
  </cols>
  <sheetData>
    <row r="1" spans="1:52" ht="103.8" x14ac:dyDescent="0.3">
      <c r="A1" s="98" t="s">
        <v>194</v>
      </c>
      <c r="B1" s="99" t="s">
        <v>418</v>
      </c>
      <c r="C1" s="100" t="s">
        <v>419</v>
      </c>
      <c r="D1" s="100" t="s">
        <v>4</v>
      </c>
      <c r="E1" s="100" t="s">
        <v>420</v>
      </c>
      <c r="F1" s="99" t="s">
        <v>423</v>
      </c>
      <c r="G1" s="99" t="s">
        <v>424</v>
      </c>
      <c r="H1" s="100" t="s">
        <v>425</v>
      </c>
      <c r="I1" s="100" t="s">
        <v>426</v>
      </c>
      <c r="J1" s="100" t="s">
        <v>427</v>
      </c>
      <c r="K1" s="104" t="s">
        <v>428</v>
      </c>
      <c r="L1" s="104" t="s">
        <v>429</v>
      </c>
      <c r="M1" s="104" t="s">
        <v>430</v>
      </c>
      <c r="N1" s="104" t="s">
        <v>431</v>
      </c>
      <c r="O1" s="56" t="s">
        <v>24</v>
      </c>
      <c r="P1" s="99" t="s">
        <v>432</v>
      </c>
      <c r="Q1" s="99" t="s">
        <v>433</v>
      </c>
      <c r="R1" s="99" t="s">
        <v>434</v>
      </c>
      <c r="S1" s="99" t="s">
        <v>435</v>
      </c>
      <c r="T1" s="99" t="s">
        <v>436</v>
      </c>
      <c r="U1" s="99" t="s">
        <v>437</v>
      </c>
      <c r="V1" s="107" t="s">
        <v>17</v>
      </c>
      <c r="W1" s="108" t="s">
        <v>438</v>
      </c>
      <c r="X1" s="108" t="s">
        <v>439</v>
      </c>
      <c r="Y1" s="108" t="s">
        <v>440</v>
      </c>
      <c r="Z1" s="108" t="s">
        <v>441</v>
      </c>
      <c r="AA1" s="108" t="s">
        <v>442</v>
      </c>
      <c r="AB1" s="108" t="s">
        <v>443</v>
      </c>
      <c r="AC1" s="108" t="s">
        <v>444</v>
      </c>
      <c r="AD1" s="108" t="s">
        <v>445</v>
      </c>
      <c r="AE1" s="108" t="s">
        <v>446</v>
      </c>
      <c r="AF1" s="108" t="s">
        <v>447</v>
      </c>
      <c r="AG1" s="108" t="s">
        <v>448</v>
      </c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x14ac:dyDescent="0.3">
      <c r="A2" s="97" t="s">
        <v>889</v>
      </c>
      <c r="B2" s="51" t="s">
        <v>450</v>
      </c>
      <c r="C2" s="129" t="s">
        <v>451</v>
      </c>
      <c r="D2" s="136" t="s">
        <v>452</v>
      </c>
      <c r="E2" s="130" t="s">
        <v>451</v>
      </c>
      <c r="F2" s="86">
        <f>IF(ISNUMBER(MCC_Table6[[#This Row],[SIZE]]), MCC_Table6[[#This Row],[SIZE]]/12, 0)</f>
        <v>3.5</v>
      </c>
      <c r="G2" s="10"/>
      <c r="H2" s="10"/>
      <c r="I2" s="10"/>
      <c r="J2" s="10"/>
      <c r="K2" s="54">
        <v>1200</v>
      </c>
      <c r="L2" s="54">
        <v>1200</v>
      </c>
      <c r="M2" s="54" t="s">
        <v>303</v>
      </c>
      <c r="N2" s="54"/>
      <c r="O2" s="53"/>
      <c r="P2" s="51">
        <f>_xlfn.NUMBERVALUE(LEFT(MCC_Table6[[#This Row],[BUCKET]],LEN(MCC_Table6[[#This Row],[BUCKET]])-1))</f>
        <v>1</v>
      </c>
      <c r="Q2" s="51" t="str">
        <f>RIGHT(MCC_Table6[[#This Row],[BUCKET]],1)</f>
        <v>A</v>
      </c>
      <c r="R2" s="51">
        <f>VLOOKUP(MCC_Table6[[#This Row],[START UNIT]],UnitMap[],2,FALSE)</f>
        <v>1</v>
      </c>
      <c r="S2" s="51" cm="1">
        <f t="array" ref="S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" s="51">
        <f>IF(ISNUMBER(MCC_Table6[[#This Row],[SIZE]]), MCC_Table6[[#This Row],[SIZE]]/6, 0)</f>
        <v>7</v>
      </c>
      <c r="U2" s="51">
        <f>MCC_Table6[[#This Row],[START INDEX]]+MCC_Table6[[#This Row],[UNITS USED]]-1</f>
        <v>7</v>
      </c>
      <c r="V2" s="145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</row>
    <row r="3" spans="1:52" x14ac:dyDescent="0.3">
      <c r="A3" s="67" t="s">
        <v>889</v>
      </c>
      <c r="B3" s="51" t="s">
        <v>460</v>
      </c>
      <c r="C3" s="39" t="s">
        <v>890</v>
      </c>
      <c r="D3" s="136" t="s">
        <v>457</v>
      </c>
      <c r="E3" s="39" t="s">
        <v>458</v>
      </c>
      <c r="F3" s="86">
        <f>IF(ISNUMBER(MCC_Table6[[#This Row],[SIZE]]), MCC_Table6[[#This Row],[SIZE]]/12, 0)</f>
        <v>1.5</v>
      </c>
      <c r="G3" s="10"/>
      <c r="H3" s="10"/>
      <c r="I3" s="10"/>
      <c r="J3" s="10"/>
      <c r="K3" s="106" t="s">
        <v>303</v>
      </c>
      <c r="L3" s="54" t="s">
        <v>303</v>
      </c>
      <c r="M3" s="106">
        <v>0.75</v>
      </c>
      <c r="N3" s="106"/>
      <c r="O3" s="53"/>
      <c r="P3" s="51">
        <f>_xlfn.NUMBERVALUE(LEFT(MCC_Table6[[#This Row],[BUCKET]],LEN(MCC_Table6[[#This Row],[BUCKET]])-1))</f>
        <v>1</v>
      </c>
      <c r="Q3" s="51" t="str">
        <f>RIGHT(MCC_Table6[[#This Row],[BUCKET]],1)</f>
        <v>H</v>
      </c>
      <c r="R3" s="51">
        <f>VLOOKUP(MCC_Table6[[#This Row],[START UNIT]],UnitMap[],2,FALSE)</f>
        <v>8</v>
      </c>
      <c r="S3" s="51" cm="1">
        <f t="array" ref="S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" s="51">
        <f>IF(ISNUMBER(MCC_Table6[[#This Row],[SIZE]]), MCC_Table6[[#This Row],[SIZE]]/6, 0)</f>
        <v>3</v>
      </c>
      <c r="U3" s="51">
        <f>MCC_Table6[[#This Row],[START INDEX]]+MCC_Table6[[#This Row],[UNITS USED]]-1</f>
        <v>10</v>
      </c>
      <c r="V3" s="109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</row>
    <row r="4" spans="1:52" x14ac:dyDescent="0.3">
      <c r="A4" s="67" t="s">
        <v>889</v>
      </c>
      <c r="B4" s="10" t="s">
        <v>471</v>
      </c>
      <c r="C4" s="39" t="s">
        <v>53</v>
      </c>
      <c r="D4" s="135" t="s">
        <v>891</v>
      </c>
      <c r="E4" s="51" t="s">
        <v>892</v>
      </c>
      <c r="F4" s="87">
        <f>IF(ISNUMBER(MCC_Table6[[#This Row],[SIZE]]), MCC_Table6[[#This Row],[SIZE]]/12, 0)</f>
        <v>1</v>
      </c>
      <c r="G4" s="10"/>
      <c r="H4" s="10">
        <v>1.5</v>
      </c>
      <c r="I4" s="10"/>
      <c r="J4" s="10"/>
      <c r="K4" s="54">
        <v>7</v>
      </c>
      <c r="L4" s="54">
        <v>125</v>
      </c>
      <c r="M4" s="54"/>
      <c r="N4" s="54"/>
      <c r="O4" s="57"/>
      <c r="P4" s="10">
        <f>_xlfn.NUMBERVALUE(LEFT(MCC_Table6[[#This Row],[BUCKET]],LEN(MCC_Table6[[#This Row],[BUCKET]])-1))</f>
        <v>1</v>
      </c>
      <c r="Q4" s="10" t="str">
        <f>RIGHT(MCC_Table6[[#This Row],[BUCKET]],1)</f>
        <v>L</v>
      </c>
      <c r="R4" s="10">
        <f>VLOOKUP(MCC_Table6[[#This Row],[START UNIT]],UnitMap[],2,FALSE)</f>
        <v>11</v>
      </c>
      <c r="S4" s="10" cm="1">
        <f t="array" ref="S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4" s="10">
        <f>IF(ISNUMBER(MCC_Table6[[#This Row],[SIZE]]), MCC_Table6[[#This Row],[SIZE]]/6, 0)</f>
        <v>2</v>
      </c>
      <c r="U4" s="10">
        <f>MCC_Table6[[#This Row],[START INDEX]]+MCC_Table6[[#This Row],[UNITS USED]]-1</f>
        <v>12</v>
      </c>
      <c r="V4" s="111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</row>
    <row r="5" spans="1:52" ht="28.8" x14ac:dyDescent="0.3">
      <c r="A5" s="67" t="s">
        <v>889</v>
      </c>
      <c r="B5" s="51" t="s">
        <v>893</v>
      </c>
      <c r="C5" s="39" t="s">
        <v>894</v>
      </c>
      <c r="D5" s="136" t="s">
        <v>895</v>
      </c>
      <c r="E5" s="39" t="s">
        <v>896</v>
      </c>
      <c r="F5" s="86">
        <f>IF(ISNUMBER(MCC_Table6[[#This Row],[SIZE]]), MCC_Table6[[#This Row],[SIZE]]/12, 0)</f>
        <v>1</v>
      </c>
      <c r="G5" s="10"/>
      <c r="H5" s="10"/>
      <c r="I5" s="10"/>
      <c r="J5" s="10"/>
      <c r="K5" s="54"/>
      <c r="L5" s="54"/>
      <c r="M5" s="54"/>
      <c r="N5" s="54"/>
      <c r="O5" s="53"/>
      <c r="P5" s="51">
        <f>_xlfn.NUMBERVALUE(LEFT(MCC_Table6[[#This Row],[BUCKET]],LEN(MCC_Table6[[#This Row],[BUCKET]])-1))</f>
        <v>2</v>
      </c>
      <c r="Q5" s="51" t="str">
        <f>RIGHT(MCC_Table6[[#This Row],[BUCKET]],1)</f>
        <v>A</v>
      </c>
      <c r="R5" s="51">
        <f>VLOOKUP(MCC_Table6[[#This Row],[START UNIT]],UnitMap[],2,FALSE)</f>
        <v>1</v>
      </c>
      <c r="S5" s="51" cm="1">
        <f t="array" ref="S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5" s="51">
        <f>IF(ISNUMBER(MCC_Table6[[#This Row],[SIZE]]), MCC_Table6[[#This Row],[SIZE]]/6, 0)</f>
        <v>2</v>
      </c>
      <c r="U5" s="51">
        <f>MCC_Table6[[#This Row],[START INDEX]]+MCC_Table6[[#This Row],[UNITS USED]]-1</f>
        <v>2</v>
      </c>
      <c r="V5" s="109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</row>
    <row r="6" spans="1:52" x14ac:dyDescent="0.3">
      <c r="A6" s="67" t="s">
        <v>889</v>
      </c>
      <c r="B6" s="51" t="s">
        <v>897</v>
      </c>
      <c r="C6" s="39" t="s">
        <v>898</v>
      </c>
      <c r="D6" s="136" t="s">
        <v>467</v>
      </c>
      <c r="E6" s="39" t="s">
        <v>468</v>
      </c>
      <c r="F6" s="86">
        <f>IF(ISNUMBER(MCC_Table6[[#This Row],[SIZE]]), MCC_Table6[[#This Row],[SIZE]]/12, 0)</f>
        <v>1</v>
      </c>
      <c r="G6" s="10"/>
      <c r="H6" s="10"/>
      <c r="I6" s="10"/>
      <c r="J6" s="10"/>
      <c r="K6" s="54"/>
      <c r="L6" s="54"/>
      <c r="M6" s="54"/>
      <c r="N6" s="54"/>
      <c r="O6" s="53"/>
      <c r="P6" s="51">
        <f>_xlfn.NUMBERVALUE(LEFT(MCC_Table6[[#This Row],[BUCKET]],LEN(MCC_Table6[[#This Row],[BUCKET]])-1))</f>
        <v>2</v>
      </c>
      <c r="Q6" s="51" t="str">
        <f>RIGHT(MCC_Table6[[#This Row],[BUCKET]],1)</f>
        <v>C</v>
      </c>
      <c r="R6" s="51">
        <f>VLOOKUP(MCC_Table6[[#This Row],[START UNIT]],UnitMap[],2,FALSE)</f>
        <v>3</v>
      </c>
      <c r="S6" s="51" cm="1">
        <f t="array" ref="S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6" s="51">
        <f>IF(ISNUMBER(MCC_Table6[[#This Row],[SIZE]]), MCC_Table6[[#This Row],[SIZE]]/6, 0)</f>
        <v>2</v>
      </c>
      <c r="U6" s="51">
        <f>MCC_Table6[[#This Row],[START INDEX]]+MCC_Table6[[#This Row],[UNITS USED]]-1</f>
        <v>4</v>
      </c>
      <c r="V6" s="109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</row>
    <row r="7" spans="1:52" x14ac:dyDescent="0.3">
      <c r="A7" s="67" t="s">
        <v>889</v>
      </c>
      <c r="B7" s="51" t="s">
        <v>483</v>
      </c>
      <c r="C7" s="39" t="s">
        <v>462</v>
      </c>
      <c r="D7" s="136" t="s">
        <v>461</v>
      </c>
      <c r="E7" s="39" t="s">
        <v>462</v>
      </c>
      <c r="F7" s="86">
        <f>IF(ISNUMBER(MCC_Table6[[#This Row],[SIZE]]), MCC_Table6[[#This Row],[SIZE]]/12, 0)</f>
        <v>0.5</v>
      </c>
      <c r="G7" s="10"/>
      <c r="H7" s="10"/>
      <c r="I7" s="10"/>
      <c r="J7" s="10"/>
      <c r="K7" s="54"/>
      <c r="L7" s="54"/>
      <c r="M7" s="54"/>
      <c r="N7" s="54"/>
      <c r="O7" s="53"/>
      <c r="P7" s="51">
        <f>_xlfn.NUMBERVALUE(LEFT(MCC_Table6[[#This Row],[BUCKET]],LEN(MCC_Table6[[#This Row],[BUCKET]])-1))</f>
        <v>2</v>
      </c>
      <c r="Q7" s="51" t="str">
        <f>RIGHT(MCC_Table6[[#This Row],[BUCKET]],1)</f>
        <v>E</v>
      </c>
      <c r="R7" s="51">
        <f>VLOOKUP(MCC_Table6[[#This Row],[START UNIT]],UnitMap[],2,FALSE)</f>
        <v>5</v>
      </c>
      <c r="S7" s="51" cm="1">
        <f t="array" ref="S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7" s="51">
        <f>IF(ISNUMBER(MCC_Table6[[#This Row],[SIZE]]), MCC_Table6[[#This Row],[SIZE]]/6, 0)</f>
        <v>1</v>
      </c>
      <c r="U7" s="51">
        <f>MCC_Table6[[#This Row],[START INDEX]]+MCC_Table6[[#This Row],[UNITS USED]]-1</f>
        <v>5</v>
      </c>
      <c r="V7" s="109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</row>
    <row r="8" spans="1:52" x14ac:dyDescent="0.3">
      <c r="A8" s="67" t="s">
        <v>889</v>
      </c>
      <c r="B8" s="10" t="s">
        <v>899</v>
      </c>
      <c r="C8" s="39" t="s">
        <v>53</v>
      </c>
      <c r="D8" s="135" t="s">
        <v>900</v>
      </c>
      <c r="E8" s="51" t="s">
        <v>892</v>
      </c>
      <c r="F8" s="87">
        <f>IF(ISNUMBER(MCC_Table6[[#This Row],[SIZE]]), MCC_Table6[[#This Row],[SIZE]]/12, 0)</f>
        <v>1</v>
      </c>
      <c r="G8" s="10"/>
      <c r="H8" s="10">
        <v>7.5</v>
      </c>
      <c r="I8" s="10"/>
      <c r="J8" s="10"/>
      <c r="K8" s="54">
        <v>30</v>
      </c>
      <c r="L8" s="54">
        <v>125</v>
      </c>
      <c r="M8" s="54" t="s">
        <v>303</v>
      </c>
      <c r="N8" s="54"/>
      <c r="O8" s="53"/>
      <c r="P8" s="10">
        <f>_xlfn.NUMBERVALUE(LEFT(MCC_Table6[[#This Row],[BUCKET]],LEN(MCC_Table6[[#This Row],[BUCKET]])-1))</f>
        <v>2</v>
      </c>
      <c r="Q8" s="10" t="str">
        <f>RIGHT(MCC_Table6[[#This Row],[BUCKET]],1)</f>
        <v>F</v>
      </c>
      <c r="R8" s="10">
        <f>VLOOKUP(MCC_Table6[[#This Row],[START UNIT]],UnitMap[],2,FALSE)</f>
        <v>6</v>
      </c>
      <c r="S8" s="10" cm="1">
        <f t="array" ref="S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8" s="10">
        <f>IF(ISNUMBER(MCC_Table6[[#This Row],[SIZE]]), MCC_Table6[[#This Row],[SIZE]]/6, 0)</f>
        <v>2</v>
      </c>
      <c r="U8" s="10">
        <f>MCC_Table6[[#This Row],[START INDEX]]+MCC_Table6[[#This Row],[UNITS USED]]-1</f>
        <v>7</v>
      </c>
      <c r="V8" s="111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</row>
    <row r="9" spans="1:52" x14ac:dyDescent="0.3">
      <c r="A9" s="67" t="s">
        <v>889</v>
      </c>
      <c r="B9" s="10" t="s">
        <v>901</v>
      </c>
      <c r="C9" s="39" t="s">
        <v>53</v>
      </c>
      <c r="D9" s="135" t="s">
        <v>530</v>
      </c>
      <c r="E9" s="51" t="s">
        <v>902</v>
      </c>
      <c r="F9" s="87">
        <f>IF(ISNUMBER(MCC_Table6[[#This Row],[SIZE]]), MCC_Table6[[#This Row],[SIZE]]/12, 0)</f>
        <v>2.5</v>
      </c>
      <c r="G9" s="10"/>
      <c r="H9" s="10">
        <v>10</v>
      </c>
      <c r="I9" s="10">
        <v>14</v>
      </c>
      <c r="J9" s="10"/>
      <c r="K9" s="54">
        <v>30</v>
      </c>
      <c r="L9" s="54">
        <v>125</v>
      </c>
      <c r="M9" s="54">
        <v>25</v>
      </c>
      <c r="N9" s="54"/>
      <c r="O9" s="53"/>
      <c r="P9" s="10">
        <f>_xlfn.NUMBERVALUE(LEFT(MCC_Table6[[#This Row],[BUCKET]],LEN(MCC_Table6[[#This Row],[BUCKET]])-1))</f>
        <v>2</v>
      </c>
      <c r="Q9" s="10" t="str">
        <f>RIGHT(MCC_Table6[[#This Row],[BUCKET]],1)</f>
        <v>H</v>
      </c>
      <c r="R9" s="10">
        <f>VLOOKUP(MCC_Table6[[#This Row],[START UNIT]],UnitMap[],2,FALSE)</f>
        <v>8</v>
      </c>
      <c r="S9" s="10" cm="1">
        <f t="array" ref="S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9" s="10">
        <f>IF(ISNUMBER(MCC_Table6[[#This Row],[SIZE]]), MCC_Table6[[#This Row],[SIZE]]/6, 0)</f>
        <v>5</v>
      </c>
      <c r="U9" s="10">
        <f>MCC_Table6[[#This Row],[START INDEX]]+MCC_Table6[[#This Row],[UNITS USED]]-1</f>
        <v>12</v>
      </c>
      <c r="V9" s="111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</row>
    <row r="10" spans="1:52" x14ac:dyDescent="0.3">
      <c r="A10" s="67" t="s">
        <v>889</v>
      </c>
      <c r="B10" s="10" t="s">
        <v>489</v>
      </c>
      <c r="C10" s="39" t="s">
        <v>53</v>
      </c>
      <c r="D10" s="135" t="s">
        <v>903</v>
      </c>
      <c r="E10" s="51" t="s">
        <v>904</v>
      </c>
      <c r="F10" s="87">
        <f>IF(ISNUMBER(MCC_Table6[[#This Row],[SIZE]]), MCC_Table6[[#This Row],[SIZE]]/12, 0)</f>
        <v>6</v>
      </c>
      <c r="G10" s="10"/>
      <c r="H10" s="10">
        <v>60</v>
      </c>
      <c r="I10" s="10">
        <v>77</v>
      </c>
      <c r="J10" s="10"/>
      <c r="K10" s="54">
        <v>200</v>
      </c>
      <c r="L10" s="54">
        <v>250</v>
      </c>
      <c r="M10" s="54">
        <v>125</v>
      </c>
      <c r="N10" s="54"/>
      <c r="O10" s="53"/>
      <c r="P10" s="10">
        <f>_xlfn.NUMBERVALUE(LEFT(MCC_Table6[[#This Row],[BUCKET]],LEN(MCC_Table6[[#This Row],[BUCKET]])-1))</f>
        <v>3</v>
      </c>
      <c r="Q10" s="10" t="str">
        <f>RIGHT(MCC_Table6[[#This Row],[BUCKET]],1)</f>
        <v>A</v>
      </c>
      <c r="R10" s="10">
        <f>VLOOKUP(MCC_Table6[[#This Row],[START UNIT]],UnitMap[],2,FALSE)</f>
        <v>1</v>
      </c>
      <c r="S10" s="10" cm="1">
        <f t="array" ref="S1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0" s="10">
        <f>IF(ISNUMBER(MCC_Table6[[#This Row],[SIZE]]), MCC_Table6[[#This Row],[SIZE]]/6, 0)</f>
        <v>12</v>
      </c>
      <c r="U10" s="10">
        <f>MCC_Table6[[#This Row],[START INDEX]]+MCC_Table6[[#This Row],[UNITS USED]]-1</f>
        <v>12</v>
      </c>
      <c r="V10" s="111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</row>
    <row r="11" spans="1:52" x14ac:dyDescent="0.3">
      <c r="A11" s="67" t="s">
        <v>889</v>
      </c>
      <c r="B11" s="10" t="s">
        <v>497</v>
      </c>
      <c r="C11" s="39" t="s">
        <v>202</v>
      </c>
      <c r="D11" s="135" t="s">
        <v>905</v>
      </c>
      <c r="E11" s="51" t="s">
        <v>904</v>
      </c>
      <c r="F11" s="87">
        <f>IF(ISNUMBER(MCC_Table6[[#This Row],[SIZE]]), MCC_Table6[[#This Row],[SIZE]]/12, 0)</f>
        <v>6</v>
      </c>
      <c r="G11" s="10">
        <v>215</v>
      </c>
      <c r="H11" s="10">
        <v>250</v>
      </c>
      <c r="I11" s="10">
        <v>302</v>
      </c>
      <c r="J11" s="10"/>
      <c r="K11" s="54">
        <v>400</v>
      </c>
      <c r="L11" s="54">
        <v>400</v>
      </c>
      <c r="M11" s="54">
        <v>400</v>
      </c>
      <c r="N11" s="54" t="s">
        <v>906</v>
      </c>
      <c r="O11" s="53"/>
      <c r="P11" s="10">
        <f>_xlfn.NUMBERVALUE(LEFT(MCC_Table6[[#This Row],[BUCKET]],LEN(MCC_Table6[[#This Row],[BUCKET]])-1))</f>
        <v>4</v>
      </c>
      <c r="Q11" s="10" t="str">
        <f>RIGHT(MCC_Table6[[#This Row],[BUCKET]],1)</f>
        <v>A</v>
      </c>
      <c r="R11" s="10">
        <f>VLOOKUP(MCC_Table6[[#This Row],[START UNIT]],UnitMap[],2,FALSE)</f>
        <v>1</v>
      </c>
      <c r="S11" s="10" cm="1">
        <f t="array" ref="S1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1" s="10">
        <f>IF(ISNUMBER(MCC_Table6[[#This Row],[SIZE]]), MCC_Table6[[#This Row],[SIZE]]/6, 0)</f>
        <v>12</v>
      </c>
      <c r="U11" s="10">
        <f>MCC_Table6[[#This Row],[START INDEX]]+MCC_Table6[[#This Row],[UNITS USED]]-1</f>
        <v>12</v>
      </c>
      <c r="V11" s="111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</row>
    <row r="12" spans="1:52" x14ac:dyDescent="0.3">
      <c r="A12" s="67" t="s">
        <v>889</v>
      </c>
      <c r="B12" s="10" t="s">
        <v>508</v>
      </c>
      <c r="C12" s="39" t="s">
        <v>53</v>
      </c>
      <c r="D12" s="135" t="s">
        <v>530</v>
      </c>
      <c r="E12" s="51" t="s">
        <v>904</v>
      </c>
      <c r="F12" s="87">
        <f>IF(ISNUMBER(MCC_Table6[[#This Row],[SIZE]]), MCC_Table6[[#This Row],[SIZE]]/12, 0)</f>
        <v>2.5</v>
      </c>
      <c r="G12" s="10"/>
      <c r="H12" s="10">
        <v>10</v>
      </c>
      <c r="I12" s="10">
        <v>14</v>
      </c>
      <c r="J12" s="10"/>
      <c r="K12" s="54">
        <v>30</v>
      </c>
      <c r="L12" s="54">
        <v>125</v>
      </c>
      <c r="M12" s="54">
        <v>25</v>
      </c>
      <c r="N12" s="54"/>
      <c r="O12" s="53"/>
      <c r="P12" s="10">
        <f>_xlfn.NUMBERVALUE(LEFT(MCC_Table6[[#This Row],[BUCKET]],LEN(MCC_Table6[[#This Row],[BUCKET]])-1))</f>
        <v>5</v>
      </c>
      <c r="Q12" s="10" t="str">
        <f>RIGHT(MCC_Table6[[#This Row],[BUCKET]],1)</f>
        <v>A</v>
      </c>
      <c r="R12" s="10">
        <f>VLOOKUP(MCC_Table6[[#This Row],[START UNIT]],UnitMap[],2,FALSE)</f>
        <v>1</v>
      </c>
      <c r="S12" s="10" cm="1">
        <f t="array" ref="S1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2" s="10">
        <f>IF(ISNUMBER(MCC_Table6[[#This Row],[SIZE]]), MCC_Table6[[#This Row],[SIZE]]/6, 0)</f>
        <v>5</v>
      </c>
      <c r="U12" s="10">
        <f>MCC_Table6[[#This Row],[START INDEX]]+MCC_Table6[[#This Row],[UNITS USED]]-1</f>
        <v>5</v>
      </c>
      <c r="V12" s="111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</row>
    <row r="13" spans="1:52" x14ac:dyDescent="0.3">
      <c r="A13" s="67" t="s">
        <v>889</v>
      </c>
      <c r="B13" s="10" t="s">
        <v>907</v>
      </c>
      <c r="C13" s="39" t="s">
        <v>53</v>
      </c>
      <c r="D13" s="135" t="s">
        <v>908</v>
      </c>
      <c r="E13" s="51" t="s">
        <v>904</v>
      </c>
      <c r="F13" s="87">
        <f>IF(ISNUMBER(MCC_Table6[[#This Row],[SIZE]]), MCC_Table6[[#This Row],[SIZE]]/12, 0)</f>
        <v>3.5</v>
      </c>
      <c r="G13" s="10"/>
      <c r="H13" s="10">
        <v>25</v>
      </c>
      <c r="I13" s="10">
        <v>34</v>
      </c>
      <c r="J13" s="10"/>
      <c r="K13" s="54">
        <v>60</v>
      </c>
      <c r="L13" s="54">
        <v>125</v>
      </c>
      <c r="M13" s="54">
        <v>60</v>
      </c>
      <c r="N13" s="54"/>
      <c r="O13" s="53"/>
      <c r="P13" s="10">
        <f>_xlfn.NUMBERVALUE(LEFT(MCC_Table6[[#This Row],[BUCKET]],LEN(MCC_Table6[[#This Row],[BUCKET]])-1))</f>
        <v>5</v>
      </c>
      <c r="Q13" s="10" t="str">
        <f>RIGHT(MCC_Table6[[#This Row],[BUCKET]],1)</f>
        <v>F</v>
      </c>
      <c r="R13" s="10">
        <f>VLOOKUP(MCC_Table6[[#This Row],[START UNIT]],UnitMap[],2,FALSE)</f>
        <v>6</v>
      </c>
      <c r="S13" s="10" cm="1">
        <f t="array" ref="S1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13" s="10">
        <f>IF(ISNUMBER(MCC_Table6[[#This Row],[SIZE]]), MCC_Table6[[#This Row],[SIZE]]/6, 0)</f>
        <v>7</v>
      </c>
      <c r="U13" s="10">
        <f>MCC_Table6[[#This Row],[START INDEX]]+MCC_Table6[[#This Row],[UNITS USED]]-1</f>
        <v>12</v>
      </c>
      <c r="V13" s="111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</row>
    <row r="14" spans="1:52" x14ac:dyDescent="0.3">
      <c r="A14" s="67" t="s">
        <v>889</v>
      </c>
      <c r="B14" s="10" t="s">
        <v>517</v>
      </c>
      <c r="C14" s="39" t="s">
        <v>909</v>
      </c>
      <c r="D14" s="135" t="s">
        <v>910</v>
      </c>
      <c r="E14" s="51" t="s">
        <v>904</v>
      </c>
      <c r="F14" s="87">
        <f>IF(ISNUMBER(MCC_Table6[[#This Row],[SIZE]]), MCC_Table6[[#This Row],[SIZE]]/12, 0)</f>
        <v>2</v>
      </c>
      <c r="G14" s="10">
        <v>1</v>
      </c>
      <c r="H14" s="10">
        <v>2</v>
      </c>
      <c r="I14" s="10">
        <v>3.4</v>
      </c>
      <c r="J14" s="10"/>
      <c r="K14" s="54">
        <v>15</v>
      </c>
      <c r="L14" s="54">
        <v>125</v>
      </c>
      <c r="M14" s="54">
        <v>6</v>
      </c>
      <c r="N14" s="54" t="s">
        <v>911</v>
      </c>
      <c r="O14" s="53"/>
      <c r="P14" s="10">
        <f>_xlfn.NUMBERVALUE(LEFT(MCC_Table6[[#This Row],[BUCKET]],LEN(MCC_Table6[[#This Row],[BUCKET]])-1))</f>
        <v>6</v>
      </c>
      <c r="Q14" s="10" t="str">
        <f>RIGHT(MCC_Table6[[#This Row],[BUCKET]],1)</f>
        <v>A</v>
      </c>
      <c r="R14" s="10">
        <f>VLOOKUP(MCC_Table6[[#This Row],[START UNIT]],UnitMap[],2,FALSE)</f>
        <v>1</v>
      </c>
      <c r="S14" s="10" cm="1">
        <f t="array" ref="S1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4" s="10">
        <f>IF(ISNUMBER(MCC_Table6[[#This Row],[SIZE]]), MCC_Table6[[#This Row],[SIZE]]/6, 0)</f>
        <v>4</v>
      </c>
      <c r="U14" s="10">
        <f>MCC_Table6[[#This Row],[START INDEX]]+MCC_Table6[[#This Row],[UNITS USED]]-1</f>
        <v>4</v>
      </c>
      <c r="V14" s="111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</row>
    <row r="15" spans="1:52" x14ac:dyDescent="0.3">
      <c r="A15" s="67" t="s">
        <v>889</v>
      </c>
      <c r="B15" s="10" t="s">
        <v>912</v>
      </c>
      <c r="C15" s="39" t="s">
        <v>913</v>
      </c>
      <c r="D15" s="135" t="s">
        <v>914</v>
      </c>
      <c r="E15" s="51" t="s">
        <v>904</v>
      </c>
      <c r="F15" s="87">
        <f>IF(ISNUMBER(MCC_Table6[[#This Row],[SIZE]]), MCC_Table6[[#This Row],[SIZE]]/12, 0)</f>
        <v>2</v>
      </c>
      <c r="G15" s="10">
        <v>1</v>
      </c>
      <c r="H15" s="10">
        <v>2</v>
      </c>
      <c r="I15" s="10">
        <v>3.4</v>
      </c>
      <c r="J15" s="10"/>
      <c r="K15" s="54">
        <v>15</v>
      </c>
      <c r="L15" s="54">
        <v>125</v>
      </c>
      <c r="M15" s="54">
        <v>6</v>
      </c>
      <c r="N15" s="54" t="s">
        <v>911</v>
      </c>
      <c r="O15" s="53"/>
      <c r="P15" s="10">
        <f>_xlfn.NUMBERVALUE(LEFT(MCC_Table6[[#This Row],[BUCKET]],LEN(MCC_Table6[[#This Row],[BUCKET]])-1))</f>
        <v>6</v>
      </c>
      <c r="Q15" s="10" t="str">
        <f>RIGHT(MCC_Table6[[#This Row],[BUCKET]],1)</f>
        <v>E</v>
      </c>
      <c r="R15" s="10">
        <f>VLOOKUP(MCC_Table6[[#This Row],[START UNIT]],UnitMap[],2,FALSE)</f>
        <v>5</v>
      </c>
      <c r="S15" s="10" cm="1">
        <f t="array" ref="S1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5" s="10">
        <f>IF(ISNUMBER(MCC_Table6[[#This Row],[SIZE]]), MCC_Table6[[#This Row],[SIZE]]/6, 0)</f>
        <v>4</v>
      </c>
      <c r="U15" s="10">
        <f>MCC_Table6[[#This Row],[START INDEX]]+MCC_Table6[[#This Row],[UNITS USED]]-1</f>
        <v>8</v>
      </c>
      <c r="V15" s="111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</row>
    <row r="16" spans="1:52" x14ac:dyDescent="0.3">
      <c r="A16" s="67" t="s">
        <v>889</v>
      </c>
      <c r="B16" s="10" t="s">
        <v>523</v>
      </c>
      <c r="C16" s="39" t="s">
        <v>915</v>
      </c>
      <c r="D16" s="135" t="s">
        <v>916</v>
      </c>
      <c r="E16" s="51" t="s">
        <v>904</v>
      </c>
      <c r="F16" s="87">
        <f>IF(ISNUMBER(MCC_Table6[[#This Row],[SIZE]]), MCC_Table6[[#This Row],[SIZE]]/12, 0)</f>
        <v>2</v>
      </c>
      <c r="G16" s="10">
        <v>1</v>
      </c>
      <c r="H16" s="10">
        <v>2</v>
      </c>
      <c r="I16" s="10">
        <v>3.4</v>
      </c>
      <c r="J16" s="10"/>
      <c r="K16" s="54">
        <v>15</v>
      </c>
      <c r="L16" s="54">
        <v>125</v>
      </c>
      <c r="M16" s="54">
        <v>6</v>
      </c>
      <c r="N16" s="54" t="s">
        <v>911</v>
      </c>
      <c r="O16" s="53"/>
      <c r="P16" s="10">
        <f>_xlfn.NUMBERVALUE(LEFT(MCC_Table6[[#This Row],[BUCKET]],LEN(MCC_Table6[[#This Row],[BUCKET]])-1))</f>
        <v>6</v>
      </c>
      <c r="Q16" s="10" t="str">
        <f>RIGHT(MCC_Table6[[#This Row],[BUCKET]],1)</f>
        <v>J</v>
      </c>
      <c r="R16" s="10">
        <f>VLOOKUP(MCC_Table6[[#This Row],[START UNIT]],UnitMap[],2,FALSE)</f>
        <v>9</v>
      </c>
      <c r="S16" s="10" cm="1">
        <f t="array" ref="S1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" s="10">
        <f>IF(ISNUMBER(MCC_Table6[[#This Row],[SIZE]]), MCC_Table6[[#This Row],[SIZE]]/6, 0)</f>
        <v>4</v>
      </c>
      <c r="U16" s="10">
        <f>MCC_Table6[[#This Row],[START INDEX]]+MCC_Table6[[#This Row],[UNITS USED]]-1</f>
        <v>12</v>
      </c>
      <c r="V16" s="111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</row>
    <row r="17" spans="1:52" x14ac:dyDescent="0.3">
      <c r="A17" s="67" t="s">
        <v>889</v>
      </c>
      <c r="B17" s="10" t="s">
        <v>526</v>
      </c>
      <c r="C17" s="39" t="s">
        <v>917</v>
      </c>
      <c r="D17" s="135" t="s">
        <v>918</v>
      </c>
      <c r="E17" s="51" t="s">
        <v>904</v>
      </c>
      <c r="F17" s="87">
        <f>IF(ISNUMBER(MCC_Table6[[#This Row],[SIZE]]), MCC_Table6[[#This Row],[SIZE]]/12, 0)</f>
        <v>2</v>
      </c>
      <c r="G17" s="10">
        <v>1</v>
      </c>
      <c r="H17" s="10">
        <v>2</v>
      </c>
      <c r="I17" s="10">
        <v>3.4</v>
      </c>
      <c r="J17" s="10"/>
      <c r="K17" s="54">
        <v>15</v>
      </c>
      <c r="L17" s="54">
        <v>125</v>
      </c>
      <c r="M17" s="54">
        <v>6</v>
      </c>
      <c r="N17" s="54" t="s">
        <v>911</v>
      </c>
      <c r="O17" s="53"/>
      <c r="P17" s="10">
        <f>_xlfn.NUMBERVALUE(LEFT(MCC_Table6[[#This Row],[BUCKET]],LEN(MCC_Table6[[#This Row],[BUCKET]])-1))</f>
        <v>7</v>
      </c>
      <c r="Q17" s="10" t="str">
        <f>RIGHT(MCC_Table6[[#This Row],[BUCKET]],1)</f>
        <v>A</v>
      </c>
      <c r="R17" s="10">
        <f>VLOOKUP(MCC_Table6[[#This Row],[START UNIT]],UnitMap[],2,FALSE)</f>
        <v>1</v>
      </c>
      <c r="S17" s="10" cm="1">
        <f t="array" ref="S1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" s="10">
        <f>IF(ISNUMBER(MCC_Table6[[#This Row],[SIZE]]), MCC_Table6[[#This Row],[SIZE]]/6, 0)</f>
        <v>4</v>
      </c>
      <c r="U17" s="10">
        <f>MCC_Table6[[#This Row],[START INDEX]]+MCC_Table6[[#This Row],[UNITS USED]]-1</f>
        <v>4</v>
      </c>
      <c r="V17" s="111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</row>
    <row r="18" spans="1:52" x14ac:dyDescent="0.3">
      <c r="A18" s="67" t="s">
        <v>889</v>
      </c>
      <c r="B18" s="10" t="s">
        <v>919</v>
      </c>
      <c r="C18" s="39" t="s">
        <v>53</v>
      </c>
      <c r="D18" s="135" t="s">
        <v>920</v>
      </c>
      <c r="E18" s="51" t="s">
        <v>904</v>
      </c>
      <c r="F18" s="87">
        <f>IF(ISNUMBER(MCC_Table6[[#This Row],[SIZE]]), MCC_Table6[[#This Row],[SIZE]]/12, 0)</f>
        <v>2</v>
      </c>
      <c r="G18" s="10"/>
      <c r="H18" s="10">
        <v>2</v>
      </c>
      <c r="I18" s="10">
        <v>3.4</v>
      </c>
      <c r="J18" s="10"/>
      <c r="K18" s="54">
        <v>15</v>
      </c>
      <c r="L18" s="54">
        <v>125</v>
      </c>
      <c r="M18" s="54">
        <v>6</v>
      </c>
      <c r="N18" s="54"/>
      <c r="O18" s="53"/>
      <c r="P18" s="10">
        <f>_xlfn.NUMBERVALUE(LEFT(MCC_Table6[[#This Row],[BUCKET]],LEN(MCC_Table6[[#This Row],[BUCKET]])-1))</f>
        <v>7</v>
      </c>
      <c r="Q18" s="10" t="str">
        <f>RIGHT(MCC_Table6[[#This Row],[BUCKET]],1)</f>
        <v>E</v>
      </c>
      <c r="R18" s="10">
        <f>VLOOKUP(MCC_Table6[[#This Row],[START UNIT]],UnitMap[],2,FALSE)</f>
        <v>5</v>
      </c>
      <c r="S18" s="10" cm="1">
        <f t="array" ref="S1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8" s="10">
        <f>IF(ISNUMBER(MCC_Table6[[#This Row],[SIZE]]), MCC_Table6[[#This Row],[SIZE]]/6, 0)</f>
        <v>4</v>
      </c>
      <c r="U18" s="10">
        <f>MCC_Table6[[#This Row],[START INDEX]]+MCC_Table6[[#This Row],[UNITS USED]]-1</f>
        <v>8</v>
      </c>
      <c r="V18" s="111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</row>
    <row r="19" spans="1:52" x14ac:dyDescent="0.3">
      <c r="A19" s="67" t="s">
        <v>889</v>
      </c>
      <c r="B19" s="10" t="s">
        <v>921</v>
      </c>
      <c r="C19" s="39" t="s">
        <v>922</v>
      </c>
      <c r="D19" s="135" t="s">
        <v>923</v>
      </c>
      <c r="E19" s="51" t="s">
        <v>904</v>
      </c>
      <c r="F19" s="87">
        <f>IF(ISNUMBER(MCC_Table6[[#This Row],[SIZE]]), MCC_Table6[[#This Row],[SIZE]]/12, 0)</f>
        <v>2</v>
      </c>
      <c r="G19" s="10">
        <v>1</v>
      </c>
      <c r="H19" s="10">
        <v>2</v>
      </c>
      <c r="I19" s="10">
        <v>3.4</v>
      </c>
      <c r="J19" s="10"/>
      <c r="K19" s="54">
        <v>15</v>
      </c>
      <c r="L19" s="54">
        <v>125</v>
      </c>
      <c r="M19" s="54">
        <v>6</v>
      </c>
      <c r="N19" s="54" t="s">
        <v>911</v>
      </c>
      <c r="O19" s="53"/>
      <c r="P19" s="10">
        <f>_xlfn.NUMBERVALUE(LEFT(MCC_Table6[[#This Row],[BUCKET]],LEN(MCC_Table6[[#This Row],[BUCKET]])-1))</f>
        <v>7</v>
      </c>
      <c r="Q19" s="10" t="str">
        <f>RIGHT(MCC_Table6[[#This Row],[BUCKET]],1)</f>
        <v>J</v>
      </c>
      <c r="R19" s="10">
        <f>VLOOKUP(MCC_Table6[[#This Row],[START UNIT]],UnitMap[],2,FALSE)</f>
        <v>9</v>
      </c>
      <c r="S19" s="10" cm="1">
        <f t="array" ref="S1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9" s="10">
        <f>IF(ISNUMBER(MCC_Table6[[#This Row],[SIZE]]), MCC_Table6[[#This Row],[SIZE]]/6, 0)</f>
        <v>4</v>
      </c>
      <c r="U19" s="10">
        <f>MCC_Table6[[#This Row],[START INDEX]]+MCC_Table6[[#This Row],[UNITS USED]]-1</f>
        <v>12</v>
      </c>
      <c r="V19" s="111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</row>
    <row r="20" spans="1:52" x14ac:dyDescent="0.3">
      <c r="A20" s="67" t="s">
        <v>889</v>
      </c>
      <c r="B20" s="10" t="s">
        <v>534</v>
      </c>
      <c r="C20" s="39" t="s">
        <v>924</v>
      </c>
      <c r="D20" s="135" t="s">
        <v>925</v>
      </c>
      <c r="E20" s="51" t="s">
        <v>904</v>
      </c>
      <c r="F20" s="87">
        <f>IF(ISNUMBER(MCC_Table6[[#This Row],[SIZE]]), MCC_Table6[[#This Row],[SIZE]]/12, 0)</f>
        <v>2.5</v>
      </c>
      <c r="G20" s="10">
        <v>10</v>
      </c>
      <c r="H20" s="10">
        <v>10</v>
      </c>
      <c r="I20" s="10">
        <v>14</v>
      </c>
      <c r="J20" s="10"/>
      <c r="K20" s="54">
        <v>30</v>
      </c>
      <c r="L20" s="54">
        <v>125</v>
      </c>
      <c r="M20" s="54">
        <v>25</v>
      </c>
      <c r="N20" s="54" t="s">
        <v>911</v>
      </c>
      <c r="O20" s="53"/>
      <c r="P20" s="10">
        <f>_xlfn.NUMBERVALUE(LEFT(MCC_Table6[[#This Row],[BUCKET]],LEN(MCC_Table6[[#This Row],[BUCKET]])-1))</f>
        <v>8</v>
      </c>
      <c r="Q20" s="10" t="str">
        <f>RIGHT(MCC_Table6[[#This Row],[BUCKET]],1)</f>
        <v>A</v>
      </c>
      <c r="R20" s="10">
        <f>VLOOKUP(MCC_Table6[[#This Row],[START UNIT]],UnitMap[],2,FALSE)</f>
        <v>1</v>
      </c>
      <c r="S20" s="10" cm="1">
        <f t="array" ref="S2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0" s="10">
        <f>IF(ISNUMBER(MCC_Table6[[#This Row],[SIZE]]), MCC_Table6[[#This Row],[SIZE]]/6, 0)</f>
        <v>5</v>
      </c>
      <c r="U20" s="10">
        <f>MCC_Table6[[#This Row],[START INDEX]]+MCC_Table6[[#This Row],[UNITS USED]]-1</f>
        <v>5</v>
      </c>
      <c r="V20" s="111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</row>
    <row r="21" spans="1:52" x14ac:dyDescent="0.3">
      <c r="A21" s="67" t="s">
        <v>889</v>
      </c>
      <c r="B21" s="51" t="s">
        <v>537</v>
      </c>
      <c r="C21" s="39" t="s">
        <v>462</v>
      </c>
      <c r="D21" s="136" t="s">
        <v>496</v>
      </c>
      <c r="E21" s="39" t="s">
        <v>462</v>
      </c>
      <c r="F21" s="86">
        <f>IF(ISNUMBER(MCC_Table6[[#This Row],[SIZE]]), MCC_Table6[[#This Row],[SIZE]]/12, 0)</f>
        <v>1</v>
      </c>
      <c r="G21" s="10"/>
      <c r="H21" s="10"/>
      <c r="I21" s="10"/>
      <c r="J21" s="10"/>
      <c r="K21" s="54"/>
      <c r="L21" s="54"/>
      <c r="M21" s="54"/>
      <c r="N21" s="54"/>
      <c r="O21" s="53"/>
      <c r="P21" s="51">
        <f>_xlfn.NUMBERVALUE(LEFT(MCC_Table6[[#This Row],[BUCKET]],LEN(MCC_Table6[[#This Row],[BUCKET]])-1))</f>
        <v>8</v>
      </c>
      <c r="Q21" s="51" t="str">
        <f>RIGHT(MCC_Table6[[#This Row],[BUCKET]],1)</f>
        <v>F</v>
      </c>
      <c r="R21" s="51">
        <f>VLOOKUP(MCC_Table6[[#This Row],[START UNIT]],UnitMap[],2,FALSE)</f>
        <v>6</v>
      </c>
      <c r="S21" s="51" cm="1">
        <f t="array" ref="S2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1" s="51">
        <f>IF(ISNUMBER(MCC_Table6[[#This Row],[SIZE]]), MCC_Table6[[#This Row],[SIZE]]/6, 0)</f>
        <v>2</v>
      </c>
      <c r="U21" s="51">
        <f>MCC_Table6[[#This Row],[START INDEX]]+MCC_Table6[[#This Row],[UNITS USED]]-1</f>
        <v>7</v>
      </c>
      <c r="V21" s="111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</row>
    <row r="22" spans="1:52" x14ac:dyDescent="0.3">
      <c r="A22" s="67" t="s">
        <v>889</v>
      </c>
      <c r="B22" s="10" t="s">
        <v>926</v>
      </c>
      <c r="C22" s="39" t="s">
        <v>927</v>
      </c>
      <c r="D22" s="135" t="s">
        <v>928</v>
      </c>
      <c r="E22" s="51" t="s">
        <v>904</v>
      </c>
      <c r="F22" s="87">
        <f>IF(ISNUMBER(MCC_Table6[[#This Row],[SIZE]]), MCC_Table6[[#This Row],[SIZE]]/12, 0)</f>
        <v>2.5</v>
      </c>
      <c r="G22" s="10">
        <v>10</v>
      </c>
      <c r="H22" s="10">
        <v>10</v>
      </c>
      <c r="I22" s="10">
        <v>14</v>
      </c>
      <c r="J22" s="10"/>
      <c r="K22" s="54">
        <v>30</v>
      </c>
      <c r="L22" s="54">
        <v>125</v>
      </c>
      <c r="M22" s="54">
        <v>25</v>
      </c>
      <c r="N22" s="54" t="s">
        <v>911</v>
      </c>
      <c r="O22" s="53"/>
      <c r="P22" s="10">
        <f>_xlfn.NUMBERVALUE(LEFT(MCC_Table6[[#This Row],[BUCKET]],LEN(MCC_Table6[[#This Row],[BUCKET]])-1))</f>
        <v>8</v>
      </c>
      <c r="Q22" s="10" t="str">
        <f>RIGHT(MCC_Table6[[#This Row],[BUCKET]],1)</f>
        <v>H</v>
      </c>
      <c r="R22" s="10">
        <f>VLOOKUP(MCC_Table6[[#This Row],[START UNIT]],UnitMap[],2,FALSE)</f>
        <v>8</v>
      </c>
      <c r="S22" s="10" cm="1">
        <f t="array" ref="S2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2" s="10">
        <f>IF(ISNUMBER(MCC_Table6[[#This Row],[SIZE]]), MCC_Table6[[#This Row],[SIZE]]/6, 0)</f>
        <v>5</v>
      </c>
      <c r="U22" s="10">
        <f>MCC_Table6[[#This Row],[START INDEX]]+MCC_Table6[[#This Row],[UNITS USED]]-1</f>
        <v>12</v>
      </c>
      <c r="V22" s="111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</row>
    <row r="23" spans="1:52" x14ac:dyDescent="0.3">
      <c r="A23" s="67" t="s">
        <v>889</v>
      </c>
      <c r="B23" s="10" t="s">
        <v>541</v>
      </c>
      <c r="C23" s="39" t="s">
        <v>929</v>
      </c>
      <c r="D23" s="135" t="s">
        <v>930</v>
      </c>
      <c r="E23" s="51" t="s">
        <v>904</v>
      </c>
      <c r="F23" s="87">
        <f>IF(ISNUMBER(MCC_Table6[[#This Row],[SIZE]]), MCC_Table6[[#This Row],[SIZE]]/12, 0)</f>
        <v>2.5</v>
      </c>
      <c r="G23" s="10">
        <v>10</v>
      </c>
      <c r="H23" s="10">
        <v>10</v>
      </c>
      <c r="I23" s="10">
        <v>14</v>
      </c>
      <c r="J23" s="10"/>
      <c r="K23" s="54">
        <v>30</v>
      </c>
      <c r="L23" s="54">
        <v>125</v>
      </c>
      <c r="M23" s="54">
        <v>25</v>
      </c>
      <c r="N23" s="54" t="s">
        <v>911</v>
      </c>
      <c r="O23" s="53"/>
      <c r="P23" s="10">
        <f>_xlfn.NUMBERVALUE(LEFT(MCC_Table6[[#This Row],[BUCKET]],LEN(MCC_Table6[[#This Row],[BUCKET]])-1))</f>
        <v>9</v>
      </c>
      <c r="Q23" s="10" t="str">
        <f>RIGHT(MCC_Table6[[#This Row],[BUCKET]],1)</f>
        <v>A</v>
      </c>
      <c r="R23" s="10">
        <f>VLOOKUP(MCC_Table6[[#This Row],[START UNIT]],UnitMap[],2,FALSE)</f>
        <v>1</v>
      </c>
      <c r="S23" s="10" cm="1">
        <f t="array" ref="S2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3" s="10">
        <f>IF(ISNUMBER(MCC_Table6[[#This Row],[SIZE]]), MCC_Table6[[#This Row],[SIZE]]/6, 0)</f>
        <v>5</v>
      </c>
      <c r="U23" s="10">
        <f>MCC_Table6[[#This Row],[START INDEX]]+MCC_Table6[[#This Row],[UNITS USED]]-1</f>
        <v>5</v>
      </c>
      <c r="V23" s="111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</row>
    <row r="24" spans="1:52" x14ac:dyDescent="0.3">
      <c r="A24" s="67" t="s">
        <v>889</v>
      </c>
      <c r="B24" s="51" t="s">
        <v>931</v>
      </c>
      <c r="C24" s="39" t="s">
        <v>462</v>
      </c>
      <c r="D24" s="136" t="s">
        <v>496</v>
      </c>
      <c r="E24" s="39" t="s">
        <v>462</v>
      </c>
      <c r="F24" s="86">
        <f>IF(ISNUMBER(MCC_Table6[[#This Row],[SIZE]]), MCC_Table6[[#This Row],[SIZE]]/12, 0)</f>
        <v>1</v>
      </c>
      <c r="G24" s="10"/>
      <c r="H24" s="10"/>
      <c r="I24" s="10"/>
      <c r="J24" s="10"/>
      <c r="K24" s="54"/>
      <c r="L24" s="54"/>
      <c r="M24" s="54"/>
      <c r="N24" s="54"/>
      <c r="O24" s="53"/>
      <c r="P24" s="51">
        <f>_xlfn.NUMBERVALUE(LEFT(MCC_Table6[[#This Row],[BUCKET]],LEN(MCC_Table6[[#This Row],[BUCKET]])-1))</f>
        <v>9</v>
      </c>
      <c r="Q24" s="51" t="str">
        <f>RIGHT(MCC_Table6[[#This Row],[BUCKET]],1)</f>
        <v>F</v>
      </c>
      <c r="R24" s="51">
        <f>VLOOKUP(MCC_Table6[[#This Row],[START UNIT]],UnitMap[],2,FALSE)</f>
        <v>6</v>
      </c>
      <c r="S24" s="51" cm="1">
        <f t="array" ref="S2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4" s="51">
        <f>IF(ISNUMBER(MCC_Table6[[#This Row],[SIZE]]), MCC_Table6[[#This Row],[SIZE]]/6, 0)</f>
        <v>2</v>
      </c>
      <c r="U24" s="51">
        <f>MCC_Table6[[#This Row],[START INDEX]]+MCC_Table6[[#This Row],[UNITS USED]]-1</f>
        <v>7</v>
      </c>
      <c r="V24" s="111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</row>
    <row r="25" spans="1:52" x14ac:dyDescent="0.3">
      <c r="A25" s="67" t="s">
        <v>889</v>
      </c>
      <c r="B25" s="10" t="s">
        <v>932</v>
      </c>
      <c r="C25" s="39" t="s">
        <v>933</v>
      </c>
      <c r="D25" s="135" t="s">
        <v>934</v>
      </c>
      <c r="E25" s="51" t="s">
        <v>904</v>
      </c>
      <c r="F25" s="87">
        <f>IF(ISNUMBER(MCC_Table6[[#This Row],[SIZE]]), MCC_Table6[[#This Row],[SIZE]]/12, 0)</f>
        <v>2.5</v>
      </c>
      <c r="G25" s="10">
        <v>10</v>
      </c>
      <c r="H25" s="10">
        <v>10</v>
      </c>
      <c r="I25" s="10">
        <v>14</v>
      </c>
      <c r="J25" s="10"/>
      <c r="K25" s="54">
        <v>30</v>
      </c>
      <c r="L25" s="54">
        <v>125</v>
      </c>
      <c r="M25" s="54">
        <v>25</v>
      </c>
      <c r="N25" s="54" t="s">
        <v>911</v>
      </c>
      <c r="O25" s="53"/>
      <c r="P25" s="10">
        <f>_xlfn.NUMBERVALUE(LEFT(MCC_Table6[[#This Row],[BUCKET]],LEN(MCC_Table6[[#This Row],[BUCKET]])-1))</f>
        <v>9</v>
      </c>
      <c r="Q25" s="10" t="str">
        <f>RIGHT(MCC_Table6[[#This Row],[BUCKET]],1)</f>
        <v>H</v>
      </c>
      <c r="R25" s="10">
        <f>VLOOKUP(MCC_Table6[[#This Row],[START UNIT]],UnitMap[],2,FALSE)</f>
        <v>8</v>
      </c>
      <c r="S25" s="10" cm="1">
        <f t="array" ref="S2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5" s="10">
        <f>IF(ISNUMBER(MCC_Table6[[#This Row],[SIZE]]), MCC_Table6[[#This Row],[SIZE]]/6, 0)</f>
        <v>5</v>
      </c>
      <c r="U25" s="10">
        <f>MCC_Table6[[#This Row],[START INDEX]]+MCC_Table6[[#This Row],[UNITS USED]]-1</f>
        <v>12</v>
      </c>
      <c r="V25" s="111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</row>
    <row r="26" spans="1:52" x14ac:dyDescent="0.3">
      <c r="A26" s="67" t="s">
        <v>889</v>
      </c>
      <c r="B26" s="10" t="s">
        <v>550</v>
      </c>
      <c r="C26" s="39" t="s">
        <v>935</v>
      </c>
      <c r="D26" s="135" t="s">
        <v>936</v>
      </c>
      <c r="E26" s="51" t="s">
        <v>904</v>
      </c>
      <c r="F26" s="87">
        <f>IF(ISNUMBER(MCC_Table6[[#This Row],[SIZE]]), MCC_Table6[[#This Row],[SIZE]]/12, 0)</f>
        <v>2.5</v>
      </c>
      <c r="G26" s="10">
        <v>10</v>
      </c>
      <c r="H26" s="10">
        <v>10</v>
      </c>
      <c r="I26" s="10">
        <v>14</v>
      </c>
      <c r="J26" s="10"/>
      <c r="K26" s="54">
        <v>30</v>
      </c>
      <c r="L26" s="54">
        <v>125</v>
      </c>
      <c r="M26" s="54">
        <v>25</v>
      </c>
      <c r="N26" s="54" t="s">
        <v>911</v>
      </c>
      <c r="O26" s="53"/>
      <c r="P26" s="10">
        <f>_xlfn.NUMBERVALUE(LEFT(MCC_Table6[[#This Row],[BUCKET]],LEN(MCC_Table6[[#This Row],[BUCKET]])-1))</f>
        <v>10</v>
      </c>
      <c r="Q26" s="10" t="str">
        <f>RIGHT(MCC_Table6[[#This Row],[BUCKET]],1)</f>
        <v>A</v>
      </c>
      <c r="R26" s="10">
        <f>VLOOKUP(MCC_Table6[[#This Row],[START UNIT]],UnitMap[],2,FALSE)</f>
        <v>1</v>
      </c>
      <c r="S26" s="10" cm="1">
        <f t="array" ref="S2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6" s="10">
        <f>IF(ISNUMBER(MCC_Table6[[#This Row],[SIZE]]), MCC_Table6[[#This Row],[SIZE]]/6, 0)</f>
        <v>5</v>
      </c>
      <c r="U26" s="10">
        <f>MCC_Table6[[#This Row],[START INDEX]]+MCC_Table6[[#This Row],[UNITS USED]]-1</f>
        <v>5</v>
      </c>
      <c r="V26" s="111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</row>
    <row r="27" spans="1:52" x14ac:dyDescent="0.3">
      <c r="A27" s="67" t="s">
        <v>889</v>
      </c>
      <c r="B27" s="51" t="s">
        <v>937</v>
      </c>
      <c r="C27" s="39" t="s">
        <v>462</v>
      </c>
      <c r="D27" s="136" t="s">
        <v>496</v>
      </c>
      <c r="E27" s="39" t="s">
        <v>462</v>
      </c>
      <c r="F27" s="86">
        <f>IF(ISNUMBER(MCC_Table6[[#This Row],[SIZE]]), MCC_Table6[[#This Row],[SIZE]]/12, 0)</f>
        <v>1</v>
      </c>
      <c r="G27" s="10"/>
      <c r="H27" s="10"/>
      <c r="I27" s="10"/>
      <c r="J27" s="10"/>
      <c r="K27" s="54"/>
      <c r="L27" s="54"/>
      <c r="M27" s="54"/>
      <c r="N27" s="54"/>
      <c r="O27" s="53"/>
      <c r="P27" s="51">
        <f>_xlfn.NUMBERVALUE(LEFT(MCC_Table6[[#This Row],[BUCKET]],LEN(MCC_Table6[[#This Row],[BUCKET]])-1))</f>
        <v>10</v>
      </c>
      <c r="Q27" s="51" t="str">
        <f>RIGHT(MCC_Table6[[#This Row],[BUCKET]],1)</f>
        <v>F</v>
      </c>
      <c r="R27" s="51">
        <f>VLOOKUP(MCC_Table6[[#This Row],[START UNIT]],UnitMap[],2,FALSE)</f>
        <v>6</v>
      </c>
      <c r="S27" s="51" cm="1">
        <f t="array" ref="S2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7" s="51">
        <f>IF(ISNUMBER(MCC_Table6[[#This Row],[SIZE]]), MCC_Table6[[#This Row],[SIZE]]/6, 0)</f>
        <v>2</v>
      </c>
      <c r="U27" s="51">
        <f>MCC_Table6[[#This Row],[START INDEX]]+MCC_Table6[[#This Row],[UNITS USED]]-1</f>
        <v>7</v>
      </c>
      <c r="V27" s="111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</row>
    <row r="28" spans="1:52" x14ac:dyDescent="0.3">
      <c r="A28" s="67" t="s">
        <v>889</v>
      </c>
      <c r="B28" s="10" t="s">
        <v>938</v>
      </c>
      <c r="C28" s="39" t="s">
        <v>939</v>
      </c>
      <c r="D28" s="135" t="s">
        <v>940</v>
      </c>
      <c r="E28" s="51" t="s">
        <v>904</v>
      </c>
      <c r="F28" s="87">
        <f>IF(ISNUMBER(MCC_Table6[[#This Row],[SIZE]]), MCC_Table6[[#This Row],[SIZE]]/12, 0)</f>
        <v>2.5</v>
      </c>
      <c r="G28" s="10">
        <v>10</v>
      </c>
      <c r="H28" s="10">
        <v>10</v>
      </c>
      <c r="I28" s="10">
        <v>14</v>
      </c>
      <c r="J28" s="10"/>
      <c r="K28" s="54">
        <v>30</v>
      </c>
      <c r="L28" s="54">
        <v>125</v>
      </c>
      <c r="M28" s="54">
        <v>25</v>
      </c>
      <c r="N28" s="54" t="s">
        <v>911</v>
      </c>
      <c r="O28" s="53"/>
      <c r="P28" s="10">
        <f>_xlfn.NUMBERVALUE(LEFT(MCC_Table6[[#This Row],[BUCKET]],LEN(MCC_Table6[[#This Row],[BUCKET]])-1))</f>
        <v>10</v>
      </c>
      <c r="Q28" s="10" t="str">
        <f>RIGHT(MCC_Table6[[#This Row],[BUCKET]],1)</f>
        <v>H</v>
      </c>
      <c r="R28" s="10">
        <f>VLOOKUP(MCC_Table6[[#This Row],[START UNIT]],UnitMap[],2,FALSE)</f>
        <v>8</v>
      </c>
      <c r="S28" s="10" cm="1">
        <f t="array" ref="S2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8" s="10">
        <f>IF(ISNUMBER(MCC_Table6[[#This Row],[SIZE]]), MCC_Table6[[#This Row],[SIZE]]/6, 0)</f>
        <v>5</v>
      </c>
      <c r="U28" s="10">
        <f>MCC_Table6[[#This Row],[START INDEX]]+MCC_Table6[[#This Row],[UNITS USED]]-1</f>
        <v>12</v>
      </c>
      <c r="V28" s="111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</row>
    <row r="29" spans="1:52" x14ac:dyDescent="0.3">
      <c r="A29" s="67" t="s">
        <v>889</v>
      </c>
      <c r="B29" s="10" t="s">
        <v>559</v>
      </c>
      <c r="C29" s="39" t="s">
        <v>941</v>
      </c>
      <c r="D29" s="135" t="s">
        <v>942</v>
      </c>
      <c r="E29" s="51" t="s">
        <v>904</v>
      </c>
      <c r="F29" s="87">
        <f>IF(ISNUMBER(MCC_Table6[[#This Row],[SIZE]]), MCC_Table6[[#This Row],[SIZE]]/12, 0)</f>
        <v>2.5</v>
      </c>
      <c r="G29" s="10">
        <v>10</v>
      </c>
      <c r="H29" s="10">
        <v>10</v>
      </c>
      <c r="I29" s="10">
        <v>14</v>
      </c>
      <c r="J29" s="10"/>
      <c r="K29" s="54">
        <v>30</v>
      </c>
      <c r="L29" s="54">
        <v>125</v>
      </c>
      <c r="M29" s="54">
        <v>25</v>
      </c>
      <c r="N29" s="54" t="s">
        <v>911</v>
      </c>
      <c r="O29" s="53"/>
      <c r="P29" s="10">
        <f>_xlfn.NUMBERVALUE(LEFT(MCC_Table6[[#This Row],[BUCKET]],LEN(MCC_Table6[[#This Row],[BUCKET]])-1))</f>
        <v>11</v>
      </c>
      <c r="Q29" s="10" t="str">
        <f>RIGHT(MCC_Table6[[#This Row],[BUCKET]],1)</f>
        <v>A</v>
      </c>
      <c r="R29" s="10">
        <f>VLOOKUP(MCC_Table6[[#This Row],[START UNIT]],UnitMap[],2,FALSE)</f>
        <v>1</v>
      </c>
      <c r="S29" s="10" cm="1">
        <f t="array" ref="S2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9" s="10">
        <f>IF(ISNUMBER(MCC_Table6[[#This Row],[SIZE]]), MCC_Table6[[#This Row],[SIZE]]/6, 0)</f>
        <v>5</v>
      </c>
      <c r="U29" s="10">
        <f>MCC_Table6[[#This Row],[START INDEX]]+MCC_Table6[[#This Row],[UNITS USED]]-1</f>
        <v>5</v>
      </c>
      <c r="V29" s="111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</row>
    <row r="30" spans="1:52" x14ac:dyDescent="0.3">
      <c r="A30" s="67" t="s">
        <v>889</v>
      </c>
      <c r="B30" s="51" t="s">
        <v>943</v>
      </c>
      <c r="C30" s="39" t="s">
        <v>462</v>
      </c>
      <c r="D30" s="136" t="s">
        <v>496</v>
      </c>
      <c r="E30" s="39" t="s">
        <v>462</v>
      </c>
      <c r="F30" s="86">
        <f>IF(ISNUMBER(MCC_Table6[[#This Row],[SIZE]]), MCC_Table6[[#This Row],[SIZE]]/12, 0)</f>
        <v>1</v>
      </c>
      <c r="G30" s="10"/>
      <c r="H30" s="10"/>
      <c r="I30" s="10"/>
      <c r="J30" s="10"/>
      <c r="K30" s="54"/>
      <c r="L30" s="54"/>
      <c r="M30" s="54"/>
      <c r="N30" s="54"/>
      <c r="O30" s="53"/>
      <c r="P30" s="51">
        <f>_xlfn.NUMBERVALUE(LEFT(MCC_Table6[[#This Row],[BUCKET]],LEN(MCC_Table6[[#This Row],[BUCKET]])-1))</f>
        <v>11</v>
      </c>
      <c r="Q30" s="51" t="str">
        <f>RIGHT(MCC_Table6[[#This Row],[BUCKET]],1)</f>
        <v>F</v>
      </c>
      <c r="R30" s="51">
        <f>VLOOKUP(MCC_Table6[[#This Row],[START UNIT]],UnitMap[],2,FALSE)</f>
        <v>6</v>
      </c>
      <c r="S30" s="51" cm="1">
        <f t="array" ref="S3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0" s="51">
        <f>IF(ISNUMBER(MCC_Table6[[#This Row],[SIZE]]), MCC_Table6[[#This Row],[SIZE]]/6, 0)</f>
        <v>2</v>
      </c>
      <c r="U30" s="51">
        <f>MCC_Table6[[#This Row],[START INDEX]]+MCC_Table6[[#This Row],[UNITS USED]]-1</f>
        <v>7</v>
      </c>
      <c r="V30" s="111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</row>
    <row r="31" spans="1:52" x14ac:dyDescent="0.3">
      <c r="A31" s="67" t="s">
        <v>889</v>
      </c>
      <c r="B31" s="10" t="s">
        <v>944</v>
      </c>
      <c r="C31" s="39" t="s">
        <v>945</v>
      </c>
      <c r="D31" s="135" t="s">
        <v>946</v>
      </c>
      <c r="E31" s="51" t="s">
        <v>904</v>
      </c>
      <c r="F31" s="87">
        <f>IF(ISNUMBER(MCC_Table6[[#This Row],[SIZE]]), MCC_Table6[[#This Row],[SIZE]]/12, 0)</f>
        <v>2.5</v>
      </c>
      <c r="G31" s="10">
        <v>10</v>
      </c>
      <c r="H31" s="10">
        <v>10</v>
      </c>
      <c r="I31" s="10">
        <v>14</v>
      </c>
      <c r="J31" s="10"/>
      <c r="K31" s="54">
        <v>30</v>
      </c>
      <c r="L31" s="54">
        <v>125</v>
      </c>
      <c r="M31" s="54">
        <v>25</v>
      </c>
      <c r="N31" s="54" t="s">
        <v>911</v>
      </c>
      <c r="O31" s="53"/>
      <c r="P31" s="10">
        <f>_xlfn.NUMBERVALUE(LEFT(MCC_Table6[[#This Row],[BUCKET]],LEN(MCC_Table6[[#This Row],[BUCKET]])-1))</f>
        <v>11</v>
      </c>
      <c r="Q31" s="10" t="str">
        <f>RIGHT(MCC_Table6[[#This Row],[BUCKET]],1)</f>
        <v>H</v>
      </c>
      <c r="R31" s="10">
        <f>VLOOKUP(MCC_Table6[[#This Row],[START UNIT]],UnitMap[],2,FALSE)</f>
        <v>8</v>
      </c>
      <c r="S31" s="10" cm="1">
        <f t="array" ref="S3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31" s="10">
        <f>IF(ISNUMBER(MCC_Table6[[#This Row],[SIZE]]), MCC_Table6[[#This Row],[SIZE]]/6, 0)</f>
        <v>5</v>
      </c>
      <c r="U31" s="10">
        <f>MCC_Table6[[#This Row],[START INDEX]]+MCC_Table6[[#This Row],[UNITS USED]]-1</f>
        <v>12</v>
      </c>
      <c r="V31" s="111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</row>
    <row r="32" spans="1:52" x14ac:dyDescent="0.3">
      <c r="A32" s="67" t="s">
        <v>889</v>
      </c>
      <c r="B32" s="10" t="s">
        <v>565</v>
      </c>
      <c r="C32" s="39" t="s">
        <v>947</v>
      </c>
      <c r="D32" s="135" t="s">
        <v>948</v>
      </c>
      <c r="E32" s="51" t="s">
        <v>904</v>
      </c>
      <c r="F32" s="87">
        <f>IF(ISNUMBER(MCC_Table6[[#This Row],[SIZE]]), MCC_Table6[[#This Row],[SIZE]]/12, 0)</f>
        <v>2</v>
      </c>
      <c r="G32" s="10">
        <v>1</v>
      </c>
      <c r="H32" s="10">
        <v>2</v>
      </c>
      <c r="I32" s="10">
        <v>3.4</v>
      </c>
      <c r="J32" s="10"/>
      <c r="K32" s="54">
        <v>15</v>
      </c>
      <c r="L32" s="54">
        <v>125</v>
      </c>
      <c r="M32" s="54">
        <v>6</v>
      </c>
      <c r="N32" s="54" t="s">
        <v>911</v>
      </c>
      <c r="O32" s="53"/>
      <c r="P32" s="10">
        <f>_xlfn.NUMBERVALUE(LEFT(MCC_Table6[[#This Row],[BUCKET]],LEN(MCC_Table6[[#This Row],[BUCKET]])-1))</f>
        <v>12</v>
      </c>
      <c r="Q32" s="10" t="str">
        <f>RIGHT(MCC_Table6[[#This Row],[BUCKET]],1)</f>
        <v>A</v>
      </c>
      <c r="R32" s="10">
        <f>VLOOKUP(MCC_Table6[[#This Row],[START UNIT]],UnitMap[],2,FALSE)</f>
        <v>1</v>
      </c>
      <c r="S32" s="10" cm="1">
        <f t="array" ref="S3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2" s="10">
        <f>IF(ISNUMBER(MCC_Table6[[#This Row],[SIZE]]), MCC_Table6[[#This Row],[SIZE]]/6, 0)</f>
        <v>4</v>
      </c>
      <c r="U32" s="10">
        <f>MCC_Table6[[#This Row],[START INDEX]]+MCC_Table6[[#This Row],[UNITS USED]]-1</f>
        <v>4</v>
      </c>
      <c r="V32" s="111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</row>
    <row r="33" spans="1:52" x14ac:dyDescent="0.3">
      <c r="A33" s="67" t="s">
        <v>889</v>
      </c>
      <c r="B33" s="51" t="s">
        <v>949</v>
      </c>
      <c r="C33" s="39" t="s">
        <v>462</v>
      </c>
      <c r="D33" s="136" t="s">
        <v>461</v>
      </c>
      <c r="E33" s="39" t="s">
        <v>462</v>
      </c>
      <c r="F33" s="86">
        <f>IF(ISNUMBER(MCC_Table6[[#This Row],[SIZE]]), MCC_Table6[[#This Row],[SIZE]]/12, 0)</f>
        <v>0.5</v>
      </c>
      <c r="G33" s="10"/>
      <c r="H33" s="10"/>
      <c r="I33" s="10"/>
      <c r="J33" s="10"/>
      <c r="K33" s="54"/>
      <c r="L33" s="54"/>
      <c r="M33" s="54"/>
      <c r="N33" s="54"/>
      <c r="O33" s="53"/>
      <c r="P33" s="51">
        <f>_xlfn.NUMBERVALUE(LEFT(MCC_Table6[[#This Row],[BUCKET]],LEN(MCC_Table6[[#This Row],[BUCKET]])-1))</f>
        <v>12</v>
      </c>
      <c r="Q33" s="51" t="str">
        <f>RIGHT(MCC_Table6[[#This Row],[BUCKET]],1)</f>
        <v>E</v>
      </c>
      <c r="R33" s="51">
        <f>VLOOKUP(MCC_Table6[[#This Row],[START UNIT]],UnitMap[],2,FALSE)</f>
        <v>5</v>
      </c>
      <c r="S33" s="51" cm="1">
        <f t="array" ref="S3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33" s="51">
        <f>IF(ISNUMBER(MCC_Table6[[#This Row],[SIZE]]), MCC_Table6[[#This Row],[SIZE]]/6, 0)</f>
        <v>1</v>
      </c>
      <c r="U33" s="51">
        <f>MCC_Table6[[#This Row],[START INDEX]]+MCC_Table6[[#This Row],[UNITS USED]]-1</f>
        <v>5</v>
      </c>
      <c r="V33" s="111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</row>
    <row r="34" spans="1:52" x14ac:dyDescent="0.3">
      <c r="A34" s="67" t="s">
        <v>889</v>
      </c>
      <c r="B34" s="10" t="s">
        <v>566</v>
      </c>
      <c r="C34" s="39" t="s">
        <v>950</v>
      </c>
      <c r="D34" s="135" t="s">
        <v>951</v>
      </c>
      <c r="E34" s="51" t="s">
        <v>904</v>
      </c>
      <c r="F34" s="87">
        <f>IF(ISNUMBER(MCC_Table6[[#This Row],[SIZE]]), MCC_Table6[[#This Row],[SIZE]]/12, 0)</f>
        <v>3.5</v>
      </c>
      <c r="G34" s="10">
        <v>25</v>
      </c>
      <c r="H34" s="10">
        <v>25</v>
      </c>
      <c r="I34" s="10">
        <v>34</v>
      </c>
      <c r="J34" s="10"/>
      <c r="K34" s="54">
        <v>60</v>
      </c>
      <c r="L34" s="54">
        <v>125</v>
      </c>
      <c r="M34" s="54">
        <v>60</v>
      </c>
      <c r="N34" s="54" t="s">
        <v>952</v>
      </c>
      <c r="O34" s="53"/>
      <c r="P34" s="10">
        <f>_xlfn.NUMBERVALUE(LEFT(MCC_Table6[[#This Row],[BUCKET]],LEN(MCC_Table6[[#This Row],[BUCKET]])-1))</f>
        <v>12</v>
      </c>
      <c r="Q34" s="10" t="str">
        <f>RIGHT(MCC_Table6[[#This Row],[BUCKET]],1)</f>
        <v>F</v>
      </c>
      <c r="R34" s="10">
        <f>VLOOKUP(MCC_Table6[[#This Row],[START UNIT]],UnitMap[],2,FALSE)</f>
        <v>6</v>
      </c>
      <c r="S34" s="10" cm="1">
        <f t="array" ref="S3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4" s="10">
        <f>IF(ISNUMBER(MCC_Table6[[#This Row],[SIZE]]), MCC_Table6[[#This Row],[SIZE]]/6, 0)</f>
        <v>7</v>
      </c>
      <c r="U34" s="10">
        <f>MCC_Table6[[#This Row],[START INDEX]]+MCC_Table6[[#This Row],[UNITS USED]]-1</f>
        <v>12</v>
      </c>
      <c r="V34" s="111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</row>
    <row r="35" spans="1:52" x14ac:dyDescent="0.3">
      <c r="A35" s="67" t="s">
        <v>889</v>
      </c>
      <c r="B35" s="10" t="s">
        <v>953</v>
      </c>
      <c r="C35" s="39" t="s">
        <v>205</v>
      </c>
      <c r="D35" s="135" t="s">
        <v>954</v>
      </c>
      <c r="E35" s="51" t="s">
        <v>892</v>
      </c>
      <c r="F35" s="87">
        <f>IF(ISNUMBER(MCC_Table6[[#This Row],[SIZE]]), MCC_Table6[[#This Row],[SIZE]]/12, 0)</f>
        <v>1</v>
      </c>
      <c r="G35" s="10">
        <v>1.5</v>
      </c>
      <c r="H35" s="10">
        <v>1.5</v>
      </c>
      <c r="I35" s="10"/>
      <c r="J35" s="10">
        <v>1</v>
      </c>
      <c r="K35" s="54">
        <v>7</v>
      </c>
      <c r="L35" s="54">
        <v>125</v>
      </c>
      <c r="M35" s="54" t="s">
        <v>303</v>
      </c>
      <c r="N35" s="54" t="s">
        <v>955</v>
      </c>
      <c r="O35" s="53"/>
      <c r="P35" s="10">
        <f>_xlfn.NUMBERVALUE(LEFT(MCC_Table6[[#This Row],[BUCKET]],LEN(MCC_Table6[[#This Row],[BUCKET]])-1))</f>
        <v>13</v>
      </c>
      <c r="Q35" s="10" t="str">
        <f>RIGHT(MCC_Table6[[#This Row],[BUCKET]],1)</f>
        <v>A</v>
      </c>
      <c r="R35" s="10">
        <f>VLOOKUP(MCC_Table6[[#This Row],[START UNIT]],UnitMap[],2,FALSE)</f>
        <v>1</v>
      </c>
      <c r="S35" s="10" cm="1">
        <f t="array" ref="S3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5" s="10">
        <f>IF(ISNUMBER(MCC_Table6[[#This Row],[SIZE]]), MCC_Table6[[#This Row],[SIZE]]/6, 0)</f>
        <v>2</v>
      </c>
      <c r="U35" s="10">
        <f>MCC_Table6[[#This Row],[START INDEX]]+MCC_Table6[[#This Row],[UNITS USED]]-1</f>
        <v>2</v>
      </c>
      <c r="V35" s="111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</row>
    <row r="36" spans="1:52" x14ac:dyDescent="0.3">
      <c r="A36" s="67" t="s">
        <v>889</v>
      </c>
      <c r="B36" s="10" t="s">
        <v>956</v>
      </c>
      <c r="C36" s="39" t="s">
        <v>957</v>
      </c>
      <c r="D36" s="135" t="s">
        <v>958</v>
      </c>
      <c r="E36" s="51" t="s">
        <v>904</v>
      </c>
      <c r="F36" s="87">
        <f>IF(ISNUMBER(MCC_Table6[[#This Row],[SIZE]]), MCC_Table6[[#This Row],[SIZE]]/12, 0)</f>
        <v>2.5</v>
      </c>
      <c r="G36" s="10">
        <v>10</v>
      </c>
      <c r="H36" s="10">
        <v>10</v>
      </c>
      <c r="I36" s="10">
        <v>14</v>
      </c>
      <c r="J36" s="10"/>
      <c r="K36" s="54">
        <v>30</v>
      </c>
      <c r="L36" s="54">
        <v>125</v>
      </c>
      <c r="M36" s="54">
        <v>25</v>
      </c>
      <c r="N36" s="54" t="s">
        <v>911</v>
      </c>
      <c r="O36" s="53"/>
      <c r="P36" s="10">
        <f>_xlfn.NUMBERVALUE(LEFT(MCC_Table6[[#This Row],[BUCKET]],LEN(MCC_Table6[[#This Row],[BUCKET]])-1))</f>
        <v>13</v>
      </c>
      <c r="Q36" s="10" t="str">
        <f>RIGHT(MCC_Table6[[#This Row],[BUCKET]],1)</f>
        <v>C</v>
      </c>
      <c r="R36" s="10">
        <f>VLOOKUP(MCC_Table6[[#This Row],[START UNIT]],UnitMap[],2,FALSE)</f>
        <v>3</v>
      </c>
      <c r="S36" s="10" cm="1">
        <f t="array" ref="S3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36" s="10">
        <f>IF(ISNUMBER(MCC_Table6[[#This Row],[SIZE]]), MCC_Table6[[#This Row],[SIZE]]/6, 0)</f>
        <v>5</v>
      </c>
      <c r="U36" s="10">
        <f>MCC_Table6[[#This Row],[START INDEX]]+MCC_Table6[[#This Row],[UNITS USED]]-1</f>
        <v>7</v>
      </c>
      <c r="V36" s="111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</row>
    <row r="37" spans="1:52" x14ac:dyDescent="0.3">
      <c r="A37" s="67" t="s">
        <v>889</v>
      </c>
      <c r="B37" s="51" t="s">
        <v>959</v>
      </c>
      <c r="C37" s="39" t="s">
        <v>462</v>
      </c>
      <c r="D37" s="136" t="s">
        <v>461</v>
      </c>
      <c r="E37" s="39" t="s">
        <v>462</v>
      </c>
      <c r="F37" s="86">
        <f>IF(ISNUMBER(MCC_Table6[[#This Row],[SIZE]]), MCC_Table6[[#This Row],[SIZE]]/12, 0)</f>
        <v>0.5</v>
      </c>
      <c r="G37" s="10"/>
      <c r="H37" s="10"/>
      <c r="I37" s="10"/>
      <c r="J37" s="10"/>
      <c r="K37" s="54"/>
      <c r="L37" s="54"/>
      <c r="M37" s="54"/>
      <c r="N37" s="54"/>
      <c r="O37" s="53"/>
      <c r="P37" s="51">
        <f>_xlfn.NUMBERVALUE(LEFT(MCC_Table6[[#This Row],[BUCKET]],LEN(MCC_Table6[[#This Row],[BUCKET]])-1))</f>
        <v>13</v>
      </c>
      <c r="Q37" s="51" t="str">
        <f>RIGHT(MCC_Table6[[#This Row],[BUCKET]],1)</f>
        <v>H</v>
      </c>
      <c r="R37" s="51">
        <f>VLOOKUP(MCC_Table6[[#This Row],[START UNIT]],UnitMap[],2,FALSE)</f>
        <v>8</v>
      </c>
      <c r="S37" s="51" cm="1">
        <f t="array" ref="S3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37" s="51">
        <f>IF(ISNUMBER(MCC_Table6[[#This Row],[SIZE]]), MCC_Table6[[#This Row],[SIZE]]/6, 0)</f>
        <v>1</v>
      </c>
      <c r="U37" s="51">
        <f>MCC_Table6[[#This Row],[START INDEX]]+MCC_Table6[[#This Row],[UNITS USED]]-1</f>
        <v>8</v>
      </c>
      <c r="V37" s="111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</row>
    <row r="38" spans="1:52" x14ac:dyDescent="0.3">
      <c r="A38" s="67" t="s">
        <v>889</v>
      </c>
      <c r="B38" s="10" t="s">
        <v>960</v>
      </c>
      <c r="C38" s="39" t="s">
        <v>961</v>
      </c>
      <c r="D38" s="135" t="s">
        <v>962</v>
      </c>
      <c r="E38" s="51" t="s">
        <v>904</v>
      </c>
      <c r="F38" s="87">
        <f>IF(ISNUMBER(MCC_Table6[[#This Row],[SIZE]]), MCC_Table6[[#This Row],[SIZE]]/12, 0)</f>
        <v>2</v>
      </c>
      <c r="G38" s="10">
        <v>0.75</v>
      </c>
      <c r="H38" s="10">
        <v>1</v>
      </c>
      <c r="I38" s="54">
        <v>2.1</v>
      </c>
      <c r="J38" s="10"/>
      <c r="K38" s="54">
        <v>15</v>
      </c>
      <c r="L38" s="54">
        <v>125</v>
      </c>
      <c r="M38" s="54">
        <v>3</v>
      </c>
      <c r="N38" s="54" t="s">
        <v>911</v>
      </c>
      <c r="O38" s="53"/>
      <c r="P38" s="10">
        <f>_xlfn.NUMBERVALUE(LEFT(MCC_Table6[[#This Row],[BUCKET]],LEN(MCC_Table6[[#This Row],[BUCKET]])-1))</f>
        <v>13</v>
      </c>
      <c r="Q38" s="10" t="str">
        <f>RIGHT(MCC_Table6[[#This Row],[BUCKET]],1)</f>
        <v>J</v>
      </c>
      <c r="R38" s="10">
        <f>VLOOKUP(MCC_Table6[[#This Row],[START UNIT]],UnitMap[],2,FALSE)</f>
        <v>9</v>
      </c>
      <c r="S38" s="10" cm="1">
        <f t="array" ref="S3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8" s="10">
        <f>IF(ISNUMBER(MCC_Table6[[#This Row],[SIZE]]), MCC_Table6[[#This Row],[SIZE]]/6, 0)</f>
        <v>4</v>
      </c>
      <c r="U38" s="10">
        <f>MCC_Table6[[#This Row],[START INDEX]]+MCC_Table6[[#This Row],[UNITS USED]]-1</f>
        <v>12</v>
      </c>
      <c r="V38" s="111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</row>
    <row r="39" spans="1:52" ht="28.8" x14ac:dyDescent="0.3">
      <c r="A39" s="67" t="s">
        <v>889</v>
      </c>
      <c r="B39" s="51" t="s">
        <v>963</v>
      </c>
      <c r="C39" s="39" t="s">
        <v>964</v>
      </c>
      <c r="D39" s="136" t="s">
        <v>895</v>
      </c>
      <c r="E39" s="39" t="s">
        <v>896</v>
      </c>
      <c r="F39" s="86">
        <f>IF(ISNUMBER(MCC_Table6[[#This Row],[SIZE]]), MCC_Table6[[#This Row],[SIZE]]/12, 0)</f>
        <v>1</v>
      </c>
      <c r="G39" s="10"/>
      <c r="H39" s="10"/>
      <c r="I39" s="10"/>
      <c r="J39" s="10"/>
      <c r="K39" s="54"/>
      <c r="L39" s="54"/>
      <c r="M39" s="54"/>
      <c r="N39" s="54"/>
      <c r="O39" s="53"/>
      <c r="P39" s="51">
        <f>_xlfn.NUMBERVALUE(LEFT(MCC_Table6[[#This Row],[BUCKET]],LEN(MCC_Table6[[#This Row],[BUCKET]])-1))</f>
        <v>14</v>
      </c>
      <c r="Q39" s="51" t="str">
        <f>RIGHT(MCC_Table6[[#This Row],[BUCKET]],1)</f>
        <v>A</v>
      </c>
      <c r="R39" s="51">
        <f>VLOOKUP(MCC_Table6[[#This Row],[START UNIT]],UnitMap[],2,FALSE)</f>
        <v>1</v>
      </c>
      <c r="S39" s="51" cm="1">
        <f t="array" ref="S3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9" s="51">
        <f>IF(ISNUMBER(MCC_Table6[[#This Row],[SIZE]]), MCC_Table6[[#This Row],[SIZE]]/6, 0)</f>
        <v>2</v>
      </c>
      <c r="U39" s="51">
        <f>MCC_Table6[[#This Row],[START INDEX]]+MCC_Table6[[#This Row],[UNITS USED]]-1</f>
        <v>2</v>
      </c>
      <c r="V39" s="111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</row>
    <row r="40" spans="1:52" x14ac:dyDescent="0.3">
      <c r="A40" s="67" t="s">
        <v>889</v>
      </c>
      <c r="B40" s="51" t="s">
        <v>965</v>
      </c>
      <c r="C40" s="39" t="s">
        <v>462</v>
      </c>
      <c r="D40" s="136" t="s">
        <v>496</v>
      </c>
      <c r="E40" s="39" t="s">
        <v>462</v>
      </c>
      <c r="F40" s="86">
        <f>IF(ISNUMBER(MCC_Table6[[#This Row],[SIZE]]), MCC_Table6[[#This Row],[SIZE]]/12, 0)</f>
        <v>1</v>
      </c>
      <c r="G40" s="10"/>
      <c r="H40" s="10"/>
      <c r="I40" s="10"/>
      <c r="J40" s="10"/>
      <c r="K40" s="54"/>
      <c r="L40" s="54"/>
      <c r="M40" s="54"/>
      <c r="N40" s="54"/>
      <c r="O40" s="53"/>
      <c r="P40" s="51">
        <f>_xlfn.NUMBERVALUE(LEFT(MCC_Table6[[#This Row],[BUCKET]],LEN(MCC_Table6[[#This Row],[BUCKET]])-1))</f>
        <v>14</v>
      </c>
      <c r="Q40" s="51" t="str">
        <f>RIGHT(MCC_Table6[[#This Row],[BUCKET]],1)</f>
        <v>C</v>
      </c>
      <c r="R40" s="51">
        <f>VLOOKUP(MCC_Table6[[#This Row],[START UNIT]],UnitMap[],2,FALSE)</f>
        <v>3</v>
      </c>
      <c r="S40" s="51" cm="1">
        <f t="array" ref="S4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40" s="51">
        <f>IF(ISNUMBER(MCC_Table6[[#This Row],[SIZE]]), MCC_Table6[[#This Row],[SIZE]]/6, 0)</f>
        <v>2</v>
      </c>
      <c r="U40" s="51">
        <f>MCC_Table6[[#This Row],[START INDEX]]+MCC_Table6[[#This Row],[UNITS USED]]-1</f>
        <v>4</v>
      </c>
      <c r="V40" s="111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</row>
    <row r="41" spans="1:52" x14ac:dyDescent="0.3">
      <c r="A41" s="67" t="s">
        <v>889</v>
      </c>
      <c r="B41" s="51" t="s">
        <v>966</v>
      </c>
      <c r="C41" s="39" t="s">
        <v>967</v>
      </c>
      <c r="D41" s="137" t="s">
        <v>968</v>
      </c>
      <c r="E41" s="51" t="s">
        <v>904</v>
      </c>
      <c r="F41" s="86">
        <f>IF(ISNUMBER(MCC_Table6[[#This Row],[SIZE]]), MCC_Table6[[#This Row],[SIZE]]/12, 0)</f>
        <v>2</v>
      </c>
      <c r="G41" s="51">
        <v>5</v>
      </c>
      <c r="H41" s="10">
        <v>5</v>
      </c>
      <c r="I41" s="54">
        <v>8</v>
      </c>
      <c r="J41" s="10"/>
      <c r="K41" s="54">
        <v>20</v>
      </c>
      <c r="L41" s="54">
        <v>125</v>
      </c>
      <c r="M41" s="54">
        <v>12</v>
      </c>
      <c r="N41" s="54" t="s">
        <v>911</v>
      </c>
      <c r="O41" s="53"/>
      <c r="P41" s="51">
        <f>_xlfn.NUMBERVALUE(LEFT(MCC_Table6[[#This Row],[BUCKET]],LEN(MCC_Table6[[#This Row],[BUCKET]])-1))</f>
        <v>14</v>
      </c>
      <c r="Q41" s="51" t="str">
        <f>RIGHT(MCC_Table6[[#This Row],[BUCKET]],1)</f>
        <v>E</v>
      </c>
      <c r="R41" s="51">
        <f>VLOOKUP(MCC_Table6[[#This Row],[START UNIT]],UnitMap[],2,FALSE)</f>
        <v>5</v>
      </c>
      <c r="S41" s="51" cm="1">
        <f t="array" ref="S4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41" s="51">
        <f>IF(ISNUMBER(MCC_Table6[[#This Row],[SIZE]]), MCC_Table6[[#This Row],[SIZE]]/6, 0)</f>
        <v>4</v>
      </c>
      <c r="U41" s="51">
        <f>MCC_Table6[[#This Row],[START INDEX]]+MCC_Table6[[#This Row],[UNITS USED]]-1</f>
        <v>8</v>
      </c>
      <c r="V41" s="111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</row>
    <row r="42" spans="1:52" x14ac:dyDescent="0.3">
      <c r="A42" s="67" t="s">
        <v>889</v>
      </c>
      <c r="B42" s="10" t="s">
        <v>969</v>
      </c>
      <c r="C42" s="39" t="s">
        <v>970</v>
      </c>
      <c r="D42" s="137" t="s">
        <v>971</v>
      </c>
      <c r="E42" s="51" t="s">
        <v>904</v>
      </c>
      <c r="F42" s="87">
        <f>IF(ISNUMBER(MCC_Table6[[#This Row],[SIZE]]), MCC_Table6[[#This Row],[SIZE]]/12, 0)</f>
        <v>2</v>
      </c>
      <c r="G42" s="51">
        <v>5</v>
      </c>
      <c r="H42" s="10">
        <v>5</v>
      </c>
      <c r="I42" s="54">
        <v>8</v>
      </c>
      <c r="J42" s="10"/>
      <c r="K42" s="54">
        <v>20</v>
      </c>
      <c r="L42" s="54">
        <v>125</v>
      </c>
      <c r="M42" s="54">
        <v>12</v>
      </c>
      <c r="N42" s="54" t="s">
        <v>911</v>
      </c>
      <c r="O42" s="53"/>
      <c r="P42" s="10">
        <f>_xlfn.NUMBERVALUE(LEFT(MCC_Table6[[#This Row],[BUCKET]],LEN(MCC_Table6[[#This Row],[BUCKET]])-1))</f>
        <v>14</v>
      </c>
      <c r="Q42" s="10" t="str">
        <f>RIGHT(MCC_Table6[[#This Row],[BUCKET]],1)</f>
        <v>J</v>
      </c>
      <c r="R42" s="10">
        <f>VLOOKUP(MCC_Table6[[#This Row],[START UNIT]],UnitMap[],2,FALSE)</f>
        <v>9</v>
      </c>
      <c r="S42" s="10" cm="1">
        <f t="array" ref="S4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42" s="10">
        <f>IF(ISNUMBER(MCC_Table6[[#This Row],[SIZE]]), MCC_Table6[[#This Row],[SIZE]]/6, 0)</f>
        <v>4</v>
      </c>
      <c r="U42" s="10">
        <f>MCC_Table6[[#This Row],[START INDEX]]+MCC_Table6[[#This Row],[UNITS USED]]-1</f>
        <v>12</v>
      </c>
      <c r="V42" s="111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</row>
    <row r="43" spans="1:52" x14ac:dyDescent="0.3">
      <c r="A43" s="67" t="s">
        <v>889</v>
      </c>
      <c r="B43" s="10" t="s">
        <v>972</v>
      </c>
      <c r="C43" s="39" t="s">
        <v>53</v>
      </c>
      <c r="D43" s="135" t="s">
        <v>973</v>
      </c>
      <c r="E43" s="51" t="s">
        <v>904</v>
      </c>
      <c r="F43" s="87">
        <f>IF(ISNUMBER(MCC_Table6[[#This Row],[SIZE]]), MCC_Table6[[#This Row],[SIZE]]/12, 0)</f>
        <v>6</v>
      </c>
      <c r="G43" s="10"/>
      <c r="H43" s="10">
        <v>75</v>
      </c>
      <c r="I43" s="96">
        <v>96</v>
      </c>
      <c r="J43" s="10"/>
      <c r="K43" s="96">
        <v>250</v>
      </c>
      <c r="L43" s="54">
        <v>250</v>
      </c>
      <c r="M43" s="96">
        <v>175</v>
      </c>
      <c r="N43" s="96"/>
      <c r="O43" s="53"/>
      <c r="P43" s="10">
        <f>_xlfn.NUMBERVALUE(LEFT(MCC_Table6[[#This Row],[BUCKET]],LEN(MCC_Table6[[#This Row],[BUCKET]])-1))</f>
        <v>15</v>
      </c>
      <c r="Q43" s="10" t="str">
        <f>RIGHT(MCC_Table6[[#This Row],[BUCKET]],1)</f>
        <v>A</v>
      </c>
      <c r="R43" s="10">
        <f>VLOOKUP(MCC_Table6[[#This Row],[START UNIT]],UnitMap[],2,FALSE)</f>
        <v>1</v>
      </c>
      <c r="S43" s="10" cm="1">
        <f t="array" ref="S4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43" s="10">
        <f>IF(ISNUMBER(MCC_Table6[[#This Row],[SIZE]]), MCC_Table6[[#This Row],[SIZE]]/6, 0)</f>
        <v>12</v>
      </c>
      <c r="U43" s="10">
        <f>MCC_Table6[[#This Row],[START INDEX]]+MCC_Table6[[#This Row],[UNITS USED]]-1</f>
        <v>12</v>
      </c>
      <c r="V43" s="113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</row>
    <row r="44" spans="1:52" x14ac:dyDescent="0.3">
      <c r="A44" s="67" t="s">
        <v>889</v>
      </c>
      <c r="B44" s="51" t="s">
        <v>974</v>
      </c>
      <c r="C44" s="39" t="s">
        <v>462</v>
      </c>
      <c r="D44" s="136" t="s">
        <v>496</v>
      </c>
      <c r="E44" s="39" t="s">
        <v>462</v>
      </c>
      <c r="F44" s="86">
        <f>IF(ISNUMBER(MCC_Table6[[#This Row],[SIZE]]), MCC_Table6[[#This Row],[SIZE]]/12, 0)</f>
        <v>1</v>
      </c>
      <c r="G44" s="10"/>
      <c r="H44" s="10"/>
      <c r="I44" s="10"/>
      <c r="J44" s="10"/>
      <c r="K44" s="96"/>
      <c r="L44" s="54"/>
      <c r="M44" s="96"/>
      <c r="N44" s="96"/>
      <c r="O44" s="53"/>
      <c r="P44" s="51">
        <f>_xlfn.NUMBERVALUE(LEFT(MCC_Table6[[#This Row],[BUCKET]],LEN(MCC_Table6[[#This Row],[BUCKET]])-1))</f>
        <v>16</v>
      </c>
      <c r="Q44" s="51" t="str">
        <f>RIGHT(MCC_Table6[[#This Row],[BUCKET]],1)</f>
        <v>A</v>
      </c>
      <c r="R44" s="51">
        <f>VLOOKUP(MCC_Table6[[#This Row],[START UNIT]],UnitMap[],2,FALSE)</f>
        <v>1</v>
      </c>
      <c r="S44" s="51" cm="1">
        <f t="array" ref="S4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44" s="51">
        <f>IF(ISNUMBER(MCC_Table6[[#This Row],[SIZE]]), MCC_Table6[[#This Row],[SIZE]]/6, 0)</f>
        <v>2</v>
      </c>
      <c r="U44" s="51">
        <f>MCC_Table6[[#This Row],[START INDEX]]+MCC_Table6[[#This Row],[UNITS USED]]-1</f>
        <v>2</v>
      </c>
      <c r="V44" s="113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</row>
    <row r="45" spans="1:52" x14ac:dyDescent="0.3">
      <c r="A45" s="67" t="s">
        <v>889</v>
      </c>
      <c r="B45" s="10" t="s">
        <v>975</v>
      </c>
      <c r="C45" s="39" t="s">
        <v>462</v>
      </c>
      <c r="D45" s="136" t="s">
        <v>496</v>
      </c>
      <c r="E45" s="39" t="s">
        <v>462</v>
      </c>
      <c r="F45" s="87">
        <f>IF(ISNUMBER(MCC_Table6[[#This Row],[SIZE]]), MCC_Table6[[#This Row],[SIZE]]/12, 0)</f>
        <v>1</v>
      </c>
      <c r="G45" s="10"/>
      <c r="H45" s="10"/>
      <c r="I45" s="10"/>
      <c r="J45" s="10"/>
      <c r="K45" s="54"/>
      <c r="L45" s="54"/>
      <c r="M45" s="54"/>
      <c r="N45" s="54"/>
      <c r="O45" s="53"/>
      <c r="P45" s="10">
        <f>_xlfn.NUMBERVALUE(LEFT(MCC_Table6[[#This Row],[BUCKET]],LEN(MCC_Table6[[#This Row],[BUCKET]])-1))</f>
        <v>16</v>
      </c>
      <c r="Q45" s="10" t="str">
        <f>RIGHT(MCC_Table6[[#This Row],[BUCKET]],1)</f>
        <v>C</v>
      </c>
      <c r="R45" s="10">
        <f>VLOOKUP(MCC_Table6[[#This Row],[START UNIT]],UnitMap[],2,FALSE)</f>
        <v>3</v>
      </c>
      <c r="S45" s="10" cm="1">
        <f t="array" ref="S4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45" s="10">
        <f>IF(ISNUMBER(MCC_Table6[[#This Row],[SIZE]]), MCC_Table6[[#This Row],[SIZE]]/6, 0)</f>
        <v>2</v>
      </c>
      <c r="U45" s="10">
        <f>MCC_Table6[[#This Row],[START INDEX]]+MCC_Table6[[#This Row],[UNITS USED]]-1</f>
        <v>4</v>
      </c>
      <c r="V45" s="111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</row>
    <row r="46" spans="1:52" x14ac:dyDescent="0.3">
      <c r="A46" s="67" t="s">
        <v>889</v>
      </c>
      <c r="B46" s="10" t="s">
        <v>976</v>
      </c>
      <c r="C46" s="39" t="s">
        <v>977</v>
      </c>
      <c r="D46" s="137" t="s">
        <v>978</v>
      </c>
      <c r="E46" s="51" t="s">
        <v>904</v>
      </c>
      <c r="F46" s="87">
        <f>IF(ISNUMBER(MCC_Table6[[#This Row],[SIZE]]), MCC_Table6[[#This Row],[SIZE]]/12, 0)</f>
        <v>2</v>
      </c>
      <c r="G46" s="51">
        <v>5</v>
      </c>
      <c r="H46" s="10">
        <v>5</v>
      </c>
      <c r="I46" s="54">
        <v>8</v>
      </c>
      <c r="J46" s="10"/>
      <c r="K46" s="54">
        <v>20</v>
      </c>
      <c r="L46" s="54">
        <v>125</v>
      </c>
      <c r="M46" s="54">
        <v>12</v>
      </c>
      <c r="N46" s="54" t="s">
        <v>911</v>
      </c>
      <c r="O46" s="53"/>
      <c r="P46" s="10">
        <f>_xlfn.NUMBERVALUE(LEFT(MCC_Table6[[#This Row],[BUCKET]],LEN(MCC_Table6[[#This Row],[BUCKET]])-1))</f>
        <v>16</v>
      </c>
      <c r="Q46" s="10" t="str">
        <f>RIGHT(MCC_Table6[[#This Row],[BUCKET]],1)</f>
        <v>E</v>
      </c>
      <c r="R46" s="10">
        <f>VLOOKUP(MCC_Table6[[#This Row],[START UNIT]],UnitMap[],2,FALSE)</f>
        <v>5</v>
      </c>
      <c r="S46" s="10" cm="1">
        <f t="array" ref="S4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46" s="10">
        <f>IF(ISNUMBER(MCC_Table6[[#This Row],[SIZE]]), MCC_Table6[[#This Row],[SIZE]]/6, 0)</f>
        <v>4</v>
      </c>
      <c r="U46" s="10">
        <f>MCC_Table6[[#This Row],[START INDEX]]+MCC_Table6[[#This Row],[UNITS USED]]-1</f>
        <v>8</v>
      </c>
      <c r="V46" s="111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</row>
    <row r="47" spans="1:52" x14ac:dyDescent="0.3">
      <c r="A47" s="67" t="s">
        <v>889</v>
      </c>
      <c r="B47" s="10" t="s">
        <v>979</v>
      </c>
      <c r="C47" s="39" t="s">
        <v>980</v>
      </c>
      <c r="D47" s="137" t="s">
        <v>981</v>
      </c>
      <c r="E47" s="51" t="s">
        <v>904</v>
      </c>
      <c r="F47" s="87">
        <f>IF(ISNUMBER(MCC_Table6[[#This Row],[SIZE]]), MCC_Table6[[#This Row],[SIZE]]/12, 0)</f>
        <v>2</v>
      </c>
      <c r="G47" s="51">
        <v>5</v>
      </c>
      <c r="H47" s="10">
        <v>5</v>
      </c>
      <c r="I47" s="54">
        <v>8</v>
      </c>
      <c r="J47" s="10"/>
      <c r="K47" s="54">
        <v>20</v>
      </c>
      <c r="L47" s="54">
        <v>125</v>
      </c>
      <c r="M47" s="54">
        <v>12</v>
      </c>
      <c r="N47" s="54" t="s">
        <v>911</v>
      </c>
      <c r="O47" s="53"/>
      <c r="P47" s="10">
        <f>_xlfn.NUMBERVALUE(LEFT(MCC_Table6[[#This Row],[BUCKET]],LEN(MCC_Table6[[#This Row],[BUCKET]])-1))</f>
        <v>16</v>
      </c>
      <c r="Q47" s="10" t="str">
        <f>RIGHT(MCC_Table6[[#This Row],[BUCKET]],1)</f>
        <v>J</v>
      </c>
      <c r="R47" s="10">
        <f>VLOOKUP(MCC_Table6[[#This Row],[START UNIT]],UnitMap[],2,FALSE)</f>
        <v>9</v>
      </c>
      <c r="S47" s="10" cm="1">
        <f t="array" ref="S4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47" s="10">
        <f>IF(ISNUMBER(MCC_Table6[[#This Row],[SIZE]]), MCC_Table6[[#This Row],[SIZE]]/6, 0)</f>
        <v>4</v>
      </c>
      <c r="U47" s="10">
        <f>MCC_Table6[[#This Row],[START INDEX]]+MCC_Table6[[#This Row],[UNITS USED]]-1</f>
        <v>12</v>
      </c>
      <c r="V47" s="113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</row>
    <row r="48" spans="1:52" x14ac:dyDescent="0.3">
      <c r="A48" s="67" t="s">
        <v>889</v>
      </c>
      <c r="B48" s="10" t="s">
        <v>982</v>
      </c>
      <c r="C48" s="39" t="s">
        <v>983</v>
      </c>
      <c r="D48" s="135" t="s">
        <v>984</v>
      </c>
      <c r="E48" s="51" t="s">
        <v>904</v>
      </c>
      <c r="F48" s="87">
        <f>IF(ISNUMBER(MCC_Table6[[#This Row],[SIZE]]), MCC_Table6[[#This Row],[SIZE]]/12, 0)</f>
        <v>6</v>
      </c>
      <c r="G48" s="10">
        <v>50</v>
      </c>
      <c r="H48" s="10">
        <v>50</v>
      </c>
      <c r="I48" s="10">
        <v>65</v>
      </c>
      <c r="J48" s="10"/>
      <c r="K48" s="96">
        <v>125</v>
      </c>
      <c r="L48" s="54">
        <v>125</v>
      </c>
      <c r="M48" s="96">
        <v>100</v>
      </c>
      <c r="N48" s="54" t="s">
        <v>985</v>
      </c>
      <c r="O48" s="53"/>
      <c r="P48" s="10">
        <f>_xlfn.NUMBERVALUE(LEFT(MCC_Table6[[#This Row],[BUCKET]],LEN(MCC_Table6[[#This Row],[BUCKET]])-1))</f>
        <v>17</v>
      </c>
      <c r="Q48" s="10" t="str">
        <f>RIGHT(MCC_Table6[[#This Row],[BUCKET]],1)</f>
        <v>A</v>
      </c>
      <c r="R48" s="10">
        <f>VLOOKUP(MCC_Table6[[#This Row],[START UNIT]],UnitMap[],2,FALSE)</f>
        <v>1</v>
      </c>
      <c r="S48" s="10" cm="1">
        <f t="array" ref="S4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48" s="10">
        <f>IF(ISNUMBER(MCC_Table6[[#This Row],[SIZE]]), MCC_Table6[[#This Row],[SIZE]]/6, 0)</f>
        <v>12</v>
      </c>
      <c r="U48" s="10">
        <f>MCC_Table6[[#This Row],[START INDEX]]+MCC_Table6[[#This Row],[UNITS USED]]-1</f>
        <v>12</v>
      </c>
      <c r="V48" s="113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</row>
    <row r="49" spans="1:52" x14ac:dyDescent="0.3">
      <c r="A49" s="122" t="s">
        <v>889</v>
      </c>
      <c r="B49" s="123" t="s">
        <v>986</v>
      </c>
      <c r="C49" s="124" t="s">
        <v>987</v>
      </c>
      <c r="D49" s="138" t="s">
        <v>984</v>
      </c>
      <c r="E49" s="125" t="s">
        <v>904</v>
      </c>
      <c r="F49" s="126">
        <f>IF(ISNUMBER(MCC_Table6[[#This Row],[SIZE]]), MCC_Table6[[#This Row],[SIZE]]/12, 0)</f>
        <v>6</v>
      </c>
      <c r="G49" s="123">
        <v>50</v>
      </c>
      <c r="H49" s="123">
        <v>50</v>
      </c>
      <c r="I49" s="123">
        <v>65</v>
      </c>
      <c r="J49" s="123"/>
      <c r="K49" s="134">
        <v>125</v>
      </c>
      <c r="L49" s="127">
        <v>125</v>
      </c>
      <c r="M49" s="134">
        <v>100</v>
      </c>
      <c r="N49" s="127" t="s">
        <v>985</v>
      </c>
      <c r="O49" s="128"/>
      <c r="P49" s="123">
        <f>_xlfn.NUMBERVALUE(LEFT(MCC_Table6[[#This Row],[BUCKET]],LEN(MCC_Table6[[#This Row],[BUCKET]])-1))</f>
        <v>18</v>
      </c>
      <c r="Q49" s="123" t="str">
        <f>RIGHT(MCC_Table6[[#This Row],[BUCKET]],1)</f>
        <v>A</v>
      </c>
      <c r="R49" s="123">
        <f>VLOOKUP(MCC_Table6[[#This Row],[START UNIT]],UnitMap[],2,FALSE)</f>
        <v>1</v>
      </c>
      <c r="S49" s="123" cm="1">
        <f t="array" ref="S4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49" s="123">
        <f>IF(ISNUMBER(MCC_Table6[[#This Row],[SIZE]]), MCC_Table6[[#This Row],[SIZE]]/6, 0)</f>
        <v>12</v>
      </c>
      <c r="U49" s="123">
        <f>MCC_Table6[[#This Row],[START INDEX]]+MCC_Table6[[#This Row],[UNITS USED]]-1</f>
        <v>12</v>
      </c>
      <c r="V49" s="111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</row>
    <row r="50" spans="1:52" x14ac:dyDescent="0.3">
      <c r="A50" s="65" t="s">
        <v>988</v>
      </c>
      <c r="B50" s="85" t="s">
        <v>450</v>
      </c>
      <c r="C50" s="55" t="s">
        <v>451</v>
      </c>
      <c r="D50" s="139" t="s">
        <v>452</v>
      </c>
      <c r="E50" s="55" t="s">
        <v>451</v>
      </c>
      <c r="F50" s="88">
        <f>IF(ISNUMBER(MCC_Table6[[#This Row],[SIZE]]), MCC_Table6[[#This Row],[SIZE]]/12, 0)</f>
        <v>3.5</v>
      </c>
      <c r="G50" s="14"/>
      <c r="H50" s="14"/>
      <c r="I50" s="14"/>
      <c r="J50" s="14"/>
      <c r="K50" s="105">
        <v>1200</v>
      </c>
      <c r="L50" s="105">
        <v>1200</v>
      </c>
      <c r="M50" s="105" t="s">
        <v>303</v>
      </c>
      <c r="N50" s="105"/>
      <c r="O50" s="57"/>
      <c r="P50" s="85">
        <f>_xlfn.NUMBERVALUE(LEFT(MCC_Table6[[#This Row],[BUCKET]],LEN(MCC_Table6[[#This Row],[BUCKET]])-1))</f>
        <v>1</v>
      </c>
      <c r="Q50" s="85" t="str">
        <f>RIGHT(MCC_Table6[[#This Row],[BUCKET]],1)</f>
        <v>A</v>
      </c>
      <c r="R50" s="85">
        <f>VLOOKUP(MCC_Table6[[#This Row],[START UNIT]],UnitMap[],2,FALSE)</f>
        <v>1</v>
      </c>
      <c r="S50" s="85" cm="1">
        <f t="array" ref="S5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50" s="85">
        <f>IF(ISNUMBER(MCC_Table6[[#This Row],[SIZE]]), MCC_Table6[[#This Row],[SIZE]]/6, 0)</f>
        <v>7</v>
      </c>
      <c r="U50" s="85">
        <f>MCC_Table6[[#This Row],[START INDEX]]+MCC_Table6[[#This Row],[UNITS USED]]-1</f>
        <v>7</v>
      </c>
      <c r="V50" s="109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</row>
    <row r="51" spans="1:52" x14ac:dyDescent="0.3">
      <c r="A51" s="65" t="s">
        <v>988</v>
      </c>
      <c r="B51" s="85" t="s">
        <v>460</v>
      </c>
      <c r="C51" s="55" t="s">
        <v>989</v>
      </c>
      <c r="D51" s="139" t="s">
        <v>457</v>
      </c>
      <c r="E51" s="55" t="s">
        <v>458</v>
      </c>
      <c r="F51" s="88">
        <f>IF(ISNUMBER(MCC_Table6[[#This Row],[SIZE]]), MCC_Table6[[#This Row],[SIZE]]/12, 0)</f>
        <v>1.5</v>
      </c>
      <c r="G51" s="14"/>
      <c r="H51" s="14"/>
      <c r="I51" s="14"/>
      <c r="J51" s="14"/>
      <c r="K51" s="106" t="s">
        <v>303</v>
      </c>
      <c r="L51" s="54" t="s">
        <v>303</v>
      </c>
      <c r="M51" s="106">
        <v>0.75</v>
      </c>
      <c r="N51" s="106"/>
      <c r="O51" s="57"/>
      <c r="P51" s="85">
        <f>_xlfn.NUMBERVALUE(LEFT(MCC_Table6[[#This Row],[BUCKET]],LEN(MCC_Table6[[#This Row],[BUCKET]])-1))</f>
        <v>1</v>
      </c>
      <c r="Q51" s="85" t="str">
        <f>RIGHT(MCC_Table6[[#This Row],[BUCKET]],1)</f>
        <v>H</v>
      </c>
      <c r="R51" s="85">
        <f>VLOOKUP(MCC_Table6[[#This Row],[START UNIT]],UnitMap[],2,FALSE)</f>
        <v>8</v>
      </c>
      <c r="S51" s="85" cm="1">
        <f t="array" ref="S5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51" s="85">
        <f>IF(ISNUMBER(MCC_Table6[[#This Row],[SIZE]]), MCC_Table6[[#This Row],[SIZE]]/6, 0)</f>
        <v>3</v>
      </c>
      <c r="U51" s="85">
        <f>MCC_Table6[[#This Row],[START INDEX]]+MCC_Table6[[#This Row],[UNITS USED]]-1</f>
        <v>10</v>
      </c>
      <c r="V51" s="114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</row>
    <row r="52" spans="1:52" x14ac:dyDescent="0.3">
      <c r="A52" s="65" t="s">
        <v>988</v>
      </c>
      <c r="B52" s="10" t="s">
        <v>471</v>
      </c>
      <c r="C52" s="39" t="s">
        <v>213</v>
      </c>
      <c r="D52" s="135" t="s">
        <v>990</v>
      </c>
      <c r="E52" s="51" t="s">
        <v>892</v>
      </c>
      <c r="F52" s="87">
        <f>IF(ISNUMBER(MCC_Table6[[#This Row],[SIZE]]), MCC_Table6[[#This Row],[SIZE]]/12, 0)</f>
        <v>1</v>
      </c>
      <c r="G52" s="10">
        <v>2</v>
      </c>
      <c r="H52" s="10">
        <v>2</v>
      </c>
      <c r="I52" s="10">
        <v>3.4</v>
      </c>
      <c r="J52" s="10">
        <v>1</v>
      </c>
      <c r="K52" s="54">
        <v>7</v>
      </c>
      <c r="L52" s="54">
        <v>125</v>
      </c>
      <c r="M52" s="54" t="s">
        <v>303</v>
      </c>
      <c r="N52" s="54" t="s">
        <v>955</v>
      </c>
      <c r="O52" s="53"/>
      <c r="P52" s="10">
        <f>_xlfn.NUMBERVALUE(LEFT(MCC_Table6[[#This Row],[BUCKET]],LEN(MCC_Table6[[#This Row],[BUCKET]])-1))</f>
        <v>1</v>
      </c>
      <c r="Q52" s="10" t="str">
        <f>RIGHT(MCC_Table6[[#This Row],[BUCKET]],1)</f>
        <v>L</v>
      </c>
      <c r="R52" s="10">
        <f>VLOOKUP(MCC_Table6[[#This Row],[START UNIT]],UnitMap[],2,FALSE)</f>
        <v>11</v>
      </c>
      <c r="S52" s="10" cm="1">
        <f t="array" ref="S5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52" s="10">
        <f>IF(ISNUMBER(MCC_Table6[[#This Row],[SIZE]]), MCC_Table6[[#This Row],[SIZE]]/6, 0)</f>
        <v>2</v>
      </c>
      <c r="U52" s="10">
        <f>MCC_Table6[[#This Row],[START INDEX]]+MCC_Table6[[#This Row],[UNITS USED]]-1</f>
        <v>12</v>
      </c>
      <c r="V52" s="111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</row>
    <row r="53" spans="1:52" x14ac:dyDescent="0.3">
      <c r="A53" s="65" t="s">
        <v>988</v>
      </c>
      <c r="B53" s="51" t="s">
        <v>477</v>
      </c>
      <c r="C53" s="39" t="s">
        <v>991</v>
      </c>
      <c r="D53" s="136" t="s">
        <v>992</v>
      </c>
      <c r="E53" s="39" t="s">
        <v>993</v>
      </c>
      <c r="F53" s="86">
        <f>IF(ISNUMBER(MCC_Table6[[#This Row],[SIZE]]), MCC_Table6[[#This Row],[SIZE]]/12, 0)</f>
        <v>1</v>
      </c>
      <c r="G53" s="10"/>
      <c r="H53" s="10"/>
      <c r="I53" s="10"/>
      <c r="J53" s="10"/>
      <c r="K53" s="54"/>
      <c r="L53" s="54"/>
      <c r="M53" s="54"/>
      <c r="N53" s="54"/>
      <c r="O53" s="53"/>
      <c r="P53" s="51">
        <f>_xlfn.NUMBERVALUE(LEFT(MCC_Table6[[#This Row],[BUCKET]],LEN(MCC_Table6[[#This Row],[BUCKET]])-1))</f>
        <v>2</v>
      </c>
      <c r="Q53" s="51" t="str">
        <f>RIGHT(MCC_Table6[[#This Row],[BUCKET]],1)</f>
        <v>A</v>
      </c>
      <c r="R53" s="51">
        <f>VLOOKUP(MCC_Table6[[#This Row],[START UNIT]],UnitMap[],2,FALSE)</f>
        <v>1</v>
      </c>
      <c r="S53" s="51" cm="1">
        <f t="array" ref="S5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53" s="51">
        <f>IF(ISNUMBER(MCC_Table6[[#This Row],[SIZE]]), MCC_Table6[[#This Row],[SIZE]]/6, 0)</f>
        <v>2</v>
      </c>
      <c r="U53" s="51">
        <f>MCC_Table6[[#This Row],[START INDEX]]+MCC_Table6[[#This Row],[UNITS USED]]-1</f>
        <v>2</v>
      </c>
      <c r="V53" s="109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</row>
    <row r="54" spans="1:52" x14ac:dyDescent="0.3">
      <c r="A54" s="65" t="s">
        <v>988</v>
      </c>
      <c r="B54" s="51" t="s">
        <v>897</v>
      </c>
      <c r="C54" s="39" t="s">
        <v>462</v>
      </c>
      <c r="D54" s="136" t="s">
        <v>461</v>
      </c>
      <c r="E54" s="39" t="s">
        <v>462</v>
      </c>
      <c r="F54" s="86">
        <f>IF(ISNUMBER(MCC_Table6[[#This Row],[SIZE]]), MCC_Table6[[#This Row],[SIZE]]/12, 0)</f>
        <v>0.5</v>
      </c>
      <c r="G54" s="10"/>
      <c r="H54" s="10"/>
      <c r="I54" s="10"/>
      <c r="J54" s="10"/>
      <c r="K54" s="54"/>
      <c r="L54" s="54"/>
      <c r="M54" s="54"/>
      <c r="N54" s="54"/>
      <c r="O54" s="53"/>
      <c r="P54" s="51">
        <f>_xlfn.NUMBERVALUE(LEFT(MCC_Table6[[#This Row],[BUCKET]],LEN(MCC_Table6[[#This Row],[BUCKET]])-1))</f>
        <v>2</v>
      </c>
      <c r="Q54" s="51" t="str">
        <f>RIGHT(MCC_Table6[[#This Row],[BUCKET]],1)</f>
        <v>C</v>
      </c>
      <c r="R54" s="51">
        <f>VLOOKUP(MCC_Table6[[#This Row],[START UNIT]],UnitMap[],2,FALSE)</f>
        <v>3</v>
      </c>
      <c r="S54" s="51" cm="1">
        <f t="array" ref="S5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54" s="51">
        <f>IF(ISNUMBER(MCC_Table6[[#This Row],[SIZE]]), MCC_Table6[[#This Row],[SIZE]]/6, 0)</f>
        <v>1</v>
      </c>
      <c r="U54" s="51">
        <f>MCC_Table6[[#This Row],[START INDEX]]+MCC_Table6[[#This Row],[UNITS USED]]-1</f>
        <v>3</v>
      </c>
      <c r="V54" s="111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</row>
    <row r="55" spans="1:52" x14ac:dyDescent="0.3">
      <c r="A55" s="65" t="s">
        <v>988</v>
      </c>
      <c r="B55" s="51" t="s">
        <v>994</v>
      </c>
      <c r="C55" s="39" t="s">
        <v>462</v>
      </c>
      <c r="D55" s="136" t="s">
        <v>496</v>
      </c>
      <c r="E55" s="39" t="s">
        <v>462</v>
      </c>
      <c r="F55" s="86">
        <f>IF(ISNUMBER(MCC_Table6[[#This Row],[SIZE]]), MCC_Table6[[#This Row],[SIZE]]/12, 0)</f>
        <v>1</v>
      </c>
      <c r="G55" s="10"/>
      <c r="H55" s="10"/>
      <c r="I55" s="10"/>
      <c r="J55" s="10"/>
      <c r="K55" s="96"/>
      <c r="L55" s="54"/>
      <c r="M55" s="96"/>
      <c r="N55" s="96"/>
      <c r="O55" s="53"/>
      <c r="P55" s="51">
        <f>_xlfn.NUMBERVALUE(LEFT(MCC_Table6[[#This Row],[BUCKET]],LEN(MCC_Table6[[#This Row],[BUCKET]])-1))</f>
        <v>2</v>
      </c>
      <c r="Q55" s="51" t="str">
        <f>RIGHT(MCC_Table6[[#This Row],[BUCKET]],1)</f>
        <v>D</v>
      </c>
      <c r="R55" s="51">
        <f>VLOOKUP(MCC_Table6[[#This Row],[START UNIT]],UnitMap[],2,FALSE)</f>
        <v>4</v>
      </c>
      <c r="S55" s="51" cm="1">
        <f t="array" ref="S5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55" s="51">
        <f>IF(ISNUMBER(MCC_Table6[[#This Row],[SIZE]]), MCC_Table6[[#This Row],[SIZE]]/6, 0)</f>
        <v>2</v>
      </c>
      <c r="U55" s="51">
        <f>MCC_Table6[[#This Row],[START INDEX]]+MCC_Table6[[#This Row],[UNITS USED]]-1</f>
        <v>5</v>
      </c>
      <c r="V55" s="113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</row>
    <row r="56" spans="1:52" x14ac:dyDescent="0.3">
      <c r="A56" s="65" t="s">
        <v>988</v>
      </c>
      <c r="B56" s="10" t="s">
        <v>899</v>
      </c>
      <c r="C56" s="10" t="s">
        <v>995</v>
      </c>
      <c r="D56" s="140" t="s">
        <v>996</v>
      </c>
      <c r="E56" s="51" t="s">
        <v>904</v>
      </c>
      <c r="F56" s="87">
        <f>IF(ISNUMBER(MCC_Table6[[#This Row],[SIZE]]), MCC_Table6[[#This Row],[SIZE]]/12, 0)</f>
        <v>3.5</v>
      </c>
      <c r="G56" s="10">
        <v>25</v>
      </c>
      <c r="H56" s="10">
        <v>25</v>
      </c>
      <c r="I56" s="10">
        <v>34</v>
      </c>
      <c r="J56" s="49"/>
      <c r="K56" s="54">
        <v>60</v>
      </c>
      <c r="L56" s="54">
        <v>125</v>
      </c>
      <c r="M56" s="54">
        <v>60</v>
      </c>
      <c r="N56" s="54" t="s">
        <v>952</v>
      </c>
      <c r="O56" s="53"/>
      <c r="P56" s="10">
        <f>_xlfn.NUMBERVALUE(LEFT(MCC_Table6[[#This Row],[BUCKET]],LEN(MCC_Table6[[#This Row],[BUCKET]])-1))</f>
        <v>2</v>
      </c>
      <c r="Q56" s="10" t="str">
        <f>RIGHT(MCC_Table6[[#This Row],[BUCKET]],1)</f>
        <v>F</v>
      </c>
      <c r="R56" s="10">
        <f>VLOOKUP(MCC_Table6[[#This Row],[START UNIT]],UnitMap[],2,FALSE)</f>
        <v>6</v>
      </c>
      <c r="S56" s="10" cm="1">
        <f t="array" ref="S5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56" s="10">
        <f>IF(ISNUMBER(MCC_Table6[[#This Row],[SIZE]]), MCC_Table6[[#This Row],[SIZE]]/6, 0)</f>
        <v>7</v>
      </c>
      <c r="U56" s="10">
        <f>MCC_Table6[[#This Row],[START INDEX]]+MCC_Table6[[#This Row],[UNITS USED]]-1</f>
        <v>12</v>
      </c>
      <c r="V56" s="113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</row>
    <row r="57" spans="1:52" x14ac:dyDescent="0.3">
      <c r="A57" s="65" t="s">
        <v>988</v>
      </c>
      <c r="B57" s="10" t="s">
        <v>489</v>
      </c>
      <c r="C57" s="39" t="s">
        <v>997</v>
      </c>
      <c r="D57" s="135" t="s">
        <v>998</v>
      </c>
      <c r="E57" s="51" t="s">
        <v>904</v>
      </c>
      <c r="F57" s="87">
        <f>IF(ISNUMBER(MCC_Table6[[#This Row],[SIZE]]), MCC_Table6[[#This Row],[SIZE]]/12, 0)</f>
        <v>3.5</v>
      </c>
      <c r="G57" s="51">
        <v>25</v>
      </c>
      <c r="H57" s="10">
        <v>25</v>
      </c>
      <c r="I57" s="10">
        <v>34</v>
      </c>
      <c r="J57" s="10"/>
      <c r="K57" s="54">
        <v>60</v>
      </c>
      <c r="L57" s="54">
        <v>125</v>
      </c>
      <c r="M57" s="54">
        <v>60</v>
      </c>
      <c r="N57" s="54" t="s">
        <v>952</v>
      </c>
      <c r="O57" s="53"/>
      <c r="P57" s="10">
        <f>_xlfn.NUMBERVALUE(LEFT(MCC_Table6[[#This Row],[BUCKET]],LEN(MCC_Table6[[#This Row],[BUCKET]])-1))</f>
        <v>3</v>
      </c>
      <c r="Q57" s="10" t="str">
        <f>RIGHT(MCC_Table6[[#This Row],[BUCKET]],1)</f>
        <v>A</v>
      </c>
      <c r="R57" s="10">
        <f>VLOOKUP(MCC_Table6[[#This Row],[START UNIT]],UnitMap[],2,FALSE)</f>
        <v>1</v>
      </c>
      <c r="S57" s="10" cm="1">
        <f t="array" ref="S5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57" s="10">
        <f>IF(ISNUMBER(MCC_Table6[[#This Row],[SIZE]]), MCC_Table6[[#This Row],[SIZE]]/6, 0)</f>
        <v>7</v>
      </c>
      <c r="U57" s="10">
        <f>MCC_Table6[[#This Row],[START INDEX]]+MCC_Table6[[#This Row],[UNITS USED]]-1</f>
        <v>7</v>
      </c>
      <c r="V57" s="111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</row>
    <row r="58" spans="1:52" x14ac:dyDescent="0.3">
      <c r="A58" s="65" t="s">
        <v>988</v>
      </c>
      <c r="B58" s="10" t="s">
        <v>999</v>
      </c>
      <c r="C58" s="39" t="s">
        <v>53</v>
      </c>
      <c r="D58" s="135" t="s">
        <v>920</v>
      </c>
      <c r="E58" s="51" t="s">
        <v>904</v>
      </c>
      <c r="F58" s="87">
        <f>IF(ISNUMBER(MCC_Table6[[#This Row],[SIZE]]), MCC_Table6[[#This Row],[SIZE]]/12, 0)</f>
        <v>2</v>
      </c>
      <c r="G58" s="10"/>
      <c r="H58" s="10">
        <v>2</v>
      </c>
      <c r="I58" s="10">
        <v>3.4</v>
      </c>
      <c r="J58" s="10"/>
      <c r="K58" s="54">
        <v>15</v>
      </c>
      <c r="L58" s="54">
        <v>125</v>
      </c>
      <c r="M58" s="54">
        <v>6</v>
      </c>
      <c r="N58" s="54"/>
      <c r="O58" s="53"/>
      <c r="P58" s="10">
        <f>_xlfn.NUMBERVALUE(LEFT(MCC_Table6[[#This Row],[BUCKET]],LEN(MCC_Table6[[#This Row],[BUCKET]])-1))</f>
        <v>3</v>
      </c>
      <c r="Q58" s="10" t="str">
        <f>RIGHT(MCC_Table6[[#This Row],[BUCKET]],1)</f>
        <v>H</v>
      </c>
      <c r="R58" s="10">
        <f>VLOOKUP(MCC_Table6[[#This Row],[START UNIT]],UnitMap[],2,FALSE)</f>
        <v>8</v>
      </c>
      <c r="S58" s="10" cm="1">
        <f t="array" ref="S5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58" s="10">
        <f>IF(ISNUMBER(MCC_Table6[[#This Row],[SIZE]]), MCC_Table6[[#This Row],[SIZE]]/6, 0)</f>
        <v>4</v>
      </c>
      <c r="U58" s="10">
        <f>MCC_Table6[[#This Row],[START INDEX]]+MCC_Table6[[#This Row],[UNITS USED]]-1</f>
        <v>11</v>
      </c>
      <c r="V58" s="111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</row>
    <row r="59" spans="1:52" x14ac:dyDescent="0.3">
      <c r="A59" s="65" t="s">
        <v>988</v>
      </c>
      <c r="B59" s="51" t="s">
        <v>1000</v>
      </c>
      <c r="C59" s="39" t="s">
        <v>462</v>
      </c>
      <c r="D59" s="136" t="s">
        <v>461</v>
      </c>
      <c r="E59" s="39" t="s">
        <v>462</v>
      </c>
      <c r="F59" s="86">
        <f>IF(ISNUMBER(MCC_Table6[[#This Row],[SIZE]]), MCC_Table6[[#This Row],[SIZE]]/12, 0)</f>
        <v>0.5</v>
      </c>
      <c r="G59" s="10"/>
      <c r="H59" s="10"/>
      <c r="I59" s="10"/>
      <c r="J59" s="10"/>
      <c r="K59" s="96"/>
      <c r="L59" s="54"/>
      <c r="M59" s="96"/>
      <c r="N59" s="96"/>
      <c r="O59" s="53"/>
      <c r="P59" s="51">
        <f>_xlfn.NUMBERVALUE(LEFT(MCC_Table6[[#This Row],[BUCKET]],LEN(MCC_Table6[[#This Row],[BUCKET]])-1))</f>
        <v>3</v>
      </c>
      <c r="Q59" s="51" t="str">
        <f>RIGHT(MCC_Table6[[#This Row],[BUCKET]],1)</f>
        <v>M</v>
      </c>
      <c r="R59" s="51">
        <f>VLOOKUP(MCC_Table6[[#This Row],[START UNIT]],UnitMap[],2,FALSE)</f>
        <v>12</v>
      </c>
      <c r="S59" s="51" cm="1">
        <f t="array" ref="S5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59" s="51">
        <f>IF(ISNUMBER(MCC_Table6[[#This Row],[SIZE]]), MCC_Table6[[#This Row],[SIZE]]/6, 0)</f>
        <v>1</v>
      </c>
      <c r="U59" s="51">
        <f>MCC_Table6[[#This Row],[START INDEX]]+MCC_Table6[[#This Row],[UNITS USED]]-1</f>
        <v>12</v>
      </c>
      <c r="V59" s="113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</row>
    <row r="60" spans="1:52" x14ac:dyDescent="0.3">
      <c r="A60" s="65" t="s">
        <v>988</v>
      </c>
      <c r="B60" s="10" t="s">
        <v>497</v>
      </c>
      <c r="C60" s="39" t="s">
        <v>1001</v>
      </c>
      <c r="D60" s="135" t="s">
        <v>1002</v>
      </c>
      <c r="E60" s="51" t="s">
        <v>904</v>
      </c>
      <c r="F60" s="87">
        <f>IF(ISNUMBER(MCC_Table6[[#This Row],[SIZE]]), MCC_Table6[[#This Row],[SIZE]]/12, 0)</f>
        <v>3.5</v>
      </c>
      <c r="G60" s="51">
        <v>25</v>
      </c>
      <c r="H60" s="10">
        <v>25</v>
      </c>
      <c r="I60" s="10">
        <v>34</v>
      </c>
      <c r="J60" s="10"/>
      <c r="K60" s="54">
        <v>60</v>
      </c>
      <c r="L60" s="54">
        <v>125</v>
      </c>
      <c r="M60" s="54">
        <v>60</v>
      </c>
      <c r="N60" s="54" t="s">
        <v>952</v>
      </c>
      <c r="O60" s="53"/>
      <c r="P60" s="10">
        <f>_xlfn.NUMBERVALUE(LEFT(MCC_Table6[[#This Row],[BUCKET]],LEN(MCC_Table6[[#This Row],[BUCKET]])-1))</f>
        <v>4</v>
      </c>
      <c r="Q60" s="10" t="str">
        <f>RIGHT(MCC_Table6[[#This Row],[BUCKET]],1)</f>
        <v>A</v>
      </c>
      <c r="R60" s="10">
        <f>VLOOKUP(MCC_Table6[[#This Row],[START UNIT]],UnitMap[],2,FALSE)</f>
        <v>1</v>
      </c>
      <c r="S60" s="10" cm="1">
        <f t="array" ref="S6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60" s="10">
        <f>IF(ISNUMBER(MCC_Table6[[#This Row],[SIZE]]), MCC_Table6[[#This Row],[SIZE]]/6, 0)</f>
        <v>7</v>
      </c>
      <c r="U60" s="10">
        <f>MCC_Table6[[#This Row],[START INDEX]]+MCC_Table6[[#This Row],[UNITS USED]]-1</f>
        <v>7</v>
      </c>
      <c r="V60" s="111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</row>
    <row r="61" spans="1:52" x14ac:dyDescent="0.3">
      <c r="A61" s="65" t="s">
        <v>988</v>
      </c>
      <c r="B61" s="10" t="s">
        <v>1003</v>
      </c>
      <c r="C61" s="39" t="s">
        <v>53</v>
      </c>
      <c r="D61" s="135" t="s">
        <v>920</v>
      </c>
      <c r="E61" s="51" t="s">
        <v>904</v>
      </c>
      <c r="F61" s="87">
        <f>IF(ISNUMBER(MCC_Table6[[#This Row],[SIZE]]), MCC_Table6[[#This Row],[SIZE]]/12, 0)</f>
        <v>2</v>
      </c>
      <c r="G61" s="10"/>
      <c r="H61" s="10">
        <v>2</v>
      </c>
      <c r="I61" s="10">
        <v>3.4</v>
      </c>
      <c r="J61" s="10"/>
      <c r="K61" s="54">
        <v>15</v>
      </c>
      <c r="L61" s="54">
        <v>125</v>
      </c>
      <c r="M61" s="54">
        <v>6</v>
      </c>
      <c r="N61" s="54"/>
      <c r="O61" s="53"/>
      <c r="P61" s="10">
        <f>_xlfn.NUMBERVALUE(LEFT(MCC_Table6[[#This Row],[BUCKET]],LEN(MCC_Table6[[#This Row],[BUCKET]])-1))</f>
        <v>4</v>
      </c>
      <c r="Q61" s="10" t="str">
        <f>RIGHT(MCC_Table6[[#This Row],[BUCKET]],1)</f>
        <v>H</v>
      </c>
      <c r="R61" s="10">
        <f>VLOOKUP(MCC_Table6[[#This Row],[START UNIT]],UnitMap[],2,FALSE)</f>
        <v>8</v>
      </c>
      <c r="S61" s="10" cm="1">
        <f t="array" ref="S6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61" s="10">
        <f>IF(ISNUMBER(MCC_Table6[[#This Row],[SIZE]]), MCC_Table6[[#This Row],[SIZE]]/6, 0)</f>
        <v>4</v>
      </c>
      <c r="U61" s="10">
        <f>MCC_Table6[[#This Row],[START INDEX]]+MCC_Table6[[#This Row],[UNITS USED]]-1</f>
        <v>11</v>
      </c>
      <c r="V61" s="111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</row>
    <row r="62" spans="1:52" x14ac:dyDescent="0.3">
      <c r="A62" s="65" t="s">
        <v>988</v>
      </c>
      <c r="B62" s="51" t="s">
        <v>1004</v>
      </c>
      <c r="C62" s="39" t="s">
        <v>462</v>
      </c>
      <c r="D62" s="136" t="s">
        <v>461</v>
      </c>
      <c r="E62" s="39" t="s">
        <v>462</v>
      </c>
      <c r="F62" s="86">
        <f>IF(ISNUMBER(MCC_Table6[[#This Row],[SIZE]]), MCC_Table6[[#This Row],[SIZE]]/12, 0)</f>
        <v>0.5</v>
      </c>
      <c r="G62" s="10"/>
      <c r="H62" s="10"/>
      <c r="I62" s="10"/>
      <c r="J62" s="10"/>
      <c r="K62" s="96"/>
      <c r="L62" s="54"/>
      <c r="M62" s="96"/>
      <c r="N62" s="96"/>
      <c r="O62" s="53"/>
      <c r="P62" s="51">
        <f>_xlfn.NUMBERVALUE(LEFT(MCC_Table6[[#This Row],[BUCKET]],LEN(MCC_Table6[[#This Row],[BUCKET]])-1))</f>
        <v>4</v>
      </c>
      <c r="Q62" s="51" t="str">
        <f>RIGHT(MCC_Table6[[#This Row],[BUCKET]],1)</f>
        <v>M</v>
      </c>
      <c r="R62" s="51">
        <f>VLOOKUP(MCC_Table6[[#This Row],[START UNIT]],UnitMap[],2,FALSE)</f>
        <v>12</v>
      </c>
      <c r="S62" s="51" cm="1">
        <f t="array" ref="S6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62" s="51">
        <f>IF(ISNUMBER(MCC_Table6[[#This Row],[SIZE]]), MCC_Table6[[#This Row],[SIZE]]/6, 0)</f>
        <v>1</v>
      </c>
      <c r="U62" s="51">
        <f>MCC_Table6[[#This Row],[START INDEX]]+MCC_Table6[[#This Row],[UNITS USED]]-1</f>
        <v>12</v>
      </c>
      <c r="V62" s="113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</row>
    <row r="63" spans="1:52" x14ac:dyDescent="0.3">
      <c r="A63" s="65" t="s">
        <v>988</v>
      </c>
      <c r="B63" s="10" t="s">
        <v>508</v>
      </c>
      <c r="C63" s="39" t="s">
        <v>1005</v>
      </c>
      <c r="D63" s="135" t="s">
        <v>1006</v>
      </c>
      <c r="E63" s="51" t="s">
        <v>904</v>
      </c>
      <c r="F63" s="87">
        <f>IF(ISNUMBER(MCC_Table6[[#This Row],[SIZE]]), MCC_Table6[[#This Row],[SIZE]]/12, 0)</f>
        <v>3.5</v>
      </c>
      <c r="G63" s="51">
        <v>25</v>
      </c>
      <c r="H63" s="10">
        <v>25</v>
      </c>
      <c r="I63" s="10">
        <v>34</v>
      </c>
      <c r="J63" s="10"/>
      <c r="K63" s="54">
        <v>60</v>
      </c>
      <c r="L63" s="54">
        <v>125</v>
      </c>
      <c r="M63" s="54">
        <v>60</v>
      </c>
      <c r="N63" s="54" t="s">
        <v>952</v>
      </c>
      <c r="O63" s="53"/>
      <c r="P63" s="10">
        <f>_xlfn.NUMBERVALUE(LEFT(MCC_Table6[[#This Row],[BUCKET]],LEN(MCC_Table6[[#This Row],[BUCKET]])-1))</f>
        <v>5</v>
      </c>
      <c r="Q63" s="10" t="str">
        <f>RIGHT(MCC_Table6[[#This Row],[BUCKET]],1)</f>
        <v>A</v>
      </c>
      <c r="R63" s="10">
        <f>VLOOKUP(MCC_Table6[[#This Row],[START UNIT]],UnitMap[],2,FALSE)</f>
        <v>1</v>
      </c>
      <c r="S63" s="10" cm="1">
        <f t="array" ref="S6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63" s="10">
        <f>IF(ISNUMBER(MCC_Table6[[#This Row],[SIZE]]), MCC_Table6[[#This Row],[SIZE]]/6, 0)</f>
        <v>7</v>
      </c>
      <c r="U63" s="10">
        <f>MCC_Table6[[#This Row],[START INDEX]]+MCC_Table6[[#This Row],[UNITS USED]]-1</f>
        <v>7</v>
      </c>
      <c r="V63" s="111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</row>
    <row r="64" spans="1:52" x14ac:dyDescent="0.3">
      <c r="A64" s="65" t="s">
        <v>988</v>
      </c>
      <c r="B64" s="10" t="s">
        <v>1007</v>
      </c>
      <c r="C64" s="39" t="s">
        <v>53</v>
      </c>
      <c r="D64" s="135" t="s">
        <v>920</v>
      </c>
      <c r="E64" s="51" t="s">
        <v>904</v>
      </c>
      <c r="F64" s="87">
        <f>IF(ISNUMBER(MCC_Table6[[#This Row],[SIZE]]), MCC_Table6[[#This Row],[SIZE]]/12, 0)</f>
        <v>2</v>
      </c>
      <c r="G64" s="10"/>
      <c r="H64" s="10"/>
      <c r="I64" s="10"/>
      <c r="J64" s="10"/>
      <c r="K64" s="54">
        <v>15</v>
      </c>
      <c r="L64" s="54">
        <v>125</v>
      </c>
      <c r="M64" s="54">
        <v>6</v>
      </c>
      <c r="N64" s="54"/>
      <c r="O64" s="53"/>
      <c r="P64" s="10">
        <f>_xlfn.NUMBERVALUE(LEFT(MCC_Table6[[#This Row],[BUCKET]],LEN(MCC_Table6[[#This Row],[BUCKET]])-1))</f>
        <v>5</v>
      </c>
      <c r="Q64" s="10" t="str">
        <f>RIGHT(MCC_Table6[[#This Row],[BUCKET]],1)</f>
        <v>H</v>
      </c>
      <c r="R64" s="10">
        <f>VLOOKUP(MCC_Table6[[#This Row],[START UNIT]],UnitMap[],2,FALSE)</f>
        <v>8</v>
      </c>
      <c r="S64" s="10" cm="1">
        <f t="array" ref="S6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64" s="10">
        <f>IF(ISNUMBER(MCC_Table6[[#This Row],[SIZE]]), MCC_Table6[[#This Row],[SIZE]]/6, 0)</f>
        <v>4</v>
      </c>
      <c r="U64" s="10">
        <f>MCC_Table6[[#This Row],[START INDEX]]+MCC_Table6[[#This Row],[UNITS USED]]-1</f>
        <v>11</v>
      </c>
      <c r="V64" s="111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</row>
    <row r="65" spans="1:52" x14ac:dyDescent="0.3">
      <c r="A65" s="65" t="s">
        <v>988</v>
      </c>
      <c r="B65" s="51" t="s">
        <v>1008</v>
      </c>
      <c r="C65" s="39" t="s">
        <v>462</v>
      </c>
      <c r="D65" s="136" t="s">
        <v>461</v>
      </c>
      <c r="E65" s="39" t="s">
        <v>462</v>
      </c>
      <c r="F65" s="86">
        <f>IF(ISNUMBER(MCC_Table6[[#This Row],[SIZE]]), MCC_Table6[[#This Row],[SIZE]]/12, 0)</f>
        <v>0.5</v>
      </c>
      <c r="G65" s="10"/>
      <c r="H65" s="10"/>
      <c r="I65" s="10"/>
      <c r="J65" s="10"/>
      <c r="K65" s="96"/>
      <c r="L65" s="54"/>
      <c r="M65" s="96"/>
      <c r="N65" s="96"/>
      <c r="O65" s="53"/>
      <c r="P65" s="51">
        <f>_xlfn.NUMBERVALUE(LEFT(MCC_Table6[[#This Row],[BUCKET]],LEN(MCC_Table6[[#This Row],[BUCKET]])-1))</f>
        <v>5</v>
      </c>
      <c r="Q65" s="51" t="str">
        <f>RIGHT(MCC_Table6[[#This Row],[BUCKET]],1)</f>
        <v>M</v>
      </c>
      <c r="R65" s="51">
        <f>VLOOKUP(MCC_Table6[[#This Row],[START UNIT]],UnitMap[],2,FALSE)</f>
        <v>12</v>
      </c>
      <c r="S65" s="51" cm="1">
        <f t="array" ref="S6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65" s="51">
        <f>IF(ISNUMBER(MCC_Table6[[#This Row],[SIZE]]), MCC_Table6[[#This Row],[SIZE]]/6, 0)</f>
        <v>1</v>
      </c>
      <c r="U65" s="51">
        <f>MCC_Table6[[#This Row],[START INDEX]]+MCC_Table6[[#This Row],[UNITS USED]]-1</f>
        <v>12</v>
      </c>
      <c r="V65" s="113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</row>
    <row r="66" spans="1:52" x14ac:dyDescent="0.3">
      <c r="A66" s="65" t="s">
        <v>988</v>
      </c>
      <c r="B66" s="10" t="s">
        <v>517</v>
      </c>
      <c r="C66" s="39" t="s">
        <v>1009</v>
      </c>
      <c r="D66" s="135" t="s">
        <v>1010</v>
      </c>
      <c r="E66" s="51" t="s">
        <v>904</v>
      </c>
      <c r="F66" s="87">
        <f>IF(ISNUMBER(MCC_Table6[[#This Row],[SIZE]]), MCC_Table6[[#This Row],[SIZE]]/12, 0)</f>
        <v>6</v>
      </c>
      <c r="G66" s="51">
        <v>25</v>
      </c>
      <c r="H66" s="10">
        <v>25</v>
      </c>
      <c r="I66" s="10">
        <v>34</v>
      </c>
      <c r="J66" s="10"/>
      <c r="K66" s="54">
        <v>60</v>
      </c>
      <c r="L66" s="54">
        <v>125</v>
      </c>
      <c r="M66" s="54">
        <v>60</v>
      </c>
      <c r="N66" s="54" t="s">
        <v>952</v>
      </c>
      <c r="O66" s="53"/>
      <c r="P66" s="10">
        <f>_xlfn.NUMBERVALUE(LEFT(MCC_Table6[[#This Row],[BUCKET]],LEN(MCC_Table6[[#This Row],[BUCKET]])-1))</f>
        <v>6</v>
      </c>
      <c r="Q66" s="10" t="str">
        <f>RIGHT(MCC_Table6[[#This Row],[BUCKET]],1)</f>
        <v>A</v>
      </c>
      <c r="R66" s="10">
        <f>VLOOKUP(MCC_Table6[[#This Row],[START UNIT]],UnitMap[],2,FALSE)</f>
        <v>1</v>
      </c>
      <c r="S66" s="10" cm="1">
        <f t="array" ref="S6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66" s="10">
        <f>IF(ISNUMBER(MCC_Table6[[#This Row],[SIZE]]), MCC_Table6[[#This Row],[SIZE]]/6, 0)</f>
        <v>12</v>
      </c>
      <c r="U66" s="10">
        <f>MCC_Table6[[#This Row],[START INDEX]]+MCC_Table6[[#This Row],[UNITS USED]]-1</f>
        <v>12</v>
      </c>
      <c r="V66" s="113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</row>
    <row r="67" spans="1:52" x14ac:dyDescent="0.3">
      <c r="A67" s="65" t="s">
        <v>988</v>
      </c>
      <c r="B67" s="10" t="s">
        <v>526</v>
      </c>
      <c r="C67" s="39" t="s">
        <v>1011</v>
      </c>
      <c r="D67" s="135" t="s">
        <v>1012</v>
      </c>
      <c r="E67" s="51" t="s">
        <v>904</v>
      </c>
      <c r="F67" s="87">
        <f>IF(ISNUMBER(MCC_Table6[[#This Row],[SIZE]]), MCC_Table6[[#This Row],[SIZE]]/12, 0)</f>
        <v>3.5</v>
      </c>
      <c r="G67" s="10">
        <v>75</v>
      </c>
      <c r="H67" s="10">
        <v>75</v>
      </c>
      <c r="I67" s="96">
        <v>96</v>
      </c>
      <c r="J67" s="10"/>
      <c r="K67" s="54">
        <v>250</v>
      </c>
      <c r="L67" s="54">
        <v>250</v>
      </c>
      <c r="M67" s="54">
        <v>175</v>
      </c>
      <c r="N67" s="54" t="s">
        <v>1013</v>
      </c>
      <c r="O67" s="53"/>
      <c r="P67" s="10">
        <f>_xlfn.NUMBERVALUE(LEFT(MCC_Table6[[#This Row],[BUCKET]],LEN(MCC_Table6[[#This Row],[BUCKET]])-1))</f>
        <v>7</v>
      </c>
      <c r="Q67" s="10" t="str">
        <f>RIGHT(MCC_Table6[[#This Row],[BUCKET]],1)</f>
        <v>A</v>
      </c>
      <c r="R67" s="10">
        <f>VLOOKUP(MCC_Table6[[#This Row],[START UNIT]],UnitMap[],2,FALSE)</f>
        <v>1</v>
      </c>
      <c r="S67" s="10" cm="1">
        <f t="array" ref="S6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67" s="10">
        <f>IF(ISNUMBER(MCC_Table6[[#This Row],[SIZE]]), MCC_Table6[[#This Row],[SIZE]]/6, 0)</f>
        <v>7</v>
      </c>
      <c r="U67" s="10">
        <f>MCC_Table6[[#This Row],[START INDEX]]+MCC_Table6[[#This Row],[UNITS USED]]-1</f>
        <v>7</v>
      </c>
      <c r="V67" s="111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</row>
    <row r="68" spans="1:52" x14ac:dyDescent="0.3">
      <c r="A68" s="67" t="s">
        <v>988</v>
      </c>
      <c r="B68" s="10" t="s">
        <v>1014</v>
      </c>
      <c r="C68" s="39" t="s">
        <v>1015</v>
      </c>
      <c r="D68" s="141" t="s">
        <v>1016</v>
      </c>
      <c r="E68" s="51" t="s">
        <v>904</v>
      </c>
      <c r="F68" s="87">
        <f>IF(ISNUMBER(MCC_Table6[[#This Row],[SIZE]]), MCC_Table6[[#This Row],[SIZE]]/12, 0)</f>
        <v>2.5</v>
      </c>
      <c r="G68" s="51">
        <v>10</v>
      </c>
      <c r="H68" s="10">
        <v>10</v>
      </c>
      <c r="I68" s="10">
        <v>14</v>
      </c>
      <c r="J68" s="10"/>
      <c r="K68" s="54">
        <v>30</v>
      </c>
      <c r="L68" s="54">
        <v>125</v>
      </c>
      <c r="M68" s="54">
        <v>25</v>
      </c>
      <c r="N68" s="54" t="s">
        <v>911</v>
      </c>
      <c r="O68" s="53" t="s">
        <v>1017</v>
      </c>
      <c r="P68" s="10">
        <f>_xlfn.NUMBERVALUE(LEFT(MCC_Table6[[#This Row],[BUCKET]],LEN(MCC_Table6[[#This Row],[BUCKET]])-1))</f>
        <v>7</v>
      </c>
      <c r="Q68" s="10" t="str">
        <f>RIGHT(MCC_Table6[[#This Row],[BUCKET]],1)</f>
        <v>H</v>
      </c>
      <c r="R68" s="10">
        <f>VLOOKUP(MCC_Table6[[#This Row],[START UNIT]],UnitMap[],2,FALSE)</f>
        <v>8</v>
      </c>
      <c r="S68" s="10" cm="1">
        <f t="array" ref="S6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68" s="10">
        <f>IF(ISNUMBER(MCC_Table6[[#This Row],[SIZE]]), MCC_Table6[[#This Row],[SIZE]]/6, 0)</f>
        <v>5</v>
      </c>
      <c r="U68" s="10">
        <f>MCC_Table6[[#This Row],[START INDEX]]+MCC_Table6[[#This Row],[UNITS USED]]-1</f>
        <v>12</v>
      </c>
      <c r="V68" s="113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</row>
    <row r="69" spans="1:52" x14ac:dyDescent="0.3">
      <c r="A69" s="67" t="s">
        <v>988</v>
      </c>
      <c r="B69" s="10" t="s">
        <v>534</v>
      </c>
      <c r="C69" s="39" t="s">
        <v>1018</v>
      </c>
      <c r="D69" s="135" t="s">
        <v>1019</v>
      </c>
      <c r="E69" s="51" t="s">
        <v>904</v>
      </c>
      <c r="F69" s="87">
        <f>IF(ISNUMBER(MCC_Table6[[#This Row],[SIZE]]), MCC_Table6[[#This Row],[SIZE]]/12, 0)</f>
        <v>2</v>
      </c>
      <c r="G69" s="10">
        <v>5</v>
      </c>
      <c r="H69" s="10">
        <v>5</v>
      </c>
      <c r="I69" s="54">
        <v>8</v>
      </c>
      <c r="J69" s="10"/>
      <c r="K69" s="54">
        <v>20</v>
      </c>
      <c r="L69" s="54">
        <v>125</v>
      </c>
      <c r="M69" s="54">
        <v>12</v>
      </c>
      <c r="N69" s="54" t="s">
        <v>911</v>
      </c>
      <c r="O69" s="53"/>
      <c r="P69" s="10">
        <f>_xlfn.NUMBERVALUE(LEFT(MCC_Table6[[#This Row],[BUCKET]],LEN(MCC_Table6[[#This Row],[BUCKET]])-1))</f>
        <v>8</v>
      </c>
      <c r="Q69" s="10" t="str">
        <f>RIGHT(MCC_Table6[[#This Row],[BUCKET]],1)</f>
        <v>A</v>
      </c>
      <c r="R69" s="10">
        <f>VLOOKUP(MCC_Table6[[#This Row],[START UNIT]],UnitMap[],2,FALSE)</f>
        <v>1</v>
      </c>
      <c r="S69" s="10" cm="1">
        <f t="array" ref="S6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69" s="10">
        <f>IF(ISNUMBER(MCC_Table6[[#This Row],[SIZE]]), MCC_Table6[[#This Row],[SIZE]]/6, 0)</f>
        <v>4</v>
      </c>
      <c r="U69" s="10">
        <f>MCC_Table6[[#This Row],[START INDEX]]+MCC_Table6[[#This Row],[UNITS USED]]-1</f>
        <v>4</v>
      </c>
      <c r="V69" s="111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</row>
    <row r="70" spans="1:52" x14ac:dyDescent="0.3">
      <c r="A70" s="67" t="s">
        <v>988</v>
      </c>
      <c r="B70" s="51" t="s">
        <v>1020</v>
      </c>
      <c r="C70" s="39" t="s">
        <v>462</v>
      </c>
      <c r="D70" s="136" t="s">
        <v>496</v>
      </c>
      <c r="E70" s="39" t="s">
        <v>462</v>
      </c>
      <c r="F70" s="86">
        <f>IF(ISNUMBER(MCC_Table6[[#This Row],[SIZE]]), MCC_Table6[[#This Row],[SIZE]]/12, 0)</f>
        <v>1</v>
      </c>
      <c r="G70" s="10"/>
      <c r="H70" s="10"/>
      <c r="I70" s="10"/>
      <c r="J70" s="10"/>
      <c r="K70" s="96"/>
      <c r="L70" s="54"/>
      <c r="M70" s="96"/>
      <c r="N70" s="96"/>
      <c r="O70" s="53"/>
      <c r="P70" s="51">
        <f>_xlfn.NUMBERVALUE(LEFT(MCC_Table6[[#This Row],[BUCKET]],LEN(MCC_Table6[[#This Row],[BUCKET]])-1))</f>
        <v>8</v>
      </c>
      <c r="Q70" s="51" t="str">
        <f>RIGHT(MCC_Table6[[#This Row],[BUCKET]],1)</f>
        <v>E</v>
      </c>
      <c r="R70" s="51">
        <f>VLOOKUP(MCC_Table6[[#This Row],[START UNIT]],UnitMap[],2,FALSE)</f>
        <v>5</v>
      </c>
      <c r="S70" s="51" cm="1">
        <f t="array" ref="S7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70" s="51">
        <f>IF(ISNUMBER(MCC_Table6[[#This Row],[SIZE]]), MCC_Table6[[#This Row],[SIZE]]/6, 0)</f>
        <v>2</v>
      </c>
      <c r="U70" s="51">
        <f>MCC_Table6[[#This Row],[START INDEX]]+MCC_Table6[[#This Row],[UNITS USED]]-1</f>
        <v>6</v>
      </c>
      <c r="V70" s="113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</row>
    <row r="71" spans="1:52" x14ac:dyDescent="0.3">
      <c r="A71" s="67" t="s">
        <v>988</v>
      </c>
      <c r="B71" s="10" t="s">
        <v>1021</v>
      </c>
      <c r="C71" s="39" t="s">
        <v>1022</v>
      </c>
      <c r="D71" s="135" t="s">
        <v>1023</v>
      </c>
      <c r="E71" s="51" t="s">
        <v>904</v>
      </c>
      <c r="F71" s="87">
        <f>IF(ISNUMBER(MCC_Table6[[#This Row],[SIZE]]), MCC_Table6[[#This Row],[SIZE]]/12, 0)</f>
        <v>3</v>
      </c>
      <c r="G71" s="51">
        <v>20</v>
      </c>
      <c r="H71" s="10">
        <v>20</v>
      </c>
      <c r="I71" s="96">
        <v>27</v>
      </c>
      <c r="J71" s="10"/>
      <c r="K71" s="96">
        <v>60</v>
      </c>
      <c r="L71" s="54">
        <v>125</v>
      </c>
      <c r="M71" s="96">
        <v>45</v>
      </c>
      <c r="N71" s="54" t="s">
        <v>1024</v>
      </c>
      <c r="O71" s="53"/>
      <c r="P71" s="10">
        <f>_xlfn.NUMBERVALUE(LEFT(MCC_Table6[[#This Row],[BUCKET]],LEN(MCC_Table6[[#This Row],[BUCKET]])-1))</f>
        <v>8</v>
      </c>
      <c r="Q71" s="10" t="str">
        <f>RIGHT(MCC_Table6[[#This Row],[BUCKET]],1)</f>
        <v>G</v>
      </c>
      <c r="R71" s="10">
        <f>VLOOKUP(MCC_Table6[[#This Row],[START UNIT]],UnitMap[],2,FALSE)</f>
        <v>7</v>
      </c>
      <c r="S71" s="10" cm="1">
        <f t="array" ref="S7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71" s="10">
        <f>IF(ISNUMBER(MCC_Table6[[#This Row],[SIZE]]), MCC_Table6[[#This Row],[SIZE]]/6, 0)</f>
        <v>6</v>
      </c>
      <c r="U71" s="10">
        <f>MCC_Table6[[#This Row],[START INDEX]]+MCC_Table6[[#This Row],[UNITS USED]]-1</f>
        <v>12</v>
      </c>
      <c r="V71" s="113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</row>
    <row r="72" spans="1:52" x14ac:dyDescent="0.3">
      <c r="A72" s="67" t="s">
        <v>988</v>
      </c>
      <c r="B72" s="10" t="s">
        <v>541</v>
      </c>
      <c r="C72" s="39" t="s">
        <v>1025</v>
      </c>
      <c r="D72" s="135" t="s">
        <v>1026</v>
      </c>
      <c r="E72" s="51" t="s">
        <v>904</v>
      </c>
      <c r="F72" s="87">
        <f>IF(ISNUMBER(MCC_Table6[[#This Row],[SIZE]]), MCC_Table6[[#This Row],[SIZE]]/12, 0)</f>
        <v>2</v>
      </c>
      <c r="G72" s="51">
        <v>5</v>
      </c>
      <c r="H72" s="10">
        <v>5</v>
      </c>
      <c r="I72" s="54">
        <v>8</v>
      </c>
      <c r="J72" s="10"/>
      <c r="K72" s="54">
        <v>20</v>
      </c>
      <c r="L72" s="54">
        <v>125</v>
      </c>
      <c r="M72" s="54">
        <v>12</v>
      </c>
      <c r="N72" s="54" t="s">
        <v>911</v>
      </c>
      <c r="O72" s="53"/>
      <c r="P72" s="10">
        <f>_xlfn.NUMBERVALUE(LEFT(MCC_Table6[[#This Row],[BUCKET]],LEN(MCC_Table6[[#This Row],[BUCKET]])-1))</f>
        <v>9</v>
      </c>
      <c r="Q72" s="10" t="str">
        <f>RIGHT(MCC_Table6[[#This Row],[BUCKET]],1)</f>
        <v>A</v>
      </c>
      <c r="R72" s="10">
        <f>VLOOKUP(MCC_Table6[[#This Row],[START UNIT]],UnitMap[],2,FALSE)</f>
        <v>1</v>
      </c>
      <c r="S72" s="10" cm="1">
        <f t="array" ref="S7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72" s="10">
        <f>IF(ISNUMBER(MCC_Table6[[#This Row],[SIZE]]), MCC_Table6[[#This Row],[SIZE]]/6, 0)</f>
        <v>4</v>
      </c>
      <c r="U72" s="10">
        <f>MCC_Table6[[#This Row],[START INDEX]]+MCC_Table6[[#This Row],[UNITS USED]]-1</f>
        <v>4</v>
      </c>
      <c r="V72" s="111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</row>
    <row r="73" spans="1:52" x14ac:dyDescent="0.3">
      <c r="A73" s="67" t="s">
        <v>988</v>
      </c>
      <c r="B73" s="51" t="s">
        <v>544</v>
      </c>
      <c r="C73" s="39" t="s">
        <v>462</v>
      </c>
      <c r="D73" s="136" t="s">
        <v>496</v>
      </c>
      <c r="E73" s="39" t="s">
        <v>462</v>
      </c>
      <c r="F73" s="86">
        <f>IF(ISNUMBER(MCC_Table6[[#This Row],[SIZE]]), MCC_Table6[[#This Row],[SIZE]]/12, 0)</f>
        <v>1</v>
      </c>
      <c r="G73" s="10"/>
      <c r="H73" s="10"/>
      <c r="I73" s="10"/>
      <c r="J73" s="10"/>
      <c r="K73" s="96"/>
      <c r="L73" s="54"/>
      <c r="M73" s="96"/>
      <c r="N73" s="96"/>
      <c r="O73" s="53"/>
      <c r="P73" s="51">
        <f>_xlfn.NUMBERVALUE(LEFT(MCC_Table6[[#This Row],[BUCKET]],LEN(MCC_Table6[[#This Row],[BUCKET]])-1))</f>
        <v>9</v>
      </c>
      <c r="Q73" s="51" t="str">
        <f>RIGHT(MCC_Table6[[#This Row],[BUCKET]],1)</f>
        <v>E</v>
      </c>
      <c r="R73" s="51">
        <f>VLOOKUP(MCC_Table6[[#This Row],[START UNIT]],UnitMap[],2,FALSE)</f>
        <v>5</v>
      </c>
      <c r="S73" s="51" cm="1">
        <f t="array" ref="S7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73" s="51">
        <f>IF(ISNUMBER(MCC_Table6[[#This Row],[SIZE]]), MCC_Table6[[#This Row],[SIZE]]/6, 0)</f>
        <v>2</v>
      </c>
      <c r="U73" s="51">
        <f>MCC_Table6[[#This Row],[START INDEX]]+MCC_Table6[[#This Row],[UNITS USED]]-1</f>
        <v>6</v>
      </c>
      <c r="V73" s="113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</row>
    <row r="74" spans="1:52" x14ac:dyDescent="0.3">
      <c r="A74" s="67" t="s">
        <v>988</v>
      </c>
      <c r="B74" s="10" t="s">
        <v>1027</v>
      </c>
      <c r="C74" s="39" t="s">
        <v>1028</v>
      </c>
      <c r="D74" s="135" t="s">
        <v>1029</v>
      </c>
      <c r="E74" s="51" t="s">
        <v>904</v>
      </c>
      <c r="F74" s="87">
        <f>IF(ISNUMBER(MCC_Table6[[#This Row],[SIZE]]), MCC_Table6[[#This Row],[SIZE]]/12, 0)</f>
        <v>3</v>
      </c>
      <c r="G74" s="51">
        <v>20</v>
      </c>
      <c r="H74" s="10">
        <v>20</v>
      </c>
      <c r="I74" s="96">
        <v>27</v>
      </c>
      <c r="J74" s="10"/>
      <c r="K74" s="96">
        <v>60</v>
      </c>
      <c r="L74" s="54">
        <v>125</v>
      </c>
      <c r="M74" s="96">
        <v>45</v>
      </c>
      <c r="N74" s="54" t="s">
        <v>1024</v>
      </c>
      <c r="O74" s="53"/>
      <c r="P74" s="10">
        <f>_xlfn.NUMBERVALUE(LEFT(MCC_Table6[[#This Row],[BUCKET]],LEN(MCC_Table6[[#This Row],[BUCKET]])-1))</f>
        <v>9</v>
      </c>
      <c r="Q74" s="10" t="str">
        <f>RIGHT(MCC_Table6[[#This Row],[BUCKET]],1)</f>
        <v>G</v>
      </c>
      <c r="R74" s="10">
        <f>VLOOKUP(MCC_Table6[[#This Row],[START UNIT]],UnitMap[],2,FALSE)</f>
        <v>7</v>
      </c>
      <c r="S74" s="10" cm="1">
        <f t="array" ref="S7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74" s="10">
        <f>IF(ISNUMBER(MCC_Table6[[#This Row],[SIZE]]), MCC_Table6[[#This Row],[SIZE]]/6, 0)</f>
        <v>6</v>
      </c>
      <c r="U74" s="10">
        <f>MCC_Table6[[#This Row],[START INDEX]]+MCC_Table6[[#This Row],[UNITS USED]]-1</f>
        <v>12</v>
      </c>
      <c r="V74" s="113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</row>
    <row r="75" spans="1:52" x14ac:dyDescent="0.3">
      <c r="A75" s="67" t="s">
        <v>988</v>
      </c>
      <c r="B75" s="10" t="s">
        <v>550</v>
      </c>
      <c r="C75" s="39" t="s">
        <v>1030</v>
      </c>
      <c r="D75" s="135" t="s">
        <v>1031</v>
      </c>
      <c r="E75" s="51" t="s">
        <v>904</v>
      </c>
      <c r="F75" s="87">
        <f>IF(ISNUMBER(MCC_Table6[[#This Row],[SIZE]]), MCC_Table6[[#This Row],[SIZE]]/12, 0)</f>
        <v>2</v>
      </c>
      <c r="G75" s="51">
        <v>5</v>
      </c>
      <c r="H75" s="10">
        <v>5</v>
      </c>
      <c r="I75" s="54">
        <v>8</v>
      </c>
      <c r="J75" s="10"/>
      <c r="K75" s="54">
        <v>20</v>
      </c>
      <c r="L75" s="54">
        <v>125</v>
      </c>
      <c r="M75" s="54">
        <v>12</v>
      </c>
      <c r="N75" s="54" t="s">
        <v>911</v>
      </c>
      <c r="O75" s="53"/>
      <c r="P75" s="10">
        <f>_xlfn.NUMBERVALUE(LEFT(MCC_Table6[[#This Row],[BUCKET]],LEN(MCC_Table6[[#This Row],[BUCKET]])-1))</f>
        <v>10</v>
      </c>
      <c r="Q75" s="10" t="str">
        <f>RIGHT(MCC_Table6[[#This Row],[BUCKET]],1)</f>
        <v>A</v>
      </c>
      <c r="R75" s="10">
        <f>VLOOKUP(MCC_Table6[[#This Row],[START UNIT]],UnitMap[],2,FALSE)</f>
        <v>1</v>
      </c>
      <c r="S75" s="10" cm="1">
        <f t="array" ref="S7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75" s="10">
        <f>IF(ISNUMBER(MCC_Table6[[#This Row],[SIZE]]), MCC_Table6[[#This Row],[SIZE]]/6, 0)</f>
        <v>4</v>
      </c>
      <c r="U75" s="10">
        <f>MCC_Table6[[#This Row],[START INDEX]]+MCC_Table6[[#This Row],[UNITS USED]]-1</f>
        <v>4</v>
      </c>
      <c r="V75" s="113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</row>
    <row r="76" spans="1:52" x14ac:dyDescent="0.3">
      <c r="A76" s="67" t="s">
        <v>988</v>
      </c>
      <c r="B76" s="10" t="s">
        <v>553</v>
      </c>
      <c r="C76" s="39" t="s">
        <v>1032</v>
      </c>
      <c r="D76" s="135" t="s">
        <v>1033</v>
      </c>
      <c r="E76" s="51" t="s">
        <v>904</v>
      </c>
      <c r="F76" s="87">
        <f>IF(ISNUMBER(MCC_Table6[[#This Row],[SIZE]]), MCC_Table6[[#This Row],[SIZE]]/12, 0)</f>
        <v>3</v>
      </c>
      <c r="G76" s="10">
        <v>20</v>
      </c>
      <c r="H76" s="10">
        <v>20</v>
      </c>
      <c r="I76" s="96">
        <v>27</v>
      </c>
      <c r="J76" s="10"/>
      <c r="K76" s="96">
        <v>60</v>
      </c>
      <c r="L76" s="54">
        <v>125</v>
      </c>
      <c r="M76" s="96">
        <v>45</v>
      </c>
      <c r="N76" s="54" t="s">
        <v>1024</v>
      </c>
      <c r="O76" s="53"/>
      <c r="P76" s="10">
        <f>_xlfn.NUMBERVALUE(LEFT(MCC_Table6[[#This Row],[BUCKET]],LEN(MCC_Table6[[#This Row],[BUCKET]])-1))</f>
        <v>10</v>
      </c>
      <c r="Q76" s="10" t="str">
        <f>RIGHT(MCC_Table6[[#This Row],[BUCKET]],1)</f>
        <v>E</v>
      </c>
      <c r="R76" s="10">
        <f>VLOOKUP(MCC_Table6[[#This Row],[START UNIT]],UnitMap[],2,FALSE)</f>
        <v>5</v>
      </c>
      <c r="S76" s="10" cm="1">
        <f t="array" ref="S7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76" s="10">
        <f>IF(ISNUMBER(MCC_Table6[[#This Row],[SIZE]]), MCC_Table6[[#This Row],[SIZE]]/6, 0)</f>
        <v>6</v>
      </c>
      <c r="U76" s="10">
        <f>MCC_Table6[[#This Row],[START INDEX]]+MCC_Table6[[#This Row],[UNITS USED]]-1</f>
        <v>10</v>
      </c>
      <c r="V76" s="111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</row>
    <row r="77" spans="1:52" x14ac:dyDescent="0.3">
      <c r="A77" s="67" t="s">
        <v>988</v>
      </c>
      <c r="B77" s="51" t="s">
        <v>1034</v>
      </c>
      <c r="C77" s="39" t="s">
        <v>1035</v>
      </c>
      <c r="D77" s="136" t="s">
        <v>467</v>
      </c>
      <c r="E77" s="39" t="s">
        <v>468</v>
      </c>
      <c r="F77" s="86">
        <f>IF(ISNUMBER(MCC_Table6[[#This Row],[SIZE]]), MCC_Table6[[#This Row],[SIZE]]/12, 0)</f>
        <v>1</v>
      </c>
      <c r="G77" s="10"/>
      <c r="H77" s="10"/>
      <c r="I77" s="10"/>
      <c r="J77" s="10"/>
      <c r="K77" s="54"/>
      <c r="L77" s="54"/>
      <c r="M77" s="54"/>
      <c r="N77" s="54"/>
      <c r="O77" s="53"/>
      <c r="P77" s="51">
        <f>_xlfn.NUMBERVALUE(LEFT(MCC_Table6[[#This Row],[BUCKET]],LEN(MCC_Table6[[#This Row],[BUCKET]])-1))</f>
        <v>10</v>
      </c>
      <c r="Q77" s="51" t="str">
        <f>RIGHT(MCC_Table6[[#This Row],[BUCKET]],1)</f>
        <v>L</v>
      </c>
      <c r="R77" s="51">
        <f>VLOOKUP(MCC_Table6[[#This Row],[START UNIT]],UnitMap[],2,FALSE)</f>
        <v>11</v>
      </c>
      <c r="S77" s="51" cm="1">
        <f t="array" ref="S7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77" s="51">
        <f>IF(ISNUMBER(MCC_Table6[[#This Row],[SIZE]]), MCC_Table6[[#This Row],[SIZE]]/6, 0)</f>
        <v>2</v>
      </c>
      <c r="U77" s="51">
        <f>MCC_Table6[[#This Row],[START INDEX]]+MCC_Table6[[#This Row],[UNITS USED]]-1</f>
        <v>12</v>
      </c>
      <c r="V77" s="109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</row>
    <row r="78" spans="1:52" x14ac:dyDescent="0.3">
      <c r="A78" s="67" t="s">
        <v>988</v>
      </c>
      <c r="B78" s="10" t="s">
        <v>559</v>
      </c>
      <c r="C78" s="39" t="s">
        <v>462</v>
      </c>
      <c r="D78" s="136" t="s">
        <v>1036</v>
      </c>
      <c r="E78" s="39" t="s">
        <v>462</v>
      </c>
      <c r="F78" s="87">
        <f>IF(ISNUMBER(MCC_Table6[[#This Row],[SIZE]]), MCC_Table6[[#This Row],[SIZE]]/12, 0)</f>
        <v>1.5</v>
      </c>
      <c r="G78" s="10"/>
      <c r="H78" s="10"/>
      <c r="I78" s="10"/>
      <c r="J78" s="10"/>
      <c r="K78" s="96"/>
      <c r="L78" s="54"/>
      <c r="M78" s="96"/>
      <c r="N78" s="96"/>
      <c r="O78" s="53"/>
      <c r="P78" s="10">
        <f>_xlfn.NUMBERVALUE(LEFT(MCC_Table6[[#This Row],[BUCKET]],LEN(MCC_Table6[[#This Row],[BUCKET]])-1))</f>
        <v>11</v>
      </c>
      <c r="Q78" s="10" t="str">
        <f>RIGHT(MCC_Table6[[#This Row],[BUCKET]],1)</f>
        <v>A</v>
      </c>
      <c r="R78" s="10">
        <f>VLOOKUP(MCC_Table6[[#This Row],[START UNIT]],UnitMap[],2,FALSE)</f>
        <v>1</v>
      </c>
      <c r="S78" s="10" cm="1">
        <f t="array" ref="S7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78" s="10">
        <f>IF(ISNUMBER(MCC_Table6[[#This Row],[SIZE]]), MCC_Table6[[#This Row],[SIZE]]/6, 0)</f>
        <v>3</v>
      </c>
      <c r="U78" s="10">
        <f>MCC_Table6[[#This Row],[START INDEX]]+MCC_Table6[[#This Row],[UNITS USED]]-1</f>
        <v>3</v>
      </c>
      <c r="V78" s="115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</row>
    <row r="79" spans="1:52" x14ac:dyDescent="0.3">
      <c r="A79" s="65" t="s">
        <v>988</v>
      </c>
      <c r="B79" s="10" t="s">
        <v>1037</v>
      </c>
      <c r="C79" s="39" t="s">
        <v>1038</v>
      </c>
      <c r="D79" s="135" t="s">
        <v>1039</v>
      </c>
      <c r="E79" s="51" t="s">
        <v>904</v>
      </c>
      <c r="F79" s="87">
        <f>IF(ISNUMBER(MCC_Table6[[#This Row],[SIZE]]), MCC_Table6[[#This Row],[SIZE]]/12, 0)</f>
        <v>2</v>
      </c>
      <c r="G79" s="51">
        <v>2</v>
      </c>
      <c r="H79" s="10">
        <v>2</v>
      </c>
      <c r="I79" s="10">
        <v>3.4</v>
      </c>
      <c r="J79" s="10"/>
      <c r="K79" s="54">
        <v>15</v>
      </c>
      <c r="L79" s="54">
        <v>125</v>
      </c>
      <c r="M79" s="54">
        <v>6</v>
      </c>
      <c r="N79" s="54" t="s">
        <v>911</v>
      </c>
      <c r="O79" s="53"/>
      <c r="P79" s="10">
        <f>_xlfn.NUMBERVALUE(LEFT(MCC_Table6[[#This Row],[BUCKET]],LEN(MCC_Table6[[#This Row],[BUCKET]])-1))</f>
        <v>11</v>
      </c>
      <c r="Q79" s="10" t="str">
        <f>RIGHT(MCC_Table6[[#This Row],[BUCKET]],1)</f>
        <v>D</v>
      </c>
      <c r="R79" s="10">
        <f>VLOOKUP(MCC_Table6[[#This Row],[START UNIT]],UnitMap[],2,FALSE)</f>
        <v>4</v>
      </c>
      <c r="S79" s="10" cm="1">
        <f t="array" ref="S7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79" s="10">
        <f>IF(ISNUMBER(MCC_Table6[[#This Row],[SIZE]]), MCC_Table6[[#This Row],[SIZE]]/6, 0)</f>
        <v>4</v>
      </c>
      <c r="U79" s="10">
        <f>MCC_Table6[[#This Row],[START INDEX]]+MCC_Table6[[#This Row],[UNITS USED]]-1</f>
        <v>7</v>
      </c>
      <c r="V79" s="111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</row>
    <row r="80" spans="1:52" x14ac:dyDescent="0.3">
      <c r="A80" s="67" t="s">
        <v>988</v>
      </c>
      <c r="B80" s="10" t="s">
        <v>944</v>
      </c>
      <c r="C80" s="39" t="s">
        <v>1040</v>
      </c>
      <c r="D80" s="141" t="s">
        <v>1041</v>
      </c>
      <c r="E80" s="51" t="s">
        <v>904</v>
      </c>
      <c r="F80" s="87">
        <f>IF(ISNUMBER(MCC_Table6[[#This Row],[SIZE]]), MCC_Table6[[#This Row],[SIZE]]/12, 0)</f>
        <v>2.5</v>
      </c>
      <c r="G80" s="51">
        <v>10</v>
      </c>
      <c r="H80" s="10">
        <v>10</v>
      </c>
      <c r="I80" s="10">
        <v>14</v>
      </c>
      <c r="J80" s="10"/>
      <c r="K80" s="54">
        <v>30</v>
      </c>
      <c r="L80" s="54">
        <v>125</v>
      </c>
      <c r="M80" s="54">
        <v>25</v>
      </c>
      <c r="N80" s="54" t="s">
        <v>911</v>
      </c>
      <c r="O80" s="53"/>
      <c r="P80" s="10">
        <f>_xlfn.NUMBERVALUE(LEFT(MCC_Table6[[#This Row],[BUCKET]],LEN(MCC_Table6[[#This Row],[BUCKET]])-1))</f>
        <v>11</v>
      </c>
      <c r="Q80" s="10" t="str">
        <f>RIGHT(MCC_Table6[[#This Row],[BUCKET]],1)</f>
        <v>H</v>
      </c>
      <c r="R80" s="10">
        <f>VLOOKUP(MCC_Table6[[#This Row],[START UNIT]],UnitMap[],2,FALSE)</f>
        <v>8</v>
      </c>
      <c r="S80" s="10" cm="1">
        <f t="array" ref="S8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80" s="10">
        <f>IF(ISNUMBER(MCC_Table6[[#This Row],[SIZE]]), MCC_Table6[[#This Row],[SIZE]]/6, 0)</f>
        <v>5</v>
      </c>
      <c r="U80" s="10">
        <f>MCC_Table6[[#This Row],[START INDEX]]+MCC_Table6[[#This Row],[UNITS USED]]-1</f>
        <v>12</v>
      </c>
      <c r="V80" s="113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</row>
    <row r="81" spans="1:52" x14ac:dyDescent="0.3">
      <c r="A81" s="67" t="s">
        <v>988</v>
      </c>
      <c r="B81" s="51" t="s">
        <v>565</v>
      </c>
      <c r="C81" s="39" t="s">
        <v>1042</v>
      </c>
      <c r="D81" s="136" t="s">
        <v>992</v>
      </c>
      <c r="E81" s="39" t="s">
        <v>993</v>
      </c>
      <c r="F81" s="86">
        <f>IF(ISNUMBER(MCC_Table6[[#This Row],[SIZE]]), MCC_Table6[[#This Row],[SIZE]]/12, 0)</f>
        <v>1</v>
      </c>
      <c r="G81" s="10"/>
      <c r="H81" s="10"/>
      <c r="I81" s="10"/>
      <c r="J81" s="10"/>
      <c r="K81" s="96"/>
      <c r="L81" s="54"/>
      <c r="M81" s="96"/>
      <c r="N81" s="96"/>
      <c r="O81" s="53"/>
      <c r="P81" s="51">
        <f>_xlfn.NUMBERVALUE(LEFT(MCC_Table6[[#This Row],[BUCKET]],LEN(MCC_Table6[[#This Row],[BUCKET]])-1))</f>
        <v>12</v>
      </c>
      <c r="Q81" s="51" t="str">
        <f>RIGHT(MCC_Table6[[#This Row],[BUCKET]],1)</f>
        <v>A</v>
      </c>
      <c r="R81" s="51">
        <f>VLOOKUP(MCC_Table6[[#This Row],[START UNIT]],UnitMap[],2,FALSE)</f>
        <v>1</v>
      </c>
      <c r="S81" s="51" cm="1">
        <f t="array" ref="S8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81" s="51">
        <f>IF(ISNUMBER(MCC_Table6[[#This Row],[SIZE]]), MCC_Table6[[#This Row],[SIZE]]/6, 0)</f>
        <v>2</v>
      </c>
      <c r="U81" s="51">
        <f>MCC_Table6[[#This Row],[START INDEX]]+MCC_Table6[[#This Row],[UNITS USED]]-1</f>
        <v>2</v>
      </c>
      <c r="V81" s="115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</row>
    <row r="82" spans="1:52" x14ac:dyDescent="0.3">
      <c r="A82" s="67" t="s">
        <v>988</v>
      </c>
      <c r="B82" s="10" t="s">
        <v>1043</v>
      </c>
      <c r="C82" s="39" t="s">
        <v>53</v>
      </c>
      <c r="D82" s="135" t="s">
        <v>1044</v>
      </c>
      <c r="E82" s="51" t="s">
        <v>892</v>
      </c>
      <c r="F82" s="87">
        <f>IF(ISNUMBER(MCC_Table6[[#This Row],[SIZE]]), MCC_Table6[[#This Row],[SIZE]]/12, 0)</f>
        <v>1</v>
      </c>
      <c r="G82" s="10"/>
      <c r="H82" s="10">
        <v>5</v>
      </c>
      <c r="I82" s="54">
        <v>8</v>
      </c>
      <c r="J82" s="10">
        <v>1</v>
      </c>
      <c r="K82" s="96">
        <v>15</v>
      </c>
      <c r="L82" s="54">
        <v>125</v>
      </c>
      <c r="M82" s="96" t="s">
        <v>303</v>
      </c>
      <c r="N82" s="54" t="s">
        <v>955</v>
      </c>
      <c r="O82" s="53"/>
      <c r="P82" s="10">
        <f>_xlfn.NUMBERVALUE(LEFT(MCC_Table6[[#This Row],[BUCKET]],LEN(MCC_Table6[[#This Row],[BUCKET]])-1))</f>
        <v>12</v>
      </c>
      <c r="Q82" s="10" t="str">
        <f>RIGHT(MCC_Table6[[#This Row],[BUCKET]],1)</f>
        <v>C</v>
      </c>
      <c r="R82" s="10">
        <f>VLOOKUP(MCC_Table6[[#This Row],[START UNIT]],UnitMap[],2,FALSE)</f>
        <v>3</v>
      </c>
      <c r="S82" s="10" cm="1">
        <f t="array" ref="S8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82" s="10">
        <f>IF(ISNUMBER(MCC_Table6[[#This Row],[SIZE]]), MCC_Table6[[#This Row],[SIZE]]/6, 0)</f>
        <v>2</v>
      </c>
      <c r="U82" s="10">
        <f>MCC_Table6[[#This Row],[START INDEX]]+MCC_Table6[[#This Row],[UNITS USED]]-1</f>
        <v>4</v>
      </c>
      <c r="V82" s="113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</row>
    <row r="83" spans="1:52" x14ac:dyDescent="0.3">
      <c r="A83" s="67" t="s">
        <v>988</v>
      </c>
      <c r="B83" s="10" t="s">
        <v>949</v>
      </c>
      <c r="C83" s="39" t="s">
        <v>1045</v>
      </c>
      <c r="D83" s="135" t="s">
        <v>1046</v>
      </c>
      <c r="E83" s="51" t="s">
        <v>904</v>
      </c>
      <c r="F83" s="87">
        <f>IF(ISNUMBER(MCC_Table6[[#This Row],[SIZE]]), MCC_Table6[[#This Row],[SIZE]]/12, 0)</f>
        <v>2</v>
      </c>
      <c r="G83" s="51">
        <v>1</v>
      </c>
      <c r="H83" s="10">
        <v>2</v>
      </c>
      <c r="I83" s="10">
        <v>3.4</v>
      </c>
      <c r="J83" s="10"/>
      <c r="K83" s="54">
        <v>15</v>
      </c>
      <c r="L83" s="54">
        <v>125</v>
      </c>
      <c r="M83" s="54">
        <v>6</v>
      </c>
      <c r="N83" s="54" t="s">
        <v>911</v>
      </c>
      <c r="O83" s="53"/>
      <c r="P83" s="10">
        <f>_xlfn.NUMBERVALUE(LEFT(MCC_Table6[[#This Row],[BUCKET]],LEN(MCC_Table6[[#This Row],[BUCKET]])-1))</f>
        <v>12</v>
      </c>
      <c r="Q83" s="10" t="str">
        <f>RIGHT(MCC_Table6[[#This Row],[BUCKET]],1)</f>
        <v>E</v>
      </c>
      <c r="R83" s="10">
        <f>VLOOKUP(MCC_Table6[[#This Row],[START UNIT]],UnitMap[],2,FALSE)</f>
        <v>5</v>
      </c>
      <c r="S83" s="10" cm="1">
        <f t="array" ref="S8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83" s="10">
        <f>IF(ISNUMBER(MCC_Table6[[#This Row],[SIZE]]), MCC_Table6[[#This Row],[SIZE]]/6, 0)</f>
        <v>4</v>
      </c>
      <c r="U83" s="10">
        <f>MCC_Table6[[#This Row],[START INDEX]]+MCC_Table6[[#This Row],[UNITS USED]]-1</f>
        <v>8</v>
      </c>
      <c r="V83" s="113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</row>
    <row r="84" spans="1:52" x14ac:dyDescent="0.3">
      <c r="A84" s="67" t="s">
        <v>988</v>
      </c>
      <c r="B84" s="10" t="s">
        <v>1047</v>
      </c>
      <c r="C84" s="39" t="s">
        <v>1048</v>
      </c>
      <c r="D84" s="135" t="s">
        <v>1049</v>
      </c>
      <c r="E84" s="51" t="s">
        <v>904</v>
      </c>
      <c r="F84" s="87">
        <f>IF(ISNUMBER(MCC_Table6[[#This Row],[SIZE]]), MCC_Table6[[#This Row],[SIZE]]/12, 0)</f>
        <v>2</v>
      </c>
      <c r="G84" s="51">
        <v>1</v>
      </c>
      <c r="H84" s="10">
        <v>2</v>
      </c>
      <c r="I84" s="10">
        <v>3.4</v>
      </c>
      <c r="J84" s="10"/>
      <c r="K84" s="54">
        <v>15</v>
      </c>
      <c r="L84" s="54">
        <v>125</v>
      </c>
      <c r="M84" s="54">
        <v>6</v>
      </c>
      <c r="N84" s="54" t="s">
        <v>911</v>
      </c>
      <c r="O84" s="53"/>
      <c r="P84" s="10">
        <f>_xlfn.NUMBERVALUE(LEFT(MCC_Table6[[#This Row],[BUCKET]],LEN(MCC_Table6[[#This Row],[BUCKET]])-1))</f>
        <v>12</v>
      </c>
      <c r="Q84" s="10" t="str">
        <f>RIGHT(MCC_Table6[[#This Row],[BUCKET]],1)</f>
        <v>J</v>
      </c>
      <c r="R84" s="10">
        <f>VLOOKUP(MCC_Table6[[#This Row],[START UNIT]],UnitMap[],2,FALSE)</f>
        <v>9</v>
      </c>
      <c r="S84" s="10" cm="1">
        <f t="array" ref="S8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84" s="10">
        <f>IF(ISNUMBER(MCC_Table6[[#This Row],[SIZE]]), MCC_Table6[[#This Row],[SIZE]]/6, 0)</f>
        <v>4</v>
      </c>
      <c r="U84" s="10">
        <f>MCC_Table6[[#This Row],[START INDEX]]+MCC_Table6[[#This Row],[UNITS USED]]-1</f>
        <v>12</v>
      </c>
      <c r="V84" s="113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</row>
    <row r="85" spans="1:52" ht="28.8" x14ac:dyDescent="0.3">
      <c r="A85" s="67" t="s">
        <v>988</v>
      </c>
      <c r="B85" s="10" t="s">
        <v>953</v>
      </c>
      <c r="C85" s="39" t="s">
        <v>1050</v>
      </c>
      <c r="D85" s="141" t="s">
        <v>1051</v>
      </c>
      <c r="E85" s="51" t="s">
        <v>904</v>
      </c>
      <c r="F85" s="87">
        <f>IF(ISNUMBER(MCC_Table6[[#This Row],[SIZE]]), MCC_Table6[[#This Row],[SIZE]]/12, 0)</f>
        <v>6</v>
      </c>
      <c r="G85" s="51" t="s">
        <v>1052</v>
      </c>
      <c r="H85" s="10">
        <v>75</v>
      </c>
      <c r="I85" s="96">
        <v>96</v>
      </c>
      <c r="J85" s="10"/>
      <c r="K85" s="96">
        <v>250</v>
      </c>
      <c r="L85" s="54">
        <v>250</v>
      </c>
      <c r="M85" s="96">
        <v>175</v>
      </c>
      <c r="N85" s="54" t="s">
        <v>1053</v>
      </c>
      <c r="O85" s="53" t="s">
        <v>1054</v>
      </c>
      <c r="P85" s="10">
        <f>_xlfn.NUMBERVALUE(LEFT(MCC_Table6[[#This Row],[BUCKET]],LEN(MCC_Table6[[#This Row],[BUCKET]])-1))</f>
        <v>13</v>
      </c>
      <c r="Q85" s="10" t="str">
        <f>RIGHT(MCC_Table6[[#This Row],[BUCKET]],1)</f>
        <v>A</v>
      </c>
      <c r="R85" s="10">
        <f>VLOOKUP(MCC_Table6[[#This Row],[START UNIT]],UnitMap[],2,FALSE)</f>
        <v>1</v>
      </c>
      <c r="S85" s="10" cm="1">
        <f t="array" ref="S8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85" s="10">
        <f>IF(ISNUMBER(MCC_Table6[[#This Row],[SIZE]]), MCC_Table6[[#This Row],[SIZE]]/6, 0)</f>
        <v>12</v>
      </c>
      <c r="U85" s="10">
        <f>MCC_Table6[[#This Row],[START INDEX]]+MCC_Table6[[#This Row],[UNITS USED]]-1</f>
        <v>12</v>
      </c>
      <c r="V85" s="113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</row>
    <row r="86" spans="1:52" x14ac:dyDescent="0.3">
      <c r="A86" s="67" t="s">
        <v>988</v>
      </c>
      <c r="B86" s="10" t="s">
        <v>963</v>
      </c>
      <c r="C86" s="39" t="s">
        <v>200</v>
      </c>
      <c r="D86" s="141" t="s">
        <v>1055</v>
      </c>
      <c r="E86" s="51" t="s">
        <v>892</v>
      </c>
      <c r="F86" s="87">
        <f>IF(ISNUMBER(MCC_Table6[[#This Row],[SIZE]]), MCC_Table6[[#This Row],[SIZE]]/12, 0)</f>
        <v>1</v>
      </c>
      <c r="G86" s="51">
        <v>7.5</v>
      </c>
      <c r="H86" s="10">
        <v>7.5</v>
      </c>
      <c r="I86" s="10"/>
      <c r="J86" s="10">
        <v>1</v>
      </c>
      <c r="K86" s="96">
        <v>30</v>
      </c>
      <c r="L86" s="54">
        <v>125</v>
      </c>
      <c r="M86" s="96" t="s">
        <v>303</v>
      </c>
      <c r="N86" s="54" t="s">
        <v>955</v>
      </c>
      <c r="O86" s="53"/>
      <c r="P86" s="10">
        <f>_xlfn.NUMBERVALUE(LEFT(MCC_Table6[[#This Row],[BUCKET]],LEN(MCC_Table6[[#This Row],[BUCKET]])-1))</f>
        <v>14</v>
      </c>
      <c r="Q86" s="10" t="str">
        <f>RIGHT(MCC_Table6[[#This Row],[BUCKET]],1)</f>
        <v>A</v>
      </c>
      <c r="R86" s="10">
        <f>VLOOKUP(MCC_Table6[[#This Row],[START UNIT]],UnitMap[],2,FALSE)</f>
        <v>1</v>
      </c>
      <c r="S86" s="10" cm="1">
        <f t="array" ref="S8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86" s="10">
        <f>IF(ISNUMBER(MCC_Table6[[#This Row],[SIZE]]), MCC_Table6[[#This Row],[SIZE]]/6, 0)</f>
        <v>2</v>
      </c>
      <c r="U86" s="10">
        <f>MCC_Table6[[#This Row],[START INDEX]]+MCC_Table6[[#This Row],[UNITS USED]]-1</f>
        <v>2</v>
      </c>
      <c r="V86" s="113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</row>
    <row r="87" spans="1:52" x14ac:dyDescent="0.3">
      <c r="A87" s="67" t="s">
        <v>988</v>
      </c>
      <c r="B87" s="10" t="s">
        <v>965</v>
      </c>
      <c r="C87" s="39" t="s">
        <v>215</v>
      </c>
      <c r="D87" s="141" t="s">
        <v>216</v>
      </c>
      <c r="E87" s="51" t="s">
        <v>1056</v>
      </c>
      <c r="F87" s="87">
        <f>IF(ISNUMBER(MCC_Table6[[#This Row],[SIZE]]), MCC_Table6[[#This Row],[SIZE]]/12, 0)</f>
        <v>1.5</v>
      </c>
      <c r="G87" s="51">
        <v>1.5</v>
      </c>
      <c r="H87" s="10">
        <v>1.5</v>
      </c>
      <c r="I87" s="10"/>
      <c r="J87" s="10">
        <v>1</v>
      </c>
      <c r="K87" s="96">
        <v>7</v>
      </c>
      <c r="L87" s="54">
        <v>125</v>
      </c>
      <c r="M87" s="96" t="s">
        <v>303</v>
      </c>
      <c r="N87" s="54" t="s">
        <v>955</v>
      </c>
      <c r="O87" s="53"/>
      <c r="P87" s="10">
        <f>_xlfn.NUMBERVALUE(LEFT(MCC_Table6[[#This Row],[BUCKET]],LEN(MCC_Table6[[#This Row],[BUCKET]])-1))</f>
        <v>14</v>
      </c>
      <c r="Q87" s="10" t="str">
        <f>RIGHT(MCC_Table6[[#This Row],[BUCKET]],1)</f>
        <v>C</v>
      </c>
      <c r="R87" s="10">
        <f>VLOOKUP(MCC_Table6[[#This Row],[START UNIT]],UnitMap[],2,FALSE)</f>
        <v>3</v>
      </c>
      <c r="S87" s="10" cm="1">
        <f t="array" ref="S8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87" s="10">
        <f>IF(ISNUMBER(MCC_Table6[[#This Row],[SIZE]]), MCC_Table6[[#This Row],[SIZE]]/6, 0)</f>
        <v>3</v>
      </c>
      <c r="U87" s="10">
        <f>MCC_Table6[[#This Row],[START INDEX]]+MCC_Table6[[#This Row],[UNITS USED]]-1</f>
        <v>5</v>
      </c>
      <c r="V87" s="113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</row>
    <row r="88" spans="1:52" x14ac:dyDescent="0.3">
      <c r="A88" s="67" t="s">
        <v>988</v>
      </c>
      <c r="B88" s="10" t="s">
        <v>1057</v>
      </c>
      <c r="C88" s="39" t="s">
        <v>1058</v>
      </c>
      <c r="D88" s="137" t="s">
        <v>1059</v>
      </c>
      <c r="E88" s="51" t="s">
        <v>904</v>
      </c>
      <c r="F88" s="87">
        <f>IF(ISNUMBER(MCC_Table6[[#This Row],[SIZE]]), MCC_Table6[[#This Row],[SIZE]]/12, 0)</f>
        <v>3</v>
      </c>
      <c r="G88" s="51">
        <v>20</v>
      </c>
      <c r="H88" s="10">
        <v>20</v>
      </c>
      <c r="I88" s="96">
        <v>27</v>
      </c>
      <c r="J88" s="10"/>
      <c r="K88" s="54">
        <v>60</v>
      </c>
      <c r="L88" s="54">
        <v>125</v>
      </c>
      <c r="M88" s="54">
        <v>45</v>
      </c>
      <c r="N88" s="54" t="s">
        <v>1024</v>
      </c>
      <c r="O88" s="53"/>
      <c r="P88" s="10">
        <f>_xlfn.NUMBERVALUE(LEFT(MCC_Table6[[#This Row],[BUCKET]],LEN(MCC_Table6[[#This Row],[BUCKET]])-1))</f>
        <v>14</v>
      </c>
      <c r="Q88" s="10" t="str">
        <f>RIGHT(MCC_Table6[[#This Row],[BUCKET]],1)</f>
        <v>F</v>
      </c>
      <c r="R88" s="10">
        <f>VLOOKUP(MCC_Table6[[#This Row],[START UNIT]],UnitMap[],2,FALSE)</f>
        <v>6</v>
      </c>
      <c r="S88" s="10" cm="1">
        <f t="array" ref="S8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88" s="10">
        <f>IF(ISNUMBER(MCC_Table6[[#This Row],[SIZE]]), MCC_Table6[[#This Row],[SIZE]]/6, 0)</f>
        <v>6</v>
      </c>
      <c r="U88" s="10">
        <f>MCC_Table6[[#This Row],[START INDEX]]+MCC_Table6[[#This Row],[UNITS USED]]-1</f>
        <v>11</v>
      </c>
      <c r="V88" s="111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</row>
    <row r="89" spans="1:52" x14ac:dyDescent="0.3">
      <c r="A89" s="67" t="s">
        <v>988</v>
      </c>
      <c r="B89" s="10" t="s">
        <v>1060</v>
      </c>
      <c r="C89" s="39" t="s">
        <v>462</v>
      </c>
      <c r="D89" s="136" t="s">
        <v>461</v>
      </c>
      <c r="E89" s="39" t="s">
        <v>462</v>
      </c>
      <c r="F89" s="87">
        <f>IF(ISNUMBER(MCC_Table6[[#This Row],[SIZE]]), MCC_Table6[[#This Row],[SIZE]]/12, 0)</f>
        <v>0.5</v>
      </c>
      <c r="G89" s="10"/>
      <c r="H89" s="10"/>
      <c r="I89" s="10"/>
      <c r="J89" s="10"/>
      <c r="K89" s="54"/>
      <c r="L89" s="54"/>
      <c r="M89" s="54"/>
      <c r="N89" s="54"/>
      <c r="O89" s="53"/>
      <c r="P89" s="10">
        <f>_xlfn.NUMBERVALUE(LEFT(MCC_Table6[[#This Row],[BUCKET]],LEN(MCC_Table6[[#This Row],[BUCKET]])-1))</f>
        <v>14</v>
      </c>
      <c r="Q89" s="10" t="str">
        <f>RIGHT(MCC_Table6[[#This Row],[BUCKET]],1)</f>
        <v>M</v>
      </c>
      <c r="R89" s="10">
        <f>VLOOKUP(MCC_Table6[[#This Row],[START UNIT]],UnitMap[],2,FALSE)</f>
        <v>12</v>
      </c>
      <c r="S89" s="10" cm="1">
        <f t="array" ref="S8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89" s="10">
        <f>IF(ISNUMBER(MCC_Table6[[#This Row],[SIZE]]), MCC_Table6[[#This Row],[SIZE]]/6, 0)</f>
        <v>1</v>
      </c>
      <c r="U89" s="10">
        <f>MCC_Table6[[#This Row],[START INDEX]]+MCC_Table6[[#This Row],[UNITS USED]]-1</f>
        <v>12</v>
      </c>
      <c r="V89" s="111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</row>
    <row r="90" spans="1:52" ht="28.8" x14ac:dyDescent="0.3">
      <c r="A90" s="67" t="s">
        <v>988</v>
      </c>
      <c r="B90" s="51" t="s">
        <v>972</v>
      </c>
      <c r="C90" s="39" t="s">
        <v>1061</v>
      </c>
      <c r="D90" s="136" t="s">
        <v>895</v>
      </c>
      <c r="E90" s="39" t="s">
        <v>896</v>
      </c>
      <c r="F90" s="86">
        <f>IF(ISNUMBER(MCC_Table6[[#This Row],[SIZE]]), MCC_Table6[[#This Row],[SIZE]]/12, 0)</f>
        <v>1</v>
      </c>
      <c r="G90" s="10"/>
      <c r="H90" s="10"/>
      <c r="I90" s="10"/>
      <c r="J90" s="10"/>
      <c r="K90" s="54"/>
      <c r="L90" s="54"/>
      <c r="M90" s="54"/>
      <c r="N90" s="54"/>
      <c r="O90" s="53"/>
      <c r="P90" s="51">
        <f>_xlfn.NUMBERVALUE(LEFT(MCC_Table6[[#This Row],[BUCKET]],LEN(MCC_Table6[[#This Row],[BUCKET]])-1))</f>
        <v>15</v>
      </c>
      <c r="Q90" s="51" t="str">
        <f>RIGHT(MCC_Table6[[#This Row],[BUCKET]],1)</f>
        <v>A</v>
      </c>
      <c r="R90" s="51">
        <f>VLOOKUP(MCC_Table6[[#This Row],[START UNIT]],UnitMap[],2,FALSE)</f>
        <v>1</v>
      </c>
      <c r="S90" s="51" cm="1">
        <f t="array" ref="S9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90" s="51">
        <f>IF(ISNUMBER(MCC_Table6[[#This Row],[SIZE]]), MCC_Table6[[#This Row],[SIZE]]/6, 0)</f>
        <v>2</v>
      </c>
      <c r="U90" s="51">
        <f>MCC_Table6[[#This Row],[START INDEX]]+MCC_Table6[[#This Row],[UNITS USED]]-1</f>
        <v>2</v>
      </c>
      <c r="V90" s="111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</row>
    <row r="91" spans="1:52" x14ac:dyDescent="0.3">
      <c r="A91" s="67" t="s">
        <v>988</v>
      </c>
      <c r="B91" s="51" t="s">
        <v>1062</v>
      </c>
      <c r="C91" s="39" t="s">
        <v>53</v>
      </c>
      <c r="D91" s="135" t="s">
        <v>560</v>
      </c>
      <c r="E91" s="51" t="s">
        <v>904</v>
      </c>
      <c r="F91" s="86">
        <f>IF(ISNUMBER(MCC_Table6[[#This Row],[SIZE]]), MCC_Table6[[#This Row],[SIZE]]/12, 0)</f>
        <v>2</v>
      </c>
      <c r="G91" s="10"/>
      <c r="H91" s="10">
        <v>5</v>
      </c>
      <c r="I91" s="54">
        <v>8</v>
      </c>
      <c r="J91" s="10"/>
      <c r="K91" s="96">
        <v>20</v>
      </c>
      <c r="L91" s="54">
        <v>125</v>
      </c>
      <c r="M91" s="96">
        <v>12</v>
      </c>
      <c r="N91" s="96"/>
      <c r="O91" s="53"/>
      <c r="P91" s="51">
        <f>_xlfn.NUMBERVALUE(LEFT(MCC_Table6[[#This Row],[BUCKET]],LEN(MCC_Table6[[#This Row],[BUCKET]])-1))</f>
        <v>15</v>
      </c>
      <c r="Q91" s="51" t="str">
        <f>RIGHT(MCC_Table6[[#This Row],[BUCKET]],1)</f>
        <v>C</v>
      </c>
      <c r="R91" s="51">
        <f>VLOOKUP(MCC_Table6[[#This Row],[START UNIT]],UnitMap[],2,FALSE)</f>
        <v>3</v>
      </c>
      <c r="S91" s="51" cm="1">
        <f t="array" ref="S9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91" s="51">
        <f>IF(ISNUMBER(MCC_Table6[[#This Row],[SIZE]]), MCC_Table6[[#This Row],[SIZE]]/6, 0)</f>
        <v>4</v>
      </c>
      <c r="U91" s="51">
        <f>MCC_Table6[[#This Row],[START INDEX]]+MCC_Table6[[#This Row],[UNITS USED]]-1</f>
        <v>6</v>
      </c>
      <c r="V91" s="113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</row>
    <row r="92" spans="1:52" x14ac:dyDescent="0.3">
      <c r="A92" s="67" t="s">
        <v>988</v>
      </c>
      <c r="B92" s="10" t="s">
        <v>1063</v>
      </c>
      <c r="C92" s="39" t="s">
        <v>1064</v>
      </c>
      <c r="D92" s="137" t="s">
        <v>1065</v>
      </c>
      <c r="E92" s="51" t="s">
        <v>904</v>
      </c>
      <c r="F92" s="87">
        <f>IF(ISNUMBER(MCC_Table6[[#This Row],[SIZE]]), MCC_Table6[[#This Row],[SIZE]]/12, 0)</f>
        <v>3</v>
      </c>
      <c r="G92" s="51">
        <v>20</v>
      </c>
      <c r="H92" s="10">
        <v>20</v>
      </c>
      <c r="I92" s="96">
        <v>27</v>
      </c>
      <c r="J92" s="10"/>
      <c r="K92" s="96">
        <v>60</v>
      </c>
      <c r="L92" s="54">
        <v>125</v>
      </c>
      <c r="M92" s="96">
        <v>45</v>
      </c>
      <c r="N92" s="54" t="s">
        <v>1024</v>
      </c>
      <c r="O92" s="53"/>
      <c r="P92" s="10">
        <f>_xlfn.NUMBERVALUE(LEFT(MCC_Table6[[#This Row],[BUCKET]],LEN(MCC_Table6[[#This Row],[BUCKET]])-1))</f>
        <v>15</v>
      </c>
      <c r="Q92" s="10" t="str">
        <f>RIGHT(MCC_Table6[[#This Row],[BUCKET]],1)</f>
        <v>G</v>
      </c>
      <c r="R92" s="10">
        <f>VLOOKUP(MCC_Table6[[#This Row],[START UNIT]],UnitMap[],2,FALSE)</f>
        <v>7</v>
      </c>
      <c r="S92" s="10" cm="1">
        <f t="array" ref="S9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92" s="10">
        <f>IF(ISNUMBER(MCC_Table6[[#This Row],[SIZE]]), MCC_Table6[[#This Row],[SIZE]]/6, 0)</f>
        <v>6</v>
      </c>
      <c r="U92" s="10">
        <f>MCC_Table6[[#This Row],[START INDEX]]+MCC_Table6[[#This Row],[UNITS USED]]-1</f>
        <v>12</v>
      </c>
      <c r="V92" s="113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</row>
    <row r="93" spans="1:52" x14ac:dyDescent="0.3">
      <c r="A93" s="67" t="s">
        <v>988</v>
      </c>
      <c r="B93" s="10" t="s">
        <v>974</v>
      </c>
      <c r="C93" s="39" t="s">
        <v>197</v>
      </c>
      <c r="D93" s="141" t="s">
        <v>1066</v>
      </c>
      <c r="E93" s="51" t="s">
        <v>892</v>
      </c>
      <c r="F93" s="87">
        <f>IF(ISNUMBER(MCC_Table6[[#This Row],[SIZE]]), MCC_Table6[[#This Row],[SIZE]]/12, 0)</f>
        <v>1</v>
      </c>
      <c r="G93" s="51">
        <v>7.5</v>
      </c>
      <c r="H93" s="10">
        <v>7.5</v>
      </c>
      <c r="I93" s="10"/>
      <c r="J93" s="10">
        <v>1</v>
      </c>
      <c r="K93" s="96">
        <v>30</v>
      </c>
      <c r="L93" s="54">
        <v>125</v>
      </c>
      <c r="M93" s="96" t="s">
        <v>303</v>
      </c>
      <c r="N93" s="54" t="s">
        <v>955</v>
      </c>
      <c r="O93" s="53"/>
      <c r="P93" s="10">
        <f>_xlfn.NUMBERVALUE(LEFT(MCC_Table6[[#This Row],[BUCKET]],LEN(MCC_Table6[[#This Row],[BUCKET]])-1))</f>
        <v>16</v>
      </c>
      <c r="Q93" s="10" t="str">
        <f>RIGHT(MCC_Table6[[#This Row],[BUCKET]],1)</f>
        <v>A</v>
      </c>
      <c r="R93" s="10">
        <f>VLOOKUP(MCC_Table6[[#This Row],[START UNIT]],UnitMap[],2,FALSE)</f>
        <v>1</v>
      </c>
      <c r="S93" s="10" cm="1">
        <f t="array" ref="S9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93" s="10">
        <f>IF(ISNUMBER(MCC_Table6[[#This Row],[SIZE]]), MCC_Table6[[#This Row],[SIZE]]/6, 0)</f>
        <v>2</v>
      </c>
      <c r="U93" s="10">
        <f>MCC_Table6[[#This Row],[START INDEX]]+MCC_Table6[[#This Row],[UNITS USED]]-1</f>
        <v>2</v>
      </c>
      <c r="V93" s="113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</row>
    <row r="94" spans="1:52" x14ac:dyDescent="0.3">
      <c r="A94" s="67" t="s">
        <v>988</v>
      </c>
      <c r="B94" s="10" t="s">
        <v>975</v>
      </c>
      <c r="C94" s="39" t="s">
        <v>192</v>
      </c>
      <c r="D94" s="141" t="s">
        <v>1067</v>
      </c>
      <c r="E94" s="51" t="s">
        <v>1056</v>
      </c>
      <c r="F94" s="87">
        <f>IF(ISNUMBER(MCC_Table6[[#This Row],[SIZE]]), MCC_Table6[[#This Row],[SIZE]]/12, 0)</f>
        <v>1.5</v>
      </c>
      <c r="G94" s="51">
        <v>1.5</v>
      </c>
      <c r="H94" s="10">
        <v>1.5</v>
      </c>
      <c r="I94" s="10"/>
      <c r="J94" s="10">
        <v>1</v>
      </c>
      <c r="K94" s="96">
        <v>7</v>
      </c>
      <c r="L94" s="54">
        <v>125</v>
      </c>
      <c r="M94" s="96" t="s">
        <v>303</v>
      </c>
      <c r="N94" s="54" t="s">
        <v>955</v>
      </c>
      <c r="O94" s="53" t="s">
        <v>1068</v>
      </c>
      <c r="P94" s="10">
        <f>_xlfn.NUMBERVALUE(LEFT(MCC_Table6[[#This Row],[BUCKET]],LEN(MCC_Table6[[#This Row],[BUCKET]])-1))</f>
        <v>16</v>
      </c>
      <c r="Q94" s="10" t="str">
        <f>RIGHT(MCC_Table6[[#This Row],[BUCKET]],1)</f>
        <v>C</v>
      </c>
      <c r="R94" s="10">
        <f>VLOOKUP(MCC_Table6[[#This Row],[START UNIT]],UnitMap[],2,FALSE)</f>
        <v>3</v>
      </c>
      <c r="S94" s="10" cm="1">
        <f t="array" ref="S9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94" s="10">
        <f>IF(ISNUMBER(MCC_Table6[[#This Row],[SIZE]]), MCC_Table6[[#This Row],[SIZE]]/6, 0)</f>
        <v>3</v>
      </c>
      <c r="U94" s="10">
        <f>MCC_Table6[[#This Row],[START INDEX]]+MCC_Table6[[#This Row],[UNITS USED]]-1</f>
        <v>5</v>
      </c>
      <c r="V94" s="113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</row>
    <row r="95" spans="1:52" x14ac:dyDescent="0.3">
      <c r="A95" s="67" t="s">
        <v>988</v>
      </c>
      <c r="B95" s="10" t="s">
        <v>1069</v>
      </c>
      <c r="C95" s="39" t="s">
        <v>195</v>
      </c>
      <c r="D95" s="141" t="s">
        <v>1070</v>
      </c>
      <c r="E95" s="51" t="s">
        <v>1056</v>
      </c>
      <c r="F95" s="87">
        <f>IF(ISNUMBER(MCC_Table6[[#This Row],[SIZE]]), MCC_Table6[[#This Row],[SIZE]]/12, 0)</f>
        <v>1.5</v>
      </c>
      <c r="G95" s="51">
        <v>1.5</v>
      </c>
      <c r="H95" s="10">
        <v>1.5</v>
      </c>
      <c r="I95" s="10"/>
      <c r="J95" s="10">
        <v>1</v>
      </c>
      <c r="K95" s="96">
        <v>7</v>
      </c>
      <c r="L95" s="54">
        <v>125</v>
      </c>
      <c r="M95" s="96" t="s">
        <v>303</v>
      </c>
      <c r="N95" s="54" t="s">
        <v>955</v>
      </c>
      <c r="O95" s="53" t="s">
        <v>1071</v>
      </c>
      <c r="P95" s="10">
        <f>_xlfn.NUMBERVALUE(LEFT(MCC_Table6[[#This Row],[BUCKET]],LEN(MCC_Table6[[#This Row],[BUCKET]])-1))</f>
        <v>16</v>
      </c>
      <c r="Q95" s="10" t="str">
        <f>RIGHT(MCC_Table6[[#This Row],[BUCKET]],1)</f>
        <v>F</v>
      </c>
      <c r="R95" s="10">
        <f>VLOOKUP(MCC_Table6[[#This Row],[START UNIT]],UnitMap[],2,FALSE)</f>
        <v>6</v>
      </c>
      <c r="S95" s="10" cm="1">
        <f t="array" ref="S9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95" s="10">
        <f>IF(ISNUMBER(MCC_Table6[[#This Row],[SIZE]]), MCC_Table6[[#This Row],[SIZE]]/6, 0)</f>
        <v>3</v>
      </c>
      <c r="U95" s="10">
        <f>MCC_Table6[[#This Row],[START INDEX]]+MCC_Table6[[#This Row],[UNITS USED]]-1</f>
        <v>8</v>
      </c>
      <c r="V95" s="111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</row>
    <row r="96" spans="1:52" x14ac:dyDescent="0.3">
      <c r="A96" s="67" t="s">
        <v>988</v>
      </c>
      <c r="B96" s="10" t="s">
        <v>979</v>
      </c>
      <c r="C96" s="39" t="s">
        <v>462</v>
      </c>
      <c r="D96" s="136" t="s">
        <v>496</v>
      </c>
      <c r="E96" s="39" t="s">
        <v>462</v>
      </c>
      <c r="F96" s="87">
        <f>IF(ISNUMBER(MCC_Table6[[#This Row],[SIZE]]), MCC_Table6[[#This Row],[SIZE]]/12, 0)</f>
        <v>1</v>
      </c>
      <c r="G96" s="10"/>
      <c r="H96" s="10"/>
      <c r="I96" s="10"/>
      <c r="J96" s="10"/>
      <c r="K96" s="96"/>
      <c r="L96" s="54"/>
      <c r="M96" s="96"/>
      <c r="N96" s="96"/>
      <c r="O96" s="53"/>
      <c r="P96" s="10">
        <f>_xlfn.NUMBERVALUE(LEFT(MCC_Table6[[#This Row],[BUCKET]],LEN(MCC_Table6[[#This Row],[BUCKET]])-1))</f>
        <v>16</v>
      </c>
      <c r="Q96" s="10" t="str">
        <f>RIGHT(MCC_Table6[[#This Row],[BUCKET]],1)</f>
        <v>J</v>
      </c>
      <c r="R96" s="10">
        <f>VLOOKUP(MCC_Table6[[#This Row],[START UNIT]],UnitMap[],2,FALSE)</f>
        <v>9</v>
      </c>
      <c r="S96" s="10" cm="1">
        <f t="array" ref="S9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96" s="10">
        <f>IF(ISNUMBER(MCC_Table6[[#This Row],[SIZE]]), MCC_Table6[[#This Row],[SIZE]]/6, 0)</f>
        <v>2</v>
      </c>
      <c r="U96" s="10">
        <f>MCC_Table6[[#This Row],[START INDEX]]+MCC_Table6[[#This Row],[UNITS USED]]-1</f>
        <v>10</v>
      </c>
      <c r="V96" s="113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</row>
    <row r="97" spans="1:52" x14ac:dyDescent="0.3">
      <c r="A97" s="67" t="s">
        <v>988</v>
      </c>
      <c r="B97" s="10" t="s">
        <v>1072</v>
      </c>
      <c r="C97" s="39" t="s">
        <v>462</v>
      </c>
      <c r="D97" s="136" t="s">
        <v>496</v>
      </c>
      <c r="E97" s="39" t="s">
        <v>462</v>
      </c>
      <c r="F97" s="87">
        <f>IF(ISNUMBER(MCC_Table6[[#This Row],[SIZE]]), MCC_Table6[[#This Row],[SIZE]]/12, 0)</f>
        <v>1</v>
      </c>
      <c r="G97" s="10"/>
      <c r="H97" s="10"/>
      <c r="I97" s="10"/>
      <c r="J97" s="10"/>
      <c r="K97" s="54"/>
      <c r="L97" s="54"/>
      <c r="M97" s="54"/>
      <c r="N97" s="54"/>
      <c r="O97" s="57"/>
      <c r="P97" s="10">
        <f>_xlfn.NUMBERVALUE(LEFT(MCC_Table6[[#This Row],[BUCKET]],LEN(MCC_Table6[[#This Row],[BUCKET]])-1))</f>
        <v>16</v>
      </c>
      <c r="Q97" s="10" t="str">
        <f>RIGHT(MCC_Table6[[#This Row],[BUCKET]],1)</f>
        <v>L</v>
      </c>
      <c r="R97" s="10">
        <f>VLOOKUP(MCC_Table6[[#This Row],[START UNIT]],UnitMap[],2,FALSE)</f>
        <v>11</v>
      </c>
      <c r="S97" s="10" cm="1">
        <f t="array" ref="S9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97" s="10">
        <f>IF(ISNUMBER(MCC_Table6[[#This Row],[SIZE]]), MCC_Table6[[#This Row],[SIZE]]/6, 0)</f>
        <v>2</v>
      </c>
      <c r="U97" s="10">
        <f>MCC_Table6[[#This Row],[START INDEX]]+MCC_Table6[[#This Row],[UNITS USED]]-1</f>
        <v>12</v>
      </c>
      <c r="V97" s="111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</row>
    <row r="98" spans="1:52" x14ac:dyDescent="0.3">
      <c r="A98" s="67" t="s">
        <v>988</v>
      </c>
      <c r="B98" s="10" t="s">
        <v>982</v>
      </c>
      <c r="C98" s="39" t="s">
        <v>53</v>
      </c>
      <c r="D98" s="135" t="s">
        <v>891</v>
      </c>
      <c r="E98" s="51" t="s">
        <v>892</v>
      </c>
      <c r="F98" s="87">
        <f>IF(ISNUMBER(MCC_Table6[[#This Row],[SIZE]]), MCC_Table6[[#This Row],[SIZE]]/12, 0)</f>
        <v>1</v>
      </c>
      <c r="G98" s="10"/>
      <c r="H98" s="10">
        <v>1.5</v>
      </c>
      <c r="I98" s="10"/>
      <c r="J98" s="10"/>
      <c r="K98" s="96">
        <v>7</v>
      </c>
      <c r="L98" s="54">
        <v>125</v>
      </c>
      <c r="M98" s="96" t="s">
        <v>303</v>
      </c>
      <c r="N98" s="54"/>
      <c r="O98" s="53"/>
      <c r="P98" s="10">
        <f>_xlfn.NUMBERVALUE(LEFT(MCC_Table6[[#This Row],[BUCKET]],LEN(MCC_Table6[[#This Row],[BUCKET]])-1))</f>
        <v>17</v>
      </c>
      <c r="Q98" s="10" t="str">
        <f>RIGHT(MCC_Table6[[#This Row],[BUCKET]],1)</f>
        <v>A</v>
      </c>
      <c r="R98" s="10">
        <f>VLOOKUP(MCC_Table6[[#This Row],[START UNIT]],UnitMap[],2,FALSE)</f>
        <v>1</v>
      </c>
      <c r="S98" s="10" cm="1">
        <f t="array" ref="S9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98" s="10">
        <f>IF(ISNUMBER(MCC_Table6[[#This Row],[SIZE]]), MCC_Table6[[#This Row],[SIZE]]/6, 0)</f>
        <v>2</v>
      </c>
      <c r="U98" s="10">
        <f>MCC_Table6[[#This Row],[START INDEX]]+MCC_Table6[[#This Row],[UNITS USED]]-1</f>
        <v>2</v>
      </c>
      <c r="V98" s="113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2" x14ac:dyDescent="0.3">
      <c r="A99" s="67" t="s">
        <v>988</v>
      </c>
      <c r="B99" s="10" t="s">
        <v>1073</v>
      </c>
      <c r="C99" s="39" t="s">
        <v>53</v>
      </c>
      <c r="D99" s="135" t="s">
        <v>920</v>
      </c>
      <c r="E99" s="51" t="s">
        <v>904</v>
      </c>
      <c r="F99" s="87">
        <f>IF(ISNUMBER(MCC_Table6[[#This Row],[SIZE]]), MCC_Table6[[#This Row],[SIZE]]/12, 0)</f>
        <v>2</v>
      </c>
      <c r="G99" s="51"/>
      <c r="H99" s="10">
        <v>2</v>
      </c>
      <c r="I99" s="10">
        <v>3.4</v>
      </c>
      <c r="J99" s="10"/>
      <c r="K99" s="96">
        <v>15</v>
      </c>
      <c r="L99" s="54">
        <v>125</v>
      </c>
      <c r="M99" s="96">
        <v>6</v>
      </c>
      <c r="N99" s="96"/>
      <c r="O99" s="53"/>
      <c r="P99" s="10">
        <f>_xlfn.NUMBERVALUE(LEFT(MCC_Table6[[#This Row],[BUCKET]],LEN(MCC_Table6[[#This Row],[BUCKET]])-1))</f>
        <v>17</v>
      </c>
      <c r="Q99" s="10" t="str">
        <f>RIGHT(MCC_Table6[[#This Row],[BUCKET]],1)</f>
        <v>C</v>
      </c>
      <c r="R99" s="10">
        <f>VLOOKUP(MCC_Table6[[#This Row],[START UNIT]],UnitMap[],2,FALSE)</f>
        <v>3</v>
      </c>
      <c r="S99" s="10" cm="1">
        <f t="array" ref="S9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99" s="10">
        <f>IF(ISNUMBER(MCC_Table6[[#This Row],[SIZE]]), MCC_Table6[[#This Row],[SIZE]]/6, 0)</f>
        <v>4</v>
      </c>
      <c r="U99" s="10">
        <f>MCC_Table6[[#This Row],[START INDEX]]+MCC_Table6[[#This Row],[UNITS USED]]-1</f>
        <v>6</v>
      </c>
      <c r="V99" s="116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</row>
    <row r="100" spans="1:52" x14ac:dyDescent="0.3">
      <c r="A100" s="67" t="s">
        <v>988</v>
      </c>
      <c r="B100" s="10" t="s">
        <v>1074</v>
      </c>
      <c r="C100" s="39" t="s">
        <v>53</v>
      </c>
      <c r="D100" s="135" t="s">
        <v>530</v>
      </c>
      <c r="E100" s="51" t="s">
        <v>904</v>
      </c>
      <c r="F100" s="87">
        <f>IF(ISNUMBER(MCC_Table6[[#This Row],[SIZE]]), MCC_Table6[[#This Row],[SIZE]]/12, 0)</f>
        <v>2.5</v>
      </c>
      <c r="G100" s="51"/>
      <c r="H100" s="10">
        <v>10</v>
      </c>
      <c r="I100" s="10">
        <v>14</v>
      </c>
      <c r="J100" s="10"/>
      <c r="K100" s="54">
        <v>30</v>
      </c>
      <c r="L100" s="54">
        <v>125</v>
      </c>
      <c r="M100" s="54">
        <v>25</v>
      </c>
      <c r="N100" s="54"/>
      <c r="O100" s="53"/>
      <c r="P100" s="10">
        <f>_xlfn.NUMBERVALUE(LEFT(MCC_Table6[[#This Row],[BUCKET]],LEN(MCC_Table6[[#This Row],[BUCKET]])-1))</f>
        <v>17</v>
      </c>
      <c r="Q100" s="10" t="str">
        <f>RIGHT(MCC_Table6[[#This Row],[BUCKET]],1)</f>
        <v>G</v>
      </c>
      <c r="R100" s="10">
        <f>VLOOKUP(MCC_Table6[[#This Row],[START UNIT]],UnitMap[],2,FALSE)</f>
        <v>7</v>
      </c>
      <c r="S100" s="10" cm="1">
        <f t="array" ref="S10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00" s="10">
        <f>IF(ISNUMBER(MCC_Table6[[#This Row],[SIZE]]), MCC_Table6[[#This Row],[SIZE]]/6, 0)</f>
        <v>5</v>
      </c>
      <c r="U100" s="10">
        <f>MCC_Table6[[#This Row],[START INDEX]]+MCC_Table6[[#This Row],[UNITS USED]]-1</f>
        <v>11</v>
      </c>
      <c r="V100" s="117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</row>
    <row r="101" spans="1:52" x14ac:dyDescent="0.3">
      <c r="A101" s="67" t="s">
        <v>988</v>
      </c>
      <c r="B101" s="51" t="s">
        <v>1075</v>
      </c>
      <c r="C101" s="39" t="s">
        <v>462</v>
      </c>
      <c r="D101" s="136" t="s">
        <v>461</v>
      </c>
      <c r="E101" s="39" t="s">
        <v>462</v>
      </c>
      <c r="F101" s="86">
        <f>IF(ISNUMBER(MCC_Table6[[#This Row],[SIZE]]), MCC_Table6[[#This Row],[SIZE]]/12, 0)</f>
        <v>0.5</v>
      </c>
      <c r="G101" s="10"/>
      <c r="H101" s="10"/>
      <c r="I101" s="10"/>
      <c r="J101" s="10"/>
      <c r="K101" s="96"/>
      <c r="L101" s="54"/>
      <c r="M101" s="96"/>
      <c r="N101" s="96"/>
      <c r="O101" s="53"/>
      <c r="P101" s="51">
        <f>_xlfn.NUMBERVALUE(LEFT(MCC_Table6[[#This Row],[BUCKET]],LEN(MCC_Table6[[#This Row],[BUCKET]])-1))</f>
        <v>17</v>
      </c>
      <c r="Q101" s="51" t="str">
        <f>RIGHT(MCC_Table6[[#This Row],[BUCKET]],1)</f>
        <v>M</v>
      </c>
      <c r="R101" s="51">
        <f>VLOOKUP(MCC_Table6[[#This Row],[START UNIT]],UnitMap[],2,FALSE)</f>
        <v>12</v>
      </c>
      <c r="S101" s="51" cm="1">
        <f t="array" ref="S10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101" s="51">
        <f>IF(ISNUMBER(MCC_Table6[[#This Row],[SIZE]]), MCC_Table6[[#This Row],[SIZE]]/6, 0)</f>
        <v>1</v>
      </c>
      <c r="U101" s="51">
        <f>MCC_Table6[[#This Row],[START INDEX]]+MCC_Table6[[#This Row],[UNITS USED]]-1</f>
        <v>12</v>
      </c>
      <c r="V101" s="113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</row>
    <row r="102" spans="1:52" x14ac:dyDescent="0.3">
      <c r="A102" s="67" t="s">
        <v>988</v>
      </c>
      <c r="B102" s="10" t="s">
        <v>986</v>
      </c>
      <c r="C102" s="39" t="s">
        <v>208</v>
      </c>
      <c r="D102" s="141" t="s">
        <v>1076</v>
      </c>
      <c r="E102" s="51" t="s">
        <v>892</v>
      </c>
      <c r="F102" s="87">
        <f>IF(ISNUMBER(MCC_Table6[[#This Row],[SIZE]]), MCC_Table6[[#This Row],[SIZE]]/12, 0)</f>
        <v>1</v>
      </c>
      <c r="G102" s="51">
        <v>1.5</v>
      </c>
      <c r="H102" s="10">
        <v>1.5</v>
      </c>
      <c r="I102" s="10"/>
      <c r="J102" s="10">
        <v>1</v>
      </c>
      <c r="K102" s="96">
        <v>7</v>
      </c>
      <c r="L102" s="54">
        <v>125</v>
      </c>
      <c r="M102" s="96" t="s">
        <v>303</v>
      </c>
      <c r="N102" s="54" t="s">
        <v>955</v>
      </c>
      <c r="O102" s="53"/>
      <c r="P102" s="10">
        <f>_xlfn.NUMBERVALUE(LEFT(MCC_Table6[[#This Row],[BUCKET]],LEN(MCC_Table6[[#This Row],[BUCKET]])-1))</f>
        <v>18</v>
      </c>
      <c r="Q102" s="10" t="str">
        <f>RIGHT(MCC_Table6[[#This Row],[BUCKET]],1)</f>
        <v>A</v>
      </c>
      <c r="R102" s="10">
        <f>VLOOKUP(MCC_Table6[[#This Row],[START UNIT]],UnitMap[],2,FALSE)</f>
        <v>1</v>
      </c>
      <c r="S102" s="10" cm="1">
        <f t="array" ref="S10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02" s="10">
        <f>IF(ISNUMBER(MCC_Table6[[#This Row],[SIZE]]), MCC_Table6[[#This Row],[SIZE]]/6, 0)</f>
        <v>2</v>
      </c>
      <c r="U102" s="10">
        <f>MCC_Table6[[#This Row],[START INDEX]]+MCC_Table6[[#This Row],[UNITS USED]]-1</f>
        <v>2</v>
      </c>
      <c r="V102" s="113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</row>
    <row r="103" spans="1:52" x14ac:dyDescent="0.3">
      <c r="A103" s="67" t="s">
        <v>988</v>
      </c>
      <c r="B103" s="10" t="s">
        <v>1077</v>
      </c>
      <c r="C103" s="39" t="s">
        <v>1078</v>
      </c>
      <c r="D103" s="141" t="s">
        <v>1079</v>
      </c>
      <c r="E103" s="51" t="s">
        <v>904</v>
      </c>
      <c r="F103" s="87">
        <f>IF(ISNUMBER(MCC_Table6[[#This Row],[SIZE]]), MCC_Table6[[#This Row],[SIZE]]/12, 0)</f>
        <v>2</v>
      </c>
      <c r="G103" s="52">
        <v>0.75</v>
      </c>
      <c r="H103" s="10">
        <v>1</v>
      </c>
      <c r="I103" s="54">
        <v>2.1</v>
      </c>
      <c r="J103" s="10"/>
      <c r="K103" s="54">
        <v>15</v>
      </c>
      <c r="L103" s="54">
        <v>125</v>
      </c>
      <c r="M103" s="54">
        <v>3</v>
      </c>
      <c r="N103" s="54" t="s">
        <v>911</v>
      </c>
      <c r="O103" s="53"/>
      <c r="P103" s="10">
        <f>_xlfn.NUMBERVALUE(LEFT(MCC_Table6[[#This Row],[BUCKET]],LEN(MCC_Table6[[#This Row],[BUCKET]])-1))</f>
        <v>18</v>
      </c>
      <c r="Q103" s="10" t="str">
        <f>RIGHT(MCC_Table6[[#This Row],[BUCKET]],1)</f>
        <v>C</v>
      </c>
      <c r="R103" s="10">
        <f>VLOOKUP(MCC_Table6[[#This Row],[START UNIT]],UnitMap[],2,FALSE)</f>
        <v>3</v>
      </c>
      <c r="S103" s="10" cm="1">
        <f t="array" ref="S10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03" s="10">
        <f>IF(ISNUMBER(MCC_Table6[[#This Row],[SIZE]]), MCC_Table6[[#This Row],[SIZE]]/6, 0)</f>
        <v>4</v>
      </c>
      <c r="U103" s="10">
        <f>MCC_Table6[[#This Row],[START INDEX]]+MCC_Table6[[#This Row],[UNITS USED]]-1</f>
        <v>6</v>
      </c>
      <c r="V103" s="113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</row>
    <row r="104" spans="1:52" x14ac:dyDescent="0.3">
      <c r="A104" s="67" t="s">
        <v>988</v>
      </c>
      <c r="B104" s="10" t="s">
        <v>1080</v>
      </c>
      <c r="C104" s="39" t="s">
        <v>1081</v>
      </c>
      <c r="D104" s="141" t="s">
        <v>1082</v>
      </c>
      <c r="E104" s="51" t="s">
        <v>904</v>
      </c>
      <c r="F104" s="87">
        <f>IF(ISNUMBER(MCC_Table6[[#This Row],[SIZE]]), MCC_Table6[[#This Row],[SIZE]]/12, 0)</f>
        <v>2.5</v>
      </c>
      <c r="G104" s="51">
        <v>10</v>
      </c>
      <c r="H104" s="10">
        <v>10</v>
      </c>
      <c r="I104" s="10">
        <v>14</v>
      </c>
      <c r="J104" s="10"/>
      <c r="K104" s="54">
        <v>30</v>
      </c>
      <c r="L104" s="54">
        <v>125</v>
      </c>
      <c r="M104" s="54">
        <v>25</v>
      </c>
      <c r="N104" s="54" t="s">
        <v>911</v>
      </c>
      <c r="O104" s="53"/>
      <c r="P104" s="10">
        <f>_xlfn.NUMBERVALUE(LEFT(MCC_Table6[[#This Row],[BUCKET]],LEN(MCC_Table6[[#This Row],[BUCKET]])-1))</f>
        <v>18</v>
      </c>
      <c r="Q104" s="10" t="str">
        <f>RIGHT(MCC_Table6[[#This Row],[BUCKET]],1)</f>
        <v>G</v>
      </c>
      <c r="R104" s="10">
        <f>VLOOKUP(MCC_Table6[[#This Row],[START UNIT]],UnitMap[],2,FALSE)</f>
        <v>7</v>
      </c>
      <c r="S104" s="10" cm="1">
        <f t="array" ref="S10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04" s="10">
        <f>IF(ISNUMBER(MCC_Table6[[#This Row],[SIZE]]), MCC_Table6[[#This Row],[SIZE]]/6, 0)</f>
        <v>5</v>
      </c>
      <c r="U104" s="10">
        <f>MCC_Table6[[#This Row],[START INDEX]]+MCC_Table6[[#This Row],[UNITS USED]]-1</f>
        <v>11</v>
      </c>
      <c r="V104" s="111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</row>
    <row r="105" spans="1:52" x14ac:dyDescent="0.3">
      <c r="A105" s="67" t="s">
        <v>988</v>
      </c>
      <c r="B105" s="51" t="s">
        <v>1083</v>
      </c>
      <c r="C105" s="39" t="s">
        <v>462</v>
      </c>
      <c r="D105" s="136" t="s">
        <v>461</v>
      </c>
      <c r="E105" s="39" t="s">
        <v>462</v>
      </c>
      <c r="F105" s="86">
        <f>IF(ISNUMBER(MCC_Table6[[#This Row],[SIZE]]), MCC_Table6[[#This Row],[SIZE]]/12, 0)</f>
        <v>0.5</v>
      </c>
      <c r="G105" s="10"/>
      <c r="H105" s="10"/>
      <c r="I105" s="10"/>
      <c r="J105" s="10"/>
      <c r="K105" s="54"/>
      <c r="L105" s="54"/>
      <c r="M105" s="54"/>
      <c r="N105" s="54"/>
      <c r="O105" s="53"/>
      <c r="P105" s="51">
        <f>_xlfn.NUMBERVALUE(LEFT(MCC_Table6[[#This Row],[BUCKET]],LEN(MCC_Table6[[#This Row],[BUCKET]])-1))</f>
        <v>18</v>
      </c>
      <c r="Q105" s="51" t="str">
        <f>RIGHT(MCC_Table6[[#This Row],[BUCKET]],1)</f>
        <v>M</v>
      </c>
      <c r="R105" s="51">
        <f>VLOOKUP(MCC_Table6[[#This Row],[START UNIT]],UnitMap[],2,FALSE)</f>
        <v>12</v>
      </c>
      <c r="S105" s="51" cm="1">
        <f t="array" ref="S10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105" s="51">
        <f>IF(ISNUMBER(MCC_Table6[[#This Row],[SIZE]]), MCC_Table6[[#This Row],[SIZE]]/6, 0)</f>
        <v>1</v>
      </c>
      <c r="U105" s="51">
        <f>MCC_Table6[[#This Row],[START INDEX]]+MCC_Table6[[#This Row],[UNITS USED]]-1</f>
        <v>12</v>
      </c>
      <c r="V105" s="111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</row>
    <row r="106" spans="1:52" x14ac:dyDescent="0.3">
      <c r="A106" s="67" t="s">
        <v>988</v>
      </c>
      <c r="B106" s="51" t="s">
        <v>1084</v>
      </c>
      <c r="C106" s="39" t="s">
        <v>1085</v>
      </c>
      <c r="D106" s="136" t="s">
        <v>467</v>
      </c>
      <c r="E106" s="39" t="s">
        <v>468</v>
      </c>
      <c r="F106" s="86">
        <f>IF(ISNUMBER(MCC_Table6[[#This Row],[SIZE]]), MCC_Table6[[#This Row],[SIZE]]/12, 0)</f>
        <v>1</v>
      </c>
      <c r="G106" s="10"/>
      <c r="H106" s="10"/>
      <c r="I106" s="10"/>
      <c r="J106" s="10"/>
      <c r="K106" s="96"/>
      <c r="L106" s="54"/>
      <c r="M106" s="96"/>
      <c r="N106" s="96"/>
      <c r="O106" s="53"/>
      <c r="P106" s="51">
        <f>_xlfn.NUMBERVALUE(LEFT(MCC_Table6[[#This Row],[BUCKET]],LEN(MCC_Table6[[#This Row],[BUCKET]])-1))</f>
        <v>19</v>
      </c>
      <c r="Q106" s="51" t="str">
        <f>RIGHT(MCC_Table6[[#This Row],[BUCKET]],1)</f>
        <v>A</v>
      </c>
      <c r="R106" s="51">
        <f>VLOOKUP(MCC_Table6[[#This Row],[START UNIT]],UnitMap[],2,FALSE)</f>
        <v>1</v>
      </c>
      <c r="S106" s="51" cm="1">
        <f t="array" ref="S10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06" s="51">
        <f>IF(ISNUMBER(MCC_Table6[[#This Row],[SIZE]]), MCC_Table6[[#This Row],[SIZE]]/6, 0)</f>
        <v>2</v>
      </c>
      <c r="U106" s="51">
        <f>MCC_Table6[[#This Row],[START INDEX]]+MCC_Table6[[#This Row],[UNITS USED]]-1</f>
        <v>2</v>
      </c>
      <c r="V106" s="115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</row>
    <row r="107" spans="1:52" x14ac:dyDescent="0.3">
      <c r="A107" s="67" t="s">
        <v>988</v>
      </c>
      <c r="B107" s="10" t="s">
        <v>1086</v>
      </c>
      <c r="C107" s="39" t="s">
        <v>53</v>
      </c>
      <c r="D107" s="135" t="s">
        <v>530</v>
      </c>
      <c r="E107" s="51" t="s">
        <v>904</v>
      </c>
      <c r="F107" s="87">
        <f>IF(ISNUMBER(MCC_Table6[[#This Row],[SIZE]]), MCC_Table6[[#This Row],[SIZE]]/12, 0)</f>
        <v>2.5</v>
      </c>
      <c r="G107" s="10"/>
      <c r="H107" s="10">
        <v>10</v>
      </c>
      <c r="I107" s="10">
        <v>14</v>
      </c>
      <c r="J107" s="10"/>
      <c r="K107" s="96">
        <v>30</v>
      </c>
      <c r="L107" s="54">
        <v>125</v>
      </c>
      <c r="M107" s="96">
        <v>25</v>
      </c>
      <c r="N107" s="96"/>
      <c r="O107" s="53"/>
      <c r="P107" s="10">
        <f>_xlfn.NUMBERVALUE(LEFT(MCC_Table6[[#This Row],[BUCKET]],LEN(MCC_Table6[[#This Row],[BUCKET]])-1))</f>
        <v>19</v>
      </c>
      <c r="Q107" s="10" t="str">
        <f>RIGHT(MCC_Table6[[#This Row],[BUCKET]],1)</f>
        <v>C</v>
      </c>
      <c r="R107" s="10">
        <f>VLOOKUP(MCC_Table6[[#This Row],[START UNIT]],UnitMap[],2,FALSE)</f>
        <v>3</v>
      </c>
      <c r="S107" s="10" cm="1">
        <f t="array" ref="S10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07" s="10">
        <f>IF(ISNUMBER(MCC_Table6[[#This Row],[SIZE]]), MCC_Table6[[#This Row],[SIZE]]/6, 0)</f>
        <v>5</v>
      </c>
      <c r="U107" s="10">
        <f>MCC_Table6[[#This Row],[START INDEX]]+MCC_Table6[[#This Row],[UNITS USED]]-1</f>
        <v>7</v>
      </c>
      <c r="V107" s="116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</row>
    <row r="108" spans="1:52" x14ac:dyDescent="0.3">
      <c r="A108" s="131" t="s">
        <v>988</v>
      </c>
      <c r="B108" s="125" t="s">
        <v>1087</v>
      </c>
      <c r="C108" s="124" t="s">
        <v>53</v>
      </c>
      <c r="D108" s="138" t="s">
        <v>530</v>
      </c>
      <c r="E108" s="125" t="s">
        <v>904</v>
      </c>
      <c r="F108" s="132">
        <f>IF(ISNUMBER(MCC_Table6[[#This Row],[SIZE]]), MCC_Table6[[#This Row],[SIZE]]/12, 0)</f>
        <v>2.5</v>
      </c>
      <c r="G108" s="123"/>
      <c r="H108" s="123">
        <v>10</v>
      </c>
      <c r="I108" s="123">
        <v>14</v>
      </c>
      <c r="J108" s="123"/>
      <c r="K108" s="134">
        <v>30</v>
      </c>
      <c r="L108" s="127">
        <v>125</v>
      </c>
      <c r="M108" s="134">
        <v>25</v>
      </c>
      <c r="N108" s="134"/>
      <c r="O108" s="128"/>
      <c r="P108" s="125">
        <f>_xlfn.NUMBERVALUE(LEFT(MCC_Table6[[#This Row],[BUCKET]],LEN(MCC_Table6[[#This Row],[BUCKET]])-1))</f>
        <v>19</v>
      </c>
      <c r="Q108" s="125" t="str">
        <f>RIGHT(MCC_Table6[[#This Row],[BUCKET]],1)</f>
        <v>H</v>
      </c>
      <c r="R108" s="125">
        <f>VLOOKUP(MCC_Table6[[#This Row],[START UNIT]],UnitMap[],2,FALSE)</f>
        <v>8</v>
      </c>
      <c r="S108" s="125" cm="1">
        <f t="array" ref="S10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08" s="125">
        <f>IF(ISNUMBER(MCC_Table6[[#This Row],[SIZE]]), MCC_Table6[[#This Row],[SIZE]]/6, 0)</f>
        <v>5</v>
      </c>
      <c r="U108" s="125">
        <f>MCC_Table6[[#This Row],[START INDEX]]+MCC_Table6[[#This Row],[UNITS USED]]-1</f>
        <v>12</v>
      </c>
      <c r="V108" s="111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</row>
    <row r="109" spans="1:52" x14ac:dyDescent="0.3">
      <c r="A109" s="65" t="s">
        <v>1088</v>
      </c>
      <c r="B109" s="85" t="s">
        <v>450</v>
      </c>
      <c r="C109" s="55" t="s">
        <v>451</v>
      </c>
      <c r="D109" s="139" t="s">
        <v>452</v>
      </c>
      <c r="E109" s="55" t="s">
        <v>451</v>
      </c>
      <c r="F109" s="88">
        <f>IF(ISNUMBER(MCC_Table6[[#This Row],[SIZE]]), MCC_Table6[[#This Row],[SIZE]]/12, 0)</f>
        <v>3.5</v>
      </c>
      <c r="G109" s="14"/>
      <c r="H109" s="14"/>
      <c r="I109" s="14"/>
      <c r="J109" s="14"/>
      <c r="K109" s="105">
        <v>1200</v>
      </c>
      <c r="L109" s="105">
        <v>1200</v>
      </c>
      <c r="M109" s="105" t="s">
        <v>303</v>
      </c>
      <c r="N109" s="105"/>
      <c r="O109" s="57"/>
      <c r="P109" s="85">
        <f>_xlfn.NUMBERVALUE(LEFT(MCC_Table6[[#This Row],[BUCKET]],LEN(MCC_Table6[[#This Row],[BUCKET]])-1))</f>
        <v>1</v>
      </c>
      <c r="Q109" s="85" t="str">
        <f>RIGHT(MCC_Table6[[#This Row],[BUCKET]],1)</f>
        <v>A</v>
      </c>
      <c r="R109" s="85">
        <f>VLOOKUP(MCC_Table6[[#This Row],[START UNIT]],UnitMap[],2,FALSE)</f>
        <v>1</v>
      </c>
      <c r="S109" s="85" cm="1">
        <f t="array" ref="S10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109" s="85">
        <f>IF(ISNUMBER(MCC_Table6[[#This Row],[SIZE]]), MCC_Table6[[#This Row],[SIZE]]/6, 0)</f>
        <v>7</v>
      </c>
      <c r="U109" s="85">
        <f>MCC_Table6[[#This Row],[START INDEX]]+MCC_Table6[[#This Row],[UNITS USED]]-1</f>
        <v>7</v>
      </c>
      <c r="V109" s="109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</row>
    <row r="110" spans="1:52" x14ac:dyDescent="0.3">
      <c r="A110" s="67" t="s">
        <v>1088</v>
      </c>
      <c r="B110" s="85" t="s">
        <v>460</v>
      </c>
      <c r="C110" s="55" t="s">
        <v>1089</v>
      </c>
      <c r="D110" s="139" t="s">
        <v>457</v>
      </c>
      <c r="E110" s="55" t="s">
        <v>458</v>
      </c>
      <c r="F110" s="88">
        <f>IF(ISNUMBER(MCC_Table6[[#This Row],[SIZE]]), MCC_Table6[[#This Row],[SIZE]]/12, 0)</f>
        <v>1.5</v>
      </c>
      <c r="G110" s="14"/>
      <c r="H110" s="14"/>
      <c r="I110" s="14"/>
      <c r="J110" s="14"/>
      <c r="K110" s="106" t="s">
        <v>303</v>
      </c>
      <c r="L110" s="54" t="s">
        <v>303</v>
      </c>
      <c r="M110" s="106">
        <v>0.75</v>
      </c>
      <c r="N110" s="106"/>
      <c r="O110" s="57"/>
      <c r="P110" s="85">
        <f>_xlfn.NUMBERVALUE(LEFT(MCC_Table6[[#This Row],[BUCKET]],LEN(MCC_Table6[[#This Row],[BUCKET]])-1))</f>
        <v>1</v>
      </c>
      <c r="Q110" s="85" t="str">
        <f>RIGHT(MCC_Table6[[#This Row],[BUCKET]],1)</f>
        <v>H</v>
      </c>
      <c r="R110" s="85">
        <f>VLOOKUP(MCC_Table6[[#This Row],[START UNIT]],UnitMap[],2,FALSE)</f>
        <v>8</v>
      </c>
      <c r="S110" s="85" cm="1">
        <f t="array" ref="S11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110" s="85">
        <f>IF(ISNUMBER(MCC_Table6[[#This Row],[SIZE]]), MCC_Table6[[#This Row],[SIZE]]/6, 0)</f>
        <v>3</v>
      </c>
      <c r="U110" s="85">
        <f>MCC_Table6[[#This Row],[START INDEX]]+MCC_Table6[[#This Row],[UNITS USED]]-1</f>
        <v>10</v>
      </c>
      <c r="V110" s="114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</row>
    <row r="111" spans="1:52" x14ac:dyDescent="0.3">
      <c r="A111" s="67" t="s">
        <v>1088</v>
      </c>
      <c r="B111" s="51" t="s">
        <v>471</v>
      </c>
      <c r="C111" s="39" t="s">
        <v>462</v>
      </c>
      <c r="D111" s="136" t="s">
        <v>496</v>
      </c>
      <c r="E111" s="39" t="s">
        <v>462</v>
      </c>
      <c r="F111" s="86">
        <f>IF(ISNUMBER(MCC_Table6[[#This Row],[SIZE]]), MCC_Table6[[#This Row],[SIZE]]/12, 0)</f>
        <v>1</v>
      </c>
      <c r="G111" s="10"/>
      <c r="H111" s="10"/>
      <c r="I111" s="10"/>
      <c r="J111" s="10"/>
      <c r="K111" s="54"/>
      <c r="L111" s="54"/>
      <c r="M111" s="54"/>
      <c r="N111" s="54"/>
      <c r="O111" s="53"/>
      <c r="P111" s="51">
        <f>_xlfn.NUMBERVALUE(LEFT(MCC_Table6[[#This Row],[BUCKET]],LEN(MCC_Table6[[#This Row],[BUCKET]])-1))</f>
        <v>1</v>
      </c>
      <c r="Q111" s="51" t="str">
        <f>RIGHT(MCC_Table6[[#This Row],[BUCKET]],1)</f>
        <v>L</v>
      </c>
      <c r="R111" s="51">
        <f>VLOOKUP(MCC_Table6[[#This Row],[START UNIT]],UnitMap[],2,FALSE)</f>
        <v>11</v>
      </c>
      <c r="S111" s="51" cm="1">
        <f t="array" ref="S11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11" s="51">
        <f>IF(ISNUMBER(MCC_Table6[[#This Row],[SIZE]]), MCC_Table6[[#This Row],[SIZE]]/6, 0)</f>
        <v>2</v>
      </c>
      <c r="U111" s="51">
        <f>MCC_Table6[[#This Row],[START INDEX]]+MCC_Table6[[#This Row],[UNITS USED]]-1</f>
        <v>12</v>
      </c>
      <c r="V111" s="109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</row>
    <row r="112" spans="1:52" x14ac:dyDescent="0.3">
      <c r="A112" s="67" t="s">
        <v>1088</v>
      </c>
      <c r="B112" s="51" t="s">
        <v>477</v>
      </c>
      <c r="C112" s="39" t="s">
        <v>1090</v>
      </c>
      <c r="D112" s="136" t="s">
        <v>992</v>
      </c>
      <c r="E112" s="39" t="s">
        <v>993</v>
      </c>
      <c r="F112" s="86">
        <f>IF(ISNUMBER(MCC_Table6[[#This Row],[SIZE]]), MCC_Table6[[#This Row],[SIZE]]/12, 0)</f>
        <v>1</v>
      </c>
      <c r="G112" s="10"/>
      <c r="H112" s="10"/>
      <c r="I112" s="10"/>
      <c r="J112" s="10"/>
      <c r="K112" s="54"/>
      <c r="L112" s="54"/>
      <c r="M112" s="54"/>
      <c r="N112" s="54"/>
      <c r="O112" s="53"/>
      <c r="P112" s="51">
        <f>_xlfn.NUMBERVALUE(LEFT(MCC_Table6[[#This Row],[BUCKET]],LEN(MCC_Table6[[#This Row],[BUCKET]])-1))</f>
        <v>2</v>
      </c>
      <c r="Q112" s="51" t="str">
        <f>RIGHT(MCC_Table6[[#This Row],[BUCKET]],1)</f>
        <v>A</v>
      </c>
      <c r="R112" s="51">
        <f>VLOOKUP(MCC_Table6[[#This Row],[START UNIT]],UnitMap[],2,FALSE)</f>
        <v>1</v>
      </c>
      <c r="S112" s="51" cm="1">
        <f t="array" ref="S11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12" s="51">
        <f>IF(ISNUMBER(MCC_Table6[[#This Row],[SIZE]]), MCC_Table6[[#This Row],[SIZE]]/6, 0)</f>
        <v>2</v>
      </c>
      <c r="U112" s="51">
        <f>MCC_Table6[[#This Row],[START INDEX]]+MCC_Table6[[#This Row],[UNITS USED]]-1</f>
        <v>2</v>
      </c>
      <c r="V112" s="109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</row>
    <row r="113" spans="1:52" x14ac:dyDescent="0.3">
      <c r="A113" s="67" t="s">
        <v>1088</v>
      </c>
      <c r="B113" s="51" t="s">
        <v>897</v>
      </c>
      <c r="C113" s="39" t="s">
        <v>1091</v>
      </c>
      <c r="D113" s="136" t="s">
        <v>467</v>
      </c>
      <c r="E113" s="39" t="s">
        <v>468</v>
      </c>
      <c r="F113" s="86">
        <f>IF(ISNUMBER(MCC_Table6[[#This Row],[SIZE]]), MCC_Table6[[#This Row],[SIZE]]/12, 0)</f>
        <v>1</v>
      </c>
      <c r="G113" s="10"/>
      <c r="H113" s="10"/>
      <c r="I113" s="10"/>
      <c r="J113" s="10"/>
      <c r="K113" s="54"/>
      <c r="L113" s="54"/>
      <c r="M113" s="54"/>
      <c r="N113" s="54"/>
      <c r="O113" s="53"/>
      <c r="P113" s="51">
        <f>_xlfn.NUMBERVALUE(LEFT(MCC_Table6[[#This Row],[BUCKET]],LEN(MCC_Table6[[#This Row],[BUCKET]])-1))</f>
        <v>2</v>
      </c>
      <c r="Q113" s="51" t="str">
        <f>RIGHT(MCC_Table6[[#This Row],[BUCKET]],1)</f>
        <v>C</v>
      </c>
      <c r="R113" s="51">
        <f>VLOOKUP(MCC_Table6[[#This Row],[START UNIT]],UnitMap[],2,FALSE)</f>
        <v>3</v>
      </c>
      <c r="S113" s="51" cm="1">
        <f t="array" ref="S11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13" s="51">
        <f>IF(ISNUMBER(MCC_Table6[[#This Row],[SIZE]]), MCC_Table6[[#This Row],[SIZE]]/6, 0)</f>
        <v>2</v>
      </c>
      <c r="U113" s="51">
        <f>MCC_Table6[[#This Row],[START INDEX]]+MCC_Table6[[#This Row],[UNITS USED]]-1</f>
        <v>4</v>
      </c>
      <c r="V113" s="109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</row>
    <row r="114" spans="1:52" x14ac:dyDescent="0.3">
      <c r="A114" s="67" t="s">
        <v>1088</v>
      </c>
      <c r="B114" s="51" t="s">
        <v>483</v>
      </c>
      <c r="C114" s="39" t="s">
        <v>462</v>
      </c>
      <c r="D114" s="136" t="s">
        <v>496</v>
      </c>
      <c r="E114" s="39" t="s">
        <v>462</v>
      </c>
      <c r="F114" s="86">
        <f>IF(ISNUMBER(MCC_Table6[[#This Row],[SIZE]]), MCC_Table6[[#This Row],[SIZE]]/12, 0)</f>
        <v>1</v>
      </c>
      <c r="G114" s="10"/>
      <c r="H114" s="10"/>
      <c r="I114" s="10"/>
      <c r="J114" s="10"/>
      <c r="K114" s="54"/>
      <c r="L114" s="54"/>
      <c r="M114" s="54"/>
      <c r="N114" s="54"/>
      <c r="O114" s="53"/>
      <c r="P114" s="51">
        <f>_xlfn.NUMBERVALUE(LEFT(MCC_Table6[[#This Row],[BUCKET]],LEN(MCC_Table6[[#This Row],[BUCKET]])-1))</f>
        <v>2</v>
      </c>
      <c r="Q114" s="51" t="str">
        <f>RIGHT(MCC_Table6[[#This Row],[BUCKET]],1)</f>
        <v>E</v>
      </c>
      <c r="R114" s="51">
        <f>VLOOKUP(MCC_Table6[[#This Row],[START UNIT]],UnitMap[],2,FALSE)</f>
        <v>5</v>
      </c>
      <c r="S114" s="51" cm="1">
        <f t="array" ref="S11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14" s="51">
        <f>IF(ISNUMBER(MCC_Table6[[#This Row],[SIZE]]), MCC_Table6[[#This Row],[SIZE]]/6, 0)</f>
        <v>2</v>
      </c>
      <c r="U114" s="51">
        <f>MCC_Table6[[#This Row],[START INDEX]]+MCC_Table6[[#This Row],[UNITS USED]]-1</f>
        <v>6</v>
      </c>
      <c r="V114" s="109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</row>
    <row r="115" spans="1:52" x14ac:dyDescent="0.3">
      <c r="A115" s="67" t="s">
        <v>1088</v>
      </c>
      <c r="B115" s="51" t="s">
        <v>1092</v>
      </c>
      <c r="C115" s="39" t="s">
        <v>462</v>
      </c>
      <c r="D115" s="136" t="s">
        <v>496</v>
      </c>
      <c r="E115" s="39" t="s">
        <v>462</v>
      </c>
      <c r="F115" s="86">
        <f>IF(ISNUMBER(MCC_Table6[[#This Row],[SIZE]]), MCC_Table6[[#This Row],[SIZE]]/12, 0)</f>
        <v>1</v>
      </c>
      <c r="G115" s="10"/>
      <c r="H115" s="10"/>
      <c r="I115" s="10"/>
      <c r="J115" s="10"/>
      <c r="K115" s="54"/>
      <c r="L115" s="54"/>
      <c r="M115" s="54"/>
      <c r="N115" s="54"/>
      <c r="O115" s="53"/>
      <c r="P115" s="51">
        <f>_xlfn.NUMBERVALUE(LEFT(MCC_Table6[[#This Row],[BUCKET]],LEN(MCC_Table6[[#This Row],[BUCKET]])-1))</f>
        <v>2</v>
      </c>
      <c r="Q115" s="51" t="str">
        <f>RIGHT(MCC_Table6[[#This Row],[BUCKET]],1)</f>
        <v>G</v>
      </c>
      <c r="R115" s="51">
        <f>VLOOKUP(MCC_Table6[[#This Row],[START UNIT]],UnitMap[],2,FALSE)</f>
        <v>7</v>
      </c>
      <c r="S115" s="51" cm="1">
        <f t="array" ref="S11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15" s="51">
        <f>IF(ISNUMBER(MCC_Table6[[#This Row],[SIZE]]), MCC_Table6[[#This Row],[SIZE]]/6, 0)</f>
        <v>2</v>
      </c>
      <c r="U115" s="51">
        <f>MCC_Table6[[#This Row],[START INDEX]]+MCC_Table6[[#This Row],[UNITS USED]]-1</f>
        <v>8</v>
      </c>
      <c r="V115" s="109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</row>
    <row r="116" spans="1:52" x14ac:dyDescent="0.3">
      <c r="A116" s="67" t="s">
        <v>1088</v>
      </c>
      <c r="B116" s="10" t="s">
        <v>486</v>
      </c>
      <c r="C116" s="39" t="s">
        <v>1093</v>
      </c>
      <c r="D116" s="135" t="s">
        <v>1094</v>
      </c>
      <c r="E116" s="51" t="s">
        <v>904</v>
      </c>
      <c r="F116" s="87">
        <f>IF(ISNUMBER(MCC_Table6[[#This Row],[SIZE]]), MCC_Table6[[#This Row],[SIZE]]/12, 0)</f>
        <v>2</v>
      </c>
      <c r="G116" s="10">
        <v>3</v>
      </c>
      <c r="H116" s="10">
        <v>5</v>
      </c>
      <c r="I116" s="54">
        <v>8</v>
      </c>
      <c r="J116" s="10"/>
      <c r="K116" s="54">
        <v>20</v>
      </c>
      <c r="L116" s="54">
        <v>125</v>
      </c>
      <c r="M116" s="54">
        <v>12</v>
      </c>
      <c r="N116" s="54" t="s">
        <v>911</v>
      </c>
      <c r="O116" s="53"/>
      <c r="P116" s="10">
        <f>_xlfn.NUMBERVALUE(LEFT(MCC_Table6[[#This Row],[BUCKET]],LEN(MCC_Table6[[#This Row],[BUCKET]])-1))</f>
        <v>2</v>
      </c>
      <c r="Q116" s="10" t="str">
        <f>RIGHT(MCC_Table6[[#This Row],[BUCKET]],1)</f>
        <v>J</v>
      </c>
      <c r="R116" s="10">
        <f>VLOOKUP(MCC_Table6[[#This Row],[START UNIT]],UnitMap[],2,FALSE)</f>
        <v>9</v>
      </c>
      <c r="S116" s="10" cm="1">
        <f t="array" ref="S11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16" s="10">
        <f>IF(ISNUMBER(MCC_Table6[[#This Row],[SIZE]]), MCC_Table6[[#This Row],[SIZE]]/6, 0)</f>
        <v>4</v>
      </c>
      <c r="U116" s="10">
        <f>MCC_Table6[[#This Row],[START INDEX]]+MCC_Table6[[#This Row],[UNITS USED]]-1</f>
        <v>12</v>
      </c>
      <c r="V116" s="111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</row>
    <row r="117" spans="1:52" x14ac:dyDescent="0.3">
      <c r="A117" s="67" t="s">
        <v>1088</v>
      </c>
      <c r="B117" s="10" t="s">
        <v>489</v>
      </c>
      <c r="C117" s="39" t="s">
        <v>1095</v>
      </c>
      <c r="D117" s="135" t="s">
        <v>1096</v>
      </c>
      <c r="E117" s="51" t="s">
        <v>904</v>
      </c>
      <c r="F117" s="87">
        <f>IF(ISNUMBER(MCC_Table6[[#This Row],[SIZE]]), MCC_Table6[[#This Row],[SIZE]]/12, 0)</f>
        <v>2</v>
      </c>
      <c r="G117" s="10">
        <v>0.5</v>
      </c>
      <c r="H117" s="10">
        <v>1</v>
      </c>
      <c r="I117" s="54">
        <v>2.1</v>
      </c>
      <c r="J117" s="10"/>
      <c r="K117" s="54">
        <v>15</v>
      </c>
      <c r="L117" s="54">
        <v>125</v>
      </c>
      <c r="M117" s="54">
        <v>3</v>
      </c>
      <c r="N117" s="54" t="s">
        <v>911</v>
      </c>
      <c r="O117" s="53" t="s">
        <v>1097</v>
      </c>
      <c r="P117" s="10">
        <f>_xlfn.NUMBERVALUE(LEFT(MCC_Table6[[#This Row],[BUCKET]],LEN(MCC_Table6[[#This Row],[BUCKET]])-1))</f>
        <v>3</v>
      </c>
      <c r="Q117" s="10" t="str">
        <f>RIGHT(MCC_Table6[[#This Row],[BUCKET]],1)</f>
        <v>A</v>
      </c>
      <c r="R117" s="10">
        <f>VLOOKUP(MCC_Table6[[#This Row],[START UNIT]],UnitMap[],2,FALSE)</f>
        <v>1</v>
      </c>
      <c r="S117" s="10" cm="1">
        <f t="array" ref="S11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17" s="10">
        <f>IF(ISNUMBER(MCC_Table6[[#This Row],[SIZE]]), MCC_Table6[[#This Row],[SIZE]]/6, 0)</f>
        <v>4</v>
      </c>
      <c r="U117" s="10">
        <f>MCC_Table6[[#This Row],[START INDEX]]+MCC_Table6[[#This Row],[UNITS USED]]-1</f>
        <v>4</v>
      </c>
      <c r="V117" s="111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</row>
    <row r="118" spans="1:52" x14ac:dyDescent="0.3">
      <c r="A118" s="67" t="s">
        <v>1088</v>
      </c>
      <c r="B118" s="10" t="s">
        <v>1098</v>
      </c>
      <c r="C118" s="39" t="s">
        <v>1099</v>
      </c>
      <c r="D118" s="135" t="s">
        <v>1100</v>
      </c>
      <c r="E118" s="51" t="s">
        <v>904</v>
      </c>
      <c r="F118" s="87">
        <f>IF(ISNUMBER(MCC_Table6[[#This Row],[SIZE]]), MCC_Table6[[#This Row],[SIZE]]/12, 0)</f>
        <v>2</v>
      </c>
      <c r="G118" s="10">
        <v>0.5</v>
      </c>
      <c r="H118" s="10">
        <v>1</v>
      </c>
      <c r="I118" s="54">
        <v>2.1</v>
      </c>
      <c r="J118" s="10"/>
      <c r="K118" s="54">
        <v>15</v>
      </c>
      <c r="L118" s="54">
        <v>125</v>
      </c>
      <c r="M118" s="54">
        <v>3</v>
      </c>
      <c r="N118" s="54" t="s">
        <v>911</v>
      </c>
      <c r="O118" s="53"/>
      <c r="P118" s="10">
        <f>_xlfn.NUMBERVALUE(LEFT(MCC_Table6[[#This Row],[BUCKET]],LEN(MCC_Table6[[#This Row],[BUCKET]])-1))</f>
        <v>3</v>
      </c>
      <c r="Q118" s="10" t="str">
        <f>RIGHT(MCC_Table6[[#This Row],[BUCKET]],1)</f>
        <v>E</v>
      </c>
      <c r="R118" s="10">
        <f>VLOOKUP(MCC_Table6[[#This Row],[START UNIT]],UnitMap[],2,FALSE)</f>
        <v>5</v>
      </c>
      <c r="S118" s="10" cm="1">
        <f t="array" ref="S11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18" s="10">
        <f>IF(ISNUMBER(MCC_Table6[[#This Row],[SIZE]]), MCC_Table6[[#This Row],[SIZE]]/6, 0)</f>
        <v>4</v>
      </c>
      <c r="U118" s="10">
        <f>MCC_Table6[[#This Row],[START INDEX]]+MCC_Table6[[#This Row],[UNITS USED]]-1</f>
        <v>8</v>
      </c>
      <c r="V118" s="111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</row>
    <row r="119" spans="1:52" x14ac:dyDescent="0.3">
      <c r="A119" s="67" t="s">
        <v>1088</v>
      </c>
      <c r="B119" s="10" t="s">
        <v>1101</v>
      </c>
      <c r="C119" s="39" t="s">
        <v>1102</v>
      </c>
      <c r="D119" s="135" t="s">
        <v>1103</v>
      </c>
      <c r="E119" s="51" t="s">
        <v>904</v>
      </c>
      <c r="F119" s="87">
        <f>IF(ISNUMBER(MCC_Table6[[#This Row],[SIZE]]), MCC_Table6[[#This Row],[SIZE]]/12, 0)</f>
        <v>2</v>
      </c>
      <c r="G119" s="10">
        <v>0.5</v>
      </c>
      <c r="H119" s="10">
        <v>1</v>
      </c>
      <c r="I119" s="54">
        <v>2.1</v>
      </c>
      <c r="J119" s="10"/>
      <c r="K119" s="54">
        <v>15</v>
      </c>
      <c r="L119" s="54">
        <v>125</v>
      </c>
      <c r="M119" s="54">
        <v>3</v>
      </c>
      <c r="N119" s="54" t="s">
        <v>911</v>
      </c>
      <c r="O119" s="53"/>
      <c r="P119" s="10">
        <f>_xlfn.NUMBERVALUE(LEFT(MCC_Table6[[#This Row],[BUCKET]],LEN(MCC_Table6[[#This Row],[BUCKET]])-1))</f>
        <v>3</v>
      </c>
      <c r="Q119" s="10" t="str">
        <f>RIGHT(MCC_Table6[[#This Row],[BUCKET]],1)</f>
        <v>J</v>
      </c>
      <c r="R119" s="10">
        <f>VLOOKUP(MCC_Table6[[#This Row],[START UNIT]],UnitMap[],2,FALSE)</f>
        <v>9</v>
      </c>
      <c r="S119" s="10" cm="1">
        <f t="array" ref="S11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19" s="10">
        <f>IF(ISNUMBER(MCC_Table6[[#This Row],[SIZE]]), MCC_Table6[[#This Row],[SIZE]]/6, 0)</f>
        <v>4</v>
      </c>
      <c r="U119" s="10">
        <f>MCC_Table6[[#This Row],[START INDEX]]+MCC_Table6[[#This Row],[UNITS USED]]-1</f>
        <v>12</v>
      </c>
      <c r="V119" s="111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</row>
    <row r="120" spans="1:52" x14ac:dyDescent="0.3">
      <c r="A120" s="67" t="s">
        <v>1088</v>
      </c>
      <c r="B120" s="10" t="s">
        <v>497</v>
      </c>
      <c r="C120" s="39" t="s">
        <v>1104</v>
      </c>
      <c r="D120" s="135" t="s">
        <v>1105</v>
      </c>
      <c r="E120" s="51" t="s">
        <v>904</v>
      </c>
      <c r="F120" s="87">
        <f>IF(ISNUMBER(MCC_Table6[[#This Row],[SIZE]]), MCC_Table6[[#This Row],[SIZE]]/12, 0)</f>
        <v>2</v>
      </c>
      <c r="G120" s="51">
        <v>5</v>
      </c>
      <c r="H120" s="10">
        <v>5</v>
      </c>
      <c r="I120" s="54">
        <v>8</v>
      </c>
      <c r="J120" s="10"/>
      <c r="K120" s="54">
        <v>20</v>
      </c>
      <c r="L120" s="54">
        <v>125</v>
      </c>
      <c r="M120" s="54">
        <v>12</v>
      </c>
      <c r="N120" s="54" t="s">
        <v>911</v>
      </c>
      <c r="O120" s="53"/>
      <c r="P120" s="10">
        <f>_xlfn.NUMBERVALUE(LEFT(MCC_Table6[[#This Row],[BUCKET]],LEN(MCC_Table6[[#This Row],[BUCKET]])-1))</f>
        <v>4</v>
      </c>
      <c r="Q120" s="10" t="str">
        <f>RIGHT(MCC_Table6[[#This Row],[BUCKET]],1)</f>
        <v>A</v>
      </c>
      <c r="R120" s="10">
        <f>VLOOKUP(MCC_Table6[[#This Row],[START UNIT]],UnitMap[],2,FALSE)</f>
        <v>1</v>
      </c>
      <c r="S120" s="10" cm="1">
        <f t="array" ref="S12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20" s="10">
        <f>IF(ISNUMBER(MCC_Table6[[#This Row],[SIZE]]), MCC_Table6[[#This Row],[SIZE]]/6, 0)</f>
        <v>4</v>
      </c>
      <c r="U120" s="10">
        <f>MCC_Table6[[#This Row],[START INDEX]]+MCC_Table6[[#This Row],[UNITS USED]]-1</f>
        <v>4</v>
      </c>
      <c r="V120" s="111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</row>
    <row r="121" spans="1:52" x14ac:dyDescent="0.3">
      <c r="A121" s="67" t="s">
        <v>1088</v>
      </c>
      <c r="B121" s="51" t="s">
        <v>1106</v>
      </c>
      <c r="C121" s="39" t="s">
        <v>462</v>
      </c>
      <c r="D121" s="136" t="s">
        <v>461</v>
      </c>
      <c r="E121" s="39" t="s">
        <v>462</v>
      </c>
      <c r="F121" s="87">
        <f>IF(ISNUMBER(MCC_Table6[[#This Row],[SIZE]]), MCC_Table6[[#This Row],[SIZE]]/12, 0)</f>
        <v>0.5</v>
      </c>
      <c r="G121" s="10"/>
      <c r="H121" s="10"/>
      <c r="I121" s="10"/>
      <c r="J121" s="10"/>
      <c r="K121" s="54"/>
      <c r="L121" s="54"/>
      <c r="M121" s="54"/>
      <c r="N121" s="54"/>
      <c r="O121" s="53"/>
      <c r="P121" s="10">
        <f>_xlfn.NUMBERVALUE(LEFT(MCC_Table6[[#This Row],[BUCKET]],LEN(MCC_Table6[[#This Row],[BUCKET]])-1))</f>
        <v>4</v>
      </c>
      <c r="Q121" s="10" t="str">
        <f>RIGHT(MCC_Table6[[#This Row],[BUCKET]],1)</f>
        <v>E</v>
      </c>
      <c r="R121" s="10">
        <f>VLOOKUP(MCC_Table6[[#This Row],[START UNIT]],UnitMap[],2,FALSE)</f>
        <v>5</v>
      </c>
      <c r="S121" s="10" cm="1">
        <f t="array" ref="S12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121" s="10">
        <f>IF(ISNUMBER(MCC_Table6[[#This Row],[SIZE]]), MCC_Table6[[#This Row],[SIZE]]/6, 0)</f>
        <v>1</v>
      </c>
      <c r="U121" s="10">
        <f>MCC_Table6[[#This Row],[START INDEX]]+MCC_Table6[[#This Row],[UNITS USED]]-1</f>
        <v>5</v>
      </c>
      <c r="V121" s="111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</row>
    <row r="122" spans="1:52" x14ac:dyDescent="0.3">
      <c r="A122" s="67" t="s">
        <v>1088</v>
      </c>
      <c r="B122" s="10" t="s">
        <v>500</v>
      </c>
      <c r="C122" s="39" t="s">
        <v>53</v>
      </c>
      <c r="D122" s="135" t="s">
        <v>530</v>
      </c>
      <c r="E122" s="51" t="s">
        <v>904</v>
      </c>
      <c r="F122" s="87">
        <f>IF(ISNUMBER(MCC_Table6[[#This Row],[SIZE]]), MCC_Table6[[#This Row],[SIZE]]/12, 0)</f>
        <v>2.5</v>
      </c>
      <c r="G122" s="51"/>
      <c r="H122" s="10">
        <v>10</v>
      </c>
      <c r="I122" s="10">
        <v>14</v>
      </c>
      <c r="J122" s="10"/>
      <c r="K122" s="96">
        <v>30</v>
      </c>
      <c r="L122" s="54">
        <v>125</v>
      </c>
      <c r="M122" s="96">
        <v>25</v>
      </c>
      <c r="N122" s="96"/>
      <c r="O122" s="53"/>
      <c r="P122" s="10">
        <f>_xlfn.NUMBERVALUE(LEFT(MCC_Table6[[#This Row],[BUCKET]],LEN(MCC_Table6[[#This Row],[BUCKET]])-1))</f>
        <v>4</v>
      </c>
      <c r="Q122" s="10" t="str">
        <f>RIGHT(MCC_Table6[[#This Row],[BUCKET]],1)</f>
        <v>F</v>
      </c>
      <c r="R122" s="10">
        <f>VLOOKUP(MCC_Table6[[#This Row],[START UNIT]],UnitMap[],2,FALSE)</f>
        <v>6</v>
      </c>
      <c r="S122" s="10" cm="1">
        <f t="array" ref="S12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22" s="10">
        <f>IF(ISNUMBER(MCC_Table6[[#This Row],[SIZE]]), MCC_Table6[[#This Row],[SIZE]]/6, 0)</f>
        <v>5</v>
      </c>
      <c r="U122" s="10">
        <f>MCC_Table6[[#This Row],[START INDEX]]+MCC_Table6[[#This Row],[UNITS USED]]-1</f>
        <v>10</v>
      </c>
      <c r="V122" s="111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</row>
    <row r="123" spans="1:52" x14ac:dyDescent="0.3">
      <c r="A123" s="67" t="s">
        <v>1088</v>
      </c>
      <c r="B123" s="51" t="s">
        <v>503</v>
      </c>
      <c r="C123" s="39" t="s">
        <v>462</v>
      </c>
      <c r="D123" s="136" t="s">
        <v>496</v>
      </c>
      <c r="E123" s="39" t="s">
        <v>462</v>
      </c>
      <c r="F123" s="87">
        <f>IF(ISNUMBER(MCC_Table6[[#This Row],[SIZE]]), MCC_Table6[[#This Row],[SIZE]]/12, 0)</f>
        <v>1</v>
      </c>
      <c r="G123" s="10"/>
      <c r="H123" s="10"/>
      <c r="I123" s="10"/>
      <c r="J123" s="10"/>
      <c r="K123" s="54"/>
      <c r="L123" s="54"/>
      <c r="M123" s="54"/>
      <c r="N123" s="54"/>
      <c r="O123" s="53"/>
      <c r="P123" s="10">
        <f>_xlfn.NUMBERVALUE(LEFT(MCC_Table6[[#This Row],[BUCKET]],LEN(MCC_Table6[[#This Row],[BUCKET]])-1))</f>
        <v>4</v>
      </c>
      <c r="Q123" s="10" t="str">
        <f>RIGHT(MCC_Table6[[#This Row],[BUCKET]],1)</f>
        <v>L</v>
      </c>
      <c r="R123" s="10">
        <f>VLOOKUP(MCC_Table6[[#This Row],[START UNIT]],UnitMap[],2,FALSE)</f>
        <v>11</v>
      </c>
      <c r="S123" s="10" cm="1">
        <f t="array" ref="S12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23" s="10">
        <f>IF(ISNUMBER(MCC_Table6[[#This Row],[SIZE]]), MCC_Table6[[#This Row],[SIZE]]/6, 0)</f>
        <v>2</v>
      </c>
      <c r="U123" s="10">
        <f>MCC_Table6[[#This Row],[START INDEX]]+MCC_Table6[[#This Row],[UNITS USED]]-1</f>
        <v>12</v>
      </c>
      <c r="V123" s="111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</row>
    <row r="124" spans="1:52" x14ac:dyDescent="0.3">
      <c r="A124" s="67" t="s">
        <v>1088</v>
      </c>
      <c r="B124" s="51" t="s">
        <v>508</v>
      </c>
      <c r="C124" s="39" t="s">
        <v>462</v>
      </c>
      <c r="D124" s="136" t="s">
        <v>496</v>
      </c>
      <c r="E124" s="39" t="s">
        <v>462</v>
      </c>
      <c r="F124" s="87">
        <f>IF(ISNUMBER(MCC_Table6[[#This Row],[SIZE]]), MCC_Table6[[#This Row],[SIZE]]/12, 0)</f>
        <v>1</v>
      </c>
      <c r="G124" s="10"/>
      <c r="H124" s="10"/>
      <c r="I124" s="10"/>
      <c r="J124" s="10"/>
      <c r="K124" s="54"/>
      <c r="L124" s="54"/>
      <c r="M124" s="54"/>
      <c r="N124" s="54"/>
      <c r="O124" s="53"/>
      <c r="P124" s="10">
        <f>_xlfn.NUMBERVALUE(LEFT(MCC_Table6[[#This Row],[BUCKET]],LEN(MCC_Table6[[#This Row],[BUCKET]])-1))</f>
        <v>5</v>
      </c>
      <c r="Q124" s="10" t="str">
        <f>RIGHT(MCC_Table6[[#This Row],[BUCKET]],1)</f>
        <v>A</v>
      </c>
      <c r="R124" s="10">
        <f>VLOOKUP(MCC_Table6[[#This Row],[START UNIT]],UnitMap[],2,FALSE)</f>
        <v>1</v>
      </c>
      <c r="S124" s="10" cm="1">
        <f t="array" ref="S12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24" s="10">
        <f>IF(ISNUMBER(MCC_Table6[[#This Row],[SIZE]]), MCC_Table6[[#This Row],[SIZE]]/6, 0)</f>
        <v>2</v>
      </c>
      <c r="U124" s="10">
        <f>MCC_Table6[[#This Row],[START INDEX]]+MCC_Table6[[#This Row],[UNITS USED]]-1</f>
        <v>2</v>
      </c>
      <c r="V124" s="111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</row>
    <row r="125" spans="1:52" x14ac:dyDescent="0.3">
      <c r="A125" s="67" t="s">
        <v>1088</v>
      </c>
      <c r="B125" s="10" t="s">
        <v>1107</v>
      </c>
      <c r="C125" s="39" t="s">
        <v>1108</v>
      </c>
      <c r="D125" s="135" t="s">
        <v>1109</v>
      </c>
      <c r="E125" s="51" t="s">
        <v>904</v>
      </c>
      <c r="F125" s="87">
        <f>IF(ISNUMBER(MCC_Table6[[#This Row],[SIZE]]), MCC_Table6[[#This Row],[SIZE]]/12, 0)</f>
        <v>2.5</v>
      </c>
      <c r="G125" s="51">
        <v>7.5</v>
      </c>
      <c r="H125" s="10">
        <v>10</v>
      </c>
      <c r="I125" s="10">
        <v>14</v>
      </c>
      <c r="J125" s="10"/>
      <c r="K125" s="54">
        <v>30</v>
      </c>
      <c r="L125" s="54">
        <v>125</v>
      </c>
      <c r="M125" s="54">
        <v>25</v>
      </c>
      <c r="N125" s="54" t="s">
        <v>911</v>
      </c>
      <c r="O125" s="53"/>
      <c r="P125" s="10">
        <f>_xlfn.NUMBERVALUE(LEFT(MCC_Table6[[#This Row],[BUCKET]],LEN(MCC_Table6[[#This Row],[BUCKET]])-1))</f>
        <v>5</v>
      </c>
      <c r="Q125" s="10" t="str">
        <f>RIGHT(MCC_Table6[[#This Row],[BUCKET]],1)</f>
        <v>C</v>
      </c>
      <c r="R125" s="10">
        <f>VLOOKUP(MCC_Table6[[#This Row],[START UNIT]],UnitMap[],2,FALSE)</f>
        <v>3</v>
      </c>
      <c r="S125" s="10" cm="1">
        <f t="array" ref="S12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25" s="10">
        <f>IF(ISNUMBER(MCC_Table6[[#This Row],[SIZE]]), MCC_Table6[[#This Row],[SIZE]]/6, 0)</f>
        <v>5</v>
      </c>
      <c r="U125" s="10">
        <f>MCC_Table6[[#This Row],[START INDEX]]+MCC_Table6[[#This Row],[UNITS USED]]-1</f>
        <v>7</v>
      </c>
      <c r="V125" s="111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</row>
    <row r="126" spans="1:52" x14ac:dyDescent="0.3">
      <c r="A126" s="67" t="s">
        <v>1088</v>
      </c>
      <c r="B126" s="10" t="s">
        <v>1007</v>
      </c>
      <c r="C126" s="39" t="s">
        <v>1110</v>
      </c>
      <c r="D126" s="135" t="s">
        <v>1111</v>
      </c>
      <c r="E126" s="51" t="s">
        <v>904</v>
      </c>
      <c r="F126" s="87">
        <f>IF(ISNUMBER(MCC_Table6[[#This Row],[SIZE]]), MCC_Table6[[#This Row],[SIZE]]/12, 0)</f>
        <v>2.5</v>
      </c>
      <c r="G126" s="51">
        <v>7.5</v>
      </c>
      <c r="H126" s="10">
        <v>10</v>
      </c>
      <c r="I126" s="10">
        <v>14</v>
      </c>
      <c r="J126" s="10"/>
      <c r="K126" s="54">
        <v>30</v>
      </c>
      <c r="L126" s="54">
        <v>125</v>
      </c>
      <c r="M126" s="54">
        <v>25</v>
      </c>
      <c r="N126" s="54" t="s">
        <v>911</v>
      </c>
      <c r="O126" s="53"/>
      <c r="P126" s="10">
        <f>_xlfn.NUMBERVALUE(LEFT(MCC_Table6[[#This Row],[BUCKET]],LEN(MCC_Table6[[#This Row],[BUCKET]])-1))</f>
        <v>5</v>
      </c>
      <c r="Q126" s="10" t="str">
        <f>RIGHT(MCC_Table6[[#This Row],[BUCKET]],1)</f>
        <v>H</v>
      </c>
      <c r="R126" s="10">
        <f>VLOOKUP(MCC_Table6[[#This Row],[START UNIT]],UnitMap[],2,FALSE)</f>
        <v>8</v>
      </c>
      <c r="S126" s="10" cm="1">
        <f t="array" ref="S12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26" s="10">
        <f>IF(ISNUMBER(MCC_Table6[[#This Row],[SIZE]]), MCC_Table6[[#This Row],[SIZE]]/6, 0)</f>
        <v>5</v>
      </c>
      <c r="U126" s="10">
        <f>MCC_Table6[[#This Row],[START INDEX]]+MCC_Table6[[#This Row],[UNITS USED]]-1</f>
        <v>12</v>
      </c>
      <c r="V126" s="111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</row>
    <row r="127" spans="1:52" x14ac:dyDescent="0.3">
      <c r="A127" s="67" t="s">
        <v>1088</v>
      </c>
      <c r="B127" s="10" t="s">
        <v>517</v>
      </c>
      <c r="C127" s="39" t="s">
        <v>1112</v>
      </c>
      <c r="D127" s="135" t="s">
        <v>1113</v>
      </c>
      <c r="E127" s="51" t="s">
        <v>904</v>
      </c>
      <c r="F127" s="87">
        <f>IF(ISNUMBER(MCC_Table6[[#This Row],[SIZE]]), MCC_Table6[[#This Row],[SIZE]]/12, 0)</f>
        <v>2</v>
      </c>
      <c r="G127" s="10">
        <v>0.5</v>
      </c>
      <c r="H127" s="10">
        <v>1</v>
      </c>
      <c r="I127" s="54">
        <v>2.1</v>
      </c>
      <c r="J127" s="10"/>
      <c r="K127" s="54">
        <v>15</v>
      </c>
      <c r="L127" s="54">
        <v>125</v>
      </c>
      <c r="M127" s="54">
        <v>3</v>
      </c>
      <c r="N127" s="54" t="s">
        <v>911</v>
      </c>
      <c r="O127" s="53"/>
      <c r="P127" s="10">
        <f>_xlfn.NUMBERVALUE(LEFT(MCC_Table6[[#This Row],[BUCKET]],LEN(MCC_Table6[[#This Row],[BUCKET]])-1))</f>
        <v>6</v>
      </c>
      <c r="Q127" s="10" t="str">
        <f>RIGHT(MCC_Table6[[#This Row],[BUCKET]],1)</f>
        <v>A</v>
      </c>
      <c r="R127" s="10">
        <f>VLOOKUP(MCC_Table6[[#This Row],[START UNIT]],UnitMap[],2,FALSE)</f>
        <v>1</v>
      </c>
      <c r="S127" s="10" cm="1">
        <f t="array" ref="S12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27" s="10">
        <f>IF(ISNUMBER(MCC_Table6[[#This Row],[SIZE]]), MCC_Table6[[#This Row],[SIZE]]/6, 0)</f>
        <v>4</v>
      </c>
      <c r="U127" s="10">
        <f>MCC_Table6[[#This Row],[START INDEX]]+MCC_Table6[[#This Row],[UNITS USED]]-1</f>
        <v>4</v>
      </c>
      <c r="V127" s="111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</row>
    <row r="128" spans="1:52" x14ac:dyDescent="0.3">
      <c r="A128" s="67" t="s">
        <v>1088</v>
      </c>
      <c r="B128" s="10" t="s">
        <v>912</v>
      </c>
      <c r="C128" s="39" t="s">
        <v>1114</v>
      </c>
      <c r="D128" s="135" t="s">
        <v>1115</v>
      </c>
      <c r="E128" s="51" t="s">
        <v>904</v>
      </c>
      <c r="F128" s="87">
        <f>IF(ISNUMBER(MCC_Table6[[#This Row],[SIZE]]), MCC_Table6[[#This Row],[SIZE]]/12, 0)</f>
        <v>2</v>
      </c>
      <c r="G128" s="10">
        <v>0.5</v>
      </c>
      <c r="H128" s="10">
        <v>1</v>
      </c>
      <c r="I128" s="54">
        <v>2.1</v>
      </c>
      <c r="J128" s="10"/>
      <c r="K128" s="54">
        <v>15</v>
      </c>
      <c r="L128" s="54">
        <v>125</v>
      </c>
      <c r="M128" s="54">
        <v>3</v>
      </c>
      <c r="N128" s="54" t="s">
        <v>911</v>
      </c>
      <c r="O128" s="53"/>
      <c r="P128" s="10">
        <f>_xlfn.NUMBERVALUE(LEFT(MCC_Table6[[#This Row],[BUCKET]],LEN(MCC_Table6[[#This Row],[BUCKET]])-1))</f>
        <v>6</v>
      </c>
      <c r="Q128" s="10" t="str">
        <f>RIGHT(MCC_Table6[[#This Row],[BUCKET]],1)</f>
        <v>E</v>
      </c>
      <c r="R128" s="10">
        <f>VLOOKUP(MCC_Table6[[#This Row],[START UNIT]],UnitMap[],2,FALSE)</f>
        <v>5</v>
      </c>
      <c r="S128" s="10" cm="1">
        <f t="array" ref="S12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28" s="10">
        <f>IF(ISNUMBER(MCC_Table6[[#This Row],[SIZE]]), MCC_Table6[[#This Row],[SIZE]]/6, 0)</f>
        <v>4</v>
      </c>
      <c r="U128" s="10">
        <f>MCC_Table6[[#This Row],[START INDEX]]+MCC_Table6[[#This Row],[UNITS USED]]-1</f>
        <v>8</v>
      </c>
      <c r="V128" s="111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</row>
    <row r="129" spans="1:52" x14ac:dyDescent="0.3">
      <c r="A129" s="67" t="s">
        <v>1088</v>
      </c>
      <c r="B129" s="10" t="s">
        <v>523</v>
      </c>
      <c r="C129" s="39" t="s">
        <v>1116</v>
      </c>
      <c r="D129" s="135" t="s">
        <v>1117</v>
      </c>
      <c r="E129" s="51" t="s">
        <v>904</v>
      </c>
      <c r="F129" s="87">
        <f>IF(ISNUMBER(MCC_Table6[[#This Row],[SIZE]]), MCC_Table6[[#This Row],[SIZE]]/12, 0)</f>
        <v>2</v>
      </c>
      <c r="G129" s="10">
        <v>0.5</v>
      </c>
      <c r="H129" s="10">
        <v>1</v>
      </c>
      <c r="I129" s="54">
        <v>2.1</v>
      </c>
      <c r="J129" s="10"/>
      <c r="K129" s="54">
        <v>15</v>
      </c>
      <c r="L129" s="54">
        <v>125</v>
      </c>
      <c r="M129" s="54">
        <v>3</v>
      </c>
      <c r="N129" s="54" t="s">
        <v>911</v>
      </c>
      <c r="O129" s="53"/>
      <c r="P129" s="10">
        <f>_xlfn.NUMBERVALUE(LEFT(MCC_Table6[[#This Row],[BUCKET]],LEN(MCC_Table6[[#This Row],[BUCKET]])-1))</f>
        <v>6</v>
      </c>
      <c r="Q129" s="10" t="str">
        <f>RIGHT(MCC_Table6[[#This Row],[BUCKET]],1)</f>
        <v>J</v>
      </c>
      <c r="R129" s="10">
        <f>VLOOKUP(MCC_Table6[[#This Row],[START UNIT]],UnitMap[],2,FALSE)</f>
        <v>9</v>
      </c>
      <c r="S129" s="10" cm="1">
        <f t="array" ref="S12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29" s="10">
        <f>IF(ISNUMBER(MCC_Table6[[#This Row],[SIZE]]), MCC_Table6[[#This Row],[SIZE]]/6, 0)</f>
        <v>4</v>
      </c>
      <c r="U129" s="10">
        <f>MCC_Table6[[#This Row],[START INDEX]]+MCC_Table6[[#This Row],[UNITS USED]]-1</f>
        <v>12</v>
      </c>
      <c r="V129" s="111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</row>
    <row r="130" spans="1:52" x14ac:dyDescent="0.3">
      <c r="A130" s="67" t="s">
        <v>1088</v>
      </c>
      <c r="B130" s="51" t="s">
        <v>526</v>
      </c>
      <c r="C130" s="39" t="s">
        <v>462</v>
      </c>
      <c r="D130" s="136" t="s">
        <v>461</v>
      </c>
      <c r="E130" s="39" t="s">
        <v>462</v>
      </c>
      <c r="F130" s="87">
        <f>IF(ISNUMBER(MCC_Table6[[#This Row],[SIZE]]), MCC_Table6[[#This Row],[SIZE]]/12, 0)</f>
        <v>0.5</v>
      </c>
      <c r="G130" s="10"/>
      <c r="H130" s="10"/>
      <c r="I130" s="10"/>
      <c r="J130" s="10"/>
      <c r="K130" s="54"/>
      <c r="L130" s="54"/>
      <c r="M130" s="54"/>
      <c r="N130" s="54"/>
      <c r="O130" s="53"/>
      <c r="P130" s="10">
        <f>_xlfn.NUMBERVALUE(LEFT(MCC_Table6[[#This Row],[BUCKET]],LEN(MCC_Table6[[#This Row],[BUCKET]])-1))</f>
        <v>7</v>
      </c>
      <c r="Q130" s="10" t="str">
        <f>RIGHT(MCC_Table6[[#This Row],[BUCKET]],1)</f>
        <v>A</v>
      </c>
      <c r="R130" s="10">
        <f>VLOOKUP(MCC_Table6[[#This Row],[START UNIT]],UnitMap[],2,FALSE)</f>
        <v>1</v>
      </c>
      <c r="S130" s="10" cm="1">
        <f t="array" ref="S13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130" s="10">
        <f>IF(ISNUMBER(MCC_Table6[[#This Row],[SIZE]]), MCC_Table6[[#This Row],[SIZE]]/6, 0)</f>
        <v>1</v>
      </c>
      <c r="U130" s="10">
        <f>MCC_Table6[[#This Row],[START INDEX]]+MCC_Table6[[#This Row],[UNITS USED]]-1</f>
        <v>1</v>
      </c>
      <c r="V130" s="111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</row>
    <row r="131" spans="1:52" x14ac:dyDescent="0.3">
      <c r="A131" s="67" t="s">
        <v>1088</v>
      </c>
      <c r="B131" s="10" t="s">
        <v>1118</v>
      </c>
      <c r="C131" s="39" t="s">
        <v>1119</v>
      </c>
      <c r="D131" s="135" t="s">
        <v>1120</v>
      </c>
      <c r="E131" s="51" t="s">
        <v>904</v>
      </c>
      <c r="F131" s="87">
        <f>IF(ISNUMBER(MCC_Table6[[#This Row],[SIZE]]), MCC_Table6[[#This Row],[SIZE]]/12, 0)</f>
        <v>2.5</v>
      </c>
      <c r="G131" s="10">
        <v>7.5</v>
      </c>
      <c r="H131" s="10">
        <v>10</v>
      </c>
      <c r="I131" s="10">
        <v>14</v>
      </c>
      <c r="J131" s="10"/>
      <c r="K131" s="54">
        <v>30</v>
      </c>
      <c r="L131" s="54">
        <v>125</v>
      </c>
      <c r="M131" s="54">
        <v>25</v>
      </c>
      <c r="N131" s="54" t="s">
        <v>911</v>
      </c>
      <c r="O131" s="53"/>
      <c r="P131" s="10">
        <f>_xlfn.NUMBERVALUE(LEFT(MCC_Table6[[#This Row],[BUCKET]],LEN(MCC_Table6[[#This Row],[BUCKET]])-1))</f>
        <v>7</v>
      </c>
      <c r="Q131" s="10" t="str">
        <f>RIGHT(MCC_Table6[[#This Row],[BUCKET]],1)</f>
        <v>B</v>
      </c>
      <c r="R131" s="10">
        <f>VLOOKUP(MCC_Table6[[#This Row],[START UNIT]],UnitMap[],2,FALSE)</f>
        <v>2</v>
      </c>
      <c r="S131" s="10" cm="1">
        <f t="array" ref="S13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31" s="10">
        <f>IF(ISNUMBER(MCC_Table6[[#This Row],[SIZE]]), MCC_Table6[[#This Row],[SIZE]]/6, 0)</f>
        <v>5</v>
      </c>
      <c r="U131" s="10">
        <f>MCC_Table6[[#This Row],[START INDEX]]+MCC_Table6[[#This Row],[UNITS USED]]-1</f>
        <v>6</v>
      </c>
      <c r="V131" s="111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</row>
    <row r="132" spans="1:52" x14ac:dyDescent="0.3">
      <c r="A132" s="67" t="s">
        <v>1088</v>
      </c>
      <c r="B132" s="10" t="s">
        <v>1121</v>
      </c>
      <c r="C132" s="39" t="s">
        <v>53</v>
      </c>
      <c r="D132" s="135" t="s">
        <v>1122</v>
      </c>
      <c r="E132" s="51" t="s">
        <v>904</v>
      </c>
      <c r="F132" s="87">
        <f>IF(ISNUMBER(MCC_Table6[[#This Row],[SIZE]]), MCC_Table6[[#This Row],[SIZE]]/12, 0)</f>
        <v>3</v>
      </c>
      <c r="G132" s="51"/>
      <c r="H132" s="10"/>
      <c r="I132" s="10"/>
      <c r="J132" s="10"/>
      <c r="K132" s="96">
        <v>60</v>
      </c>
      <c r="L132" s="54">
        <v>125</v>
      </c>
      <c r="M132" s="96">
        <v>45</v>
      </c>
      <c r="N132" s="96"/>
      <c r="O132" s="53"/>
      <c r="P132" s="10">
        <f>_xlfn.NUMBERVALUE(LEFT(MCC_Table6[[#This Row],[BUCKET]],LEN(MCC_Table6[[#This Row],[BUCKET]])-1))</f>
        <v>7</v>
      </c>
      <c r="Q132" s="10" t="str">
        <f>RIGHT(MCC_Table6[[#This Row],[BUCKET]],1)</f>
        <v>G</v>
      </c>
      <c r="R132" s="10">
        <f>VLOOKUP(MCC_Table6[[#This Row],[START UNIT]],UnitMap[],2,FALSE)</f>
        <v>7</v>
      </c>
      <c r="S132" s="10" cm="1">
        <f t="array" ref="S13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132" s="10">
        <f>IF(ISNUMBER(MCC_Table6[[#This Row],[SIZE]]), MCC_Table6[[#This Row],[SIZE]]/6, 0)</f>
        <v>6</v>
      </c>
      <c r="U132" s="10">
        <f>MCC_Table6[[#This Row],[START INDEX]]+MCC_Table6[[#This Row],[UNITS USED]]-1</f>
        <v>12</v>
      </c>
      <c r="V132" s="111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</row>
    <row r="133" spans="1:52" x14ac:dyDescent="0.3">
      <c r="A133" s="67" t="s">
        <v>1088</v>
      </c>
      <c r="B133" s="10" t="s">
        <v>534</v>
      </c>
      <c r="C133" s="39" t="s">
        <v>1123</v>
      </c>
      <c r="D133" s="135" t="s">
        <v>1124</v>
      </c>
      <c r="E133" s="51" t="s">
        <v>904</v>
      </c>
      <c r="F133" s="87">
        <f>IF(ISNUMBER(MCC_Table6[[#This Row],[SIZE]]), MCC_Table6[[#This Row],[SIZE]]/12, 0)</f>
        <v>6</v>
      </c>
      <c r="G133" s="10">
        <v>60</v>
      </c>
      <c r="H133" s="10">
        <v>60</v>
      </c>
      <c r="I133" s="10">
        <v>77</v>
      </c>
      <c r="J133" s="10"/>
      <c r="K133" s="54">
        <v>200</v>
      </c>
      <c r="L133" s="54">
        <v>250</v>
      </c>
      <c r="M133" s="54">
        <v>125</v>
      </c>
      <c r="N133" s="54" t="s">
        <v>1125</v>
      </c>
      <c r="O133" s="53"/>
      <c r="P133" s="10">
        <f>_xlfn.NUMBERVALUE(LEFT(MCC_Table6[[#This Row],[BUCKET]],LEN(MCC_Table6[[#This Row],[BUCKET]])-1))</f>
        <v>8</v>
      </c>
      <c r="Q133" s="10" t="str">
        <f>RIGHT(MCC_Table6[[#This Row],[BUCKET]],1)</f>
        <v>A</v>
      </c>
      <c r="R133" s="10">
        <f>VLOOKUP(MCC_Table6[[#This Row],[START UNIT]],UnitMap[],2,FALSE)</f>
        <v>1</v>
      </c>
      <c r="S133" s="10" cm="1">
        <f t="array" ref="S13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33" s="10">
        <f>IF(ISNUMBER(MCC_Table6[[#This Row],[SIZE]]), MCC_Table6[[#This Row],[SIZE]]/6, 0)</f>
        <v>12</v>
      </c>
      <c r="U133" s="10">
        <f>MCC_Table6[[#This Row],[START INDEX]]+MCC_Table6[[#This Row],[UNITS USED]]-1</f>
        <v>12</v>
      </c>
      <c r="V133" s="111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</row>
    <row r="134" spans="1:52" x14ac:dyDescent="0.3">
      <c r="A134" s="67" t="s">
        <v>1088</v>
      </c>
      <c r="B134" s="10" t="s">
        <v>541</v>
      </c>
      <c r="C134" s="39" t="s">
        <v>1126</v>
      </c>
      <c r="D134" s="135" t="s">
        <v>1127</v>
      </c>
      <c r="E134" s="51" t="s">
        <v>904</v>
      </c>
      <c r="F134" s="87">
        <f>IF(ISNUMBER(MCC_Table6[[#This Row],[SIZE]]), MCC_Table6[[#This Row],[SIZE]]/12, 0)</f>
        <v>6</v>
      </c>
      <c r="G134" s="10">
        <v>60</v>
      </c>
      <c r="H134" s="10">
        <v>60</v>
      </c>
      <c r="I134" s="10">
        <v>77</v>
      </c>
      <c r="J134" s="10"/>
      <c r="K134" s="54">
        <v>200</v>
      </c>
      <c r="L134" s="54">
        <v>250</v>
      </c>
      <c r="M134" s="54">
        <v>125</v>
      </c>
      <c r="N134" s="54" t="s">
        <v>1125</v>
      </c>
      <c r="O134" s="53"/>
      <c r="P134" s="10">
        <f>_xlfn.NUMBERVALUE(LEFT(MCC_Table6[[#This Row],[BUCKET]],LEN(MCC_Table6[[#This Row],[BUCKET]])-1))</f>
        <v>9</v>
      </c>
      <c r="Q134" s="10" t="str">
        <f>RIGHT(MCC_Table6[[#This Row],[BUCKET]],1)</f>
        <v>A</v>
      </c>
      <c r="R134" s="10">
        <f>VLOOKUP(MCC_Table6[[#This Row],[START UNIT]],UnitMap[],2,FALSE)</f>
        <v>1</v>
      </c>
      <c r="S134" s="10" cm="1">
        <f t="array" ref="S13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34" s="10">
        <f>IF(ISNUMBER(MCC_Table6[[#This Row],[SIZE]]), MCC_Table6[[#This Row],[SIZE]]/6, 0)</f>
        <v>12</v>
      </c>
      <c r="U134" s="10">
        <f>MCC_Table6[[#This Row],[START INDEX]]+MCC_Table6[[#This Row],[UNITS USED]]-1</f>
        <v>12</v>
      </c>
      <c r="V134" s="111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</row>
    <row r="135" spans="1:52" x14ac:dyDescent="0.3">
      <c r="A135" s="67" t="s">
        <v>1088</v>
      </c>
      <c r="B135" s="10" t="s">
        <v>550</v>
      </c>
      <c r="C135" s="39" t="s">
        <v>1128</v>
      </c>
      <c r="D135" s="135" t="s">
        <v>1129</v>
      </c>
      <c r="E135" s="51" t="s">
        <v>904</v>
      </c>
      <c r="F135" s="87">
        <f>IF(ISNUMBER(MCC_Table6[[#This Row],[SIZE]]), MCC_Table6[[#This Row],[SIZE]]/12, 0)</f>
        <v>6</v>
      </c>
      <c r="G135" s="10">
        <v>60</v>
      </c>
      <c r="H135" s="10">
        <v>60</v>
      </c>
      <c r="I135" s="10">
        <v>77</v>
      </c>
      <c r="J135" s="10"/>
      <c r="K135" s="54">
        <v>200</v>
      </c>
      <c r="L135" s="54">
        <v>250</v>
      </c>
      <c r="M135" s="54">
        <v>125</v>
      </c>
      <c r="N135" s="54" t="s">
        <v>1125</v>
      </c>
      <c r="O135" s="53"/>
      <c r="P135" s="10">
        <f>_xlfn.NUMBERVALUE(LEFT(MCC_Table6[[#This Row],[BUCKET]],LEN(MCC_Table6[[#This Row],[BUCKET]])-1))</f>
        <v>10</v>
      </c>
      <c r="Q135" s="10" t="str">
        <f>RIGHT(MCC_Table6[[#This Row],[BUCKET]],1)</f>
        <v>A</v>
      </c>
      <c r="R135" s="10">
        <f>VLOOKUP(MCC_Table6[[#This Row],[START UNIT]],UnitMap[],2,FALSE)</f>
        <v>1</v>
      </c>
      <c r="S135" s="10" cm="1">
        <f t="array" ref="S13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35" s="10">
        <f>IF(ISNUMBER(MCC_Table6[[#This Row],[SIZE]]), MCC_Table6[[#This Row],[SIZE]]/6, 0)</f>
        <v>12</v>
      </c>
      <c r="U135" s="10">
        <f>MCC_Table6[[#This Row],[START INDEX]]+MCC_Table6[[#This Row],[UNITS USED]]-1</f>
        <v>12</v>
      </c>
      <c r="V135" s="111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</row>
    <row r="136" spans="1:52" x14ac:dyDescent="0.3">
      <c r="A136" s="67" t="s">
        <v>1088</v>
      </c>
      <c r="B136" s="10" t="s">
        <v>559</v>
      </c>
      <c r="C136" s="39" t="s">
        <v>1130</v>
      </c>
      <c r="D136" s="135" t="s">
        <v>1131</v>
      </c>
      <c r="E136" s="51" t="s">
        <v>904</v>
      </c>
      <c r="F136" s="87">
        <f>IF(ISNUMBER(MCC_Table6[[#This Row],[SIZE]]), MCC_Table6[[#This Row],[SIZE]]/12, 0)</f>
        <v>6</v>
      </c>
      <c r="G136" s="10">
        <v>60</v>
      </c>
      <c r="H136" s="10">
        <v>60</v>
      </c>
      <c r="I136" s="10">
        <v>77</v>
      </c>
      <c r="J136" s="10"/>
      <c r="K136" s="54">
        <v>200</v>
      </c>
      <c r="L136" s="54">
        <v>250</v>
      </c>
      <c r="M136" s="54">
        <v>125</v>
      </c>
      <c r="N136" s="54" t="s">
        <v>1125</v>
      </c>
      <c r="O136" s="53"/>
      <c r="P136" s="10">
        <f>_xlfn.NUMBERVALUE(LEFT(MCC_Table6[[#This Row],[BUCKET]],LEN(MCC_Table6[[#This Row],[BUCKET]])-1))</f>
        <v>11</v>
      </c>
      <c r="Q136" s="10" t="str">
        <f>RIGHT(MCC_Table6[[#This Row],[BUCKET]],1)</f>
        <v>A</v>
      </c>
      <c r="R136" s="10">
        <f>VLOOKUP(MCC_Table6[[#This Row],[START UNIT]],UnitMap[],2,FALSE)</f>
        <v>1</v>
      </c>
      <c r="S136" s="10" cm="1">
        <f t="array" ref="S13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36" s="10">
        <f>IF(ISNUMBER(MCC_Table6[[#This Row],[SIZE]]), MCC_Table6[[#This Row],[SIZE]]/6, 0)</f>
        <v>12</v>
      </c>
      <c r="U136" s="10">
        <f>MCC_Table6[[#This Row],[START INDEX]]+MCC_Table6[[#This Row],[UNITS USED]]-1</f>
        <v>12</v>
      </c>
      <c r="V136" s="111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</row>
    <row r="137" spans="1:52" x14ac:dyDescent="0.3">
      <c r="A137" s="67" t="s">
        <v>1088</v>
      </c>
      <c r="B137" s="10" t="s">
        <v>565</v>
      </c>
      <c r="C137" s="39" t="s">
        <v>1132</v>
      </c>
      <c r="D137" s="135" t="s">
        <v>1133</v>
      </c>
      <c r="E137" s="51" t="s">
        <v>904</v>
      </c>
      <c r="F137" s="87">
        <f>IF(ISNUMBER(MCC_Table6[[#This Row],[SIZE]]), MCC_Table6[[#This Row],[SIZE]]/12, 0)</f>
        <v>6</v>
      </c>
      <c r="G137" s="10">
        <v>60</v>
      </c>
      <c r="H137" s="10">
        <v>60</v>
      </c>
      <c r="I137" s="10">
        <v>77</v>
      </c>
      <c r="J137" s="10"/>
      <c r="K137" s="54">
        <v>200</v>
      </c>
      <c r="L137" s="54">
        <v>250</v>
      </c>
      <c r="M137" s="54">
        <v>125</v>
      </c>
      <c r="N137" s="54" t="s">
        <v>1125</v>
      </c>
      <c r="O137" s="53"/>
      <c r="P137" s="10">
        <f>_xlfn.NUMBERVALUE(LEFT(MCC_Table6[[#This Row],[BUCKET]],LEN(MCC_Table6[[#This Row],[BUCKET]])-1))</f>
        <v>12</v>
      </c>
      <c r="Q137" s="10" t="str">
        <f>RIGHT(MCC_Table6[[#This Row],[BUCKET]],1)</f>
        <v>A</v>
      </c>
      <c r="R137" s="10">
        <f>VLOOKUP(MCC_Table6[[#This Row],[START UNIT]],UnitMap[],2,FALSE)</f>
        <v>1</v>
      </c>
      <c r="S137" s="10" cm="1">
        <f t="array" ref="S13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37" s="10">
        <f>IF(ISNUMBER(MCC_Table6[[#This Row],[SIZE]]), MCC_Table6[[#This Row],[SIZE]]/6, 0)</f>
        <v>12</v>
      </c>
      <c r="U137" s="10">
        <f>MCC_Table6[[#This Row],[START INDEX]]+MCC_Table6[[#This Row],[UNITS USED]]-1</f>
        <v>12</v>
      </c>
      <c r="V137" s="111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</row>
    <row r="138" spans="1:52" x14ac:dyDescent="0.3">
      <c r="A138" s="67" t="s">
        <v>1088</v>
      </c>
      <c r="B138" s="10" t="s">
        <v>953</v>
      </c>
      <c r="C138" s="39" t="s">
        <v>53</v>
      </c>
      <c r="D138" s="135" t="s">
        <v>1122</v>
      </c>
      <c r="E138" s="51" t="s">
        <v>904</v>
      </c>
      <c r="F138" s="87">
        <f>IF(ISNUMBER(MCC_Table6[[#This Row],[SIZE]]), MCC_Table6[[#This Row],[SIZE]]/12, 0)</f>
        <v>3</v>
      </c>
      <c r="G138" s="10"/>
      <c r="H138" s="10"/>
      <c r="I138" s="10"/>
      <c r="J138" s="10"/>
      <c r="K138" s="96">
        <v>60</v>
      </c>
      <c r="L138" s="54">
        <v>125</v>
      </c>
      <c r="M138" s="96">
        <v>45</v>
      </c>
      <c r="N138" s="96"/>
      <c r="O138" s="53"/>
      <c r="P138" s="10">
        <f>_xlfn.NUMBERVALUE(LEFT(MCC_Table6[[#This Row],[BUCKET]],LEN(MCC_Table6[[#This Row],[BUCKET]])-1))</f>
        <v>13</v>
      </c>
      <c r="Q138" s="10" t="str">
        <f>RIGHT(MCC_Table6[[#This Row],[BUCKET]],1)</f>
        <v>A</v>
      </c>
      <c r="R138" s="10">
        <f>VLOOKUP(MCC_Table6[[#This Row],[START UNIT]],UnitMap[],2,FALSE)</f>
        <v>1</v>
      </c>
      <c r="S138" s="10" cm="1">
        <f t="array" ref="S13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138" s="10">
        <f>IF(ISNUMBER(MCC_Table6[[#This Row],[SIZE]]), MCC_Table6[[#This Row],[SIZE]]/6, 0)</f>
        <v>6</v>
      </c>
      <c r="U138" s="10">
        <f>MCC_Table6[[#This Row],[START INDEX]]+MCC_Table6[[#This Row],[UNITS USED]]-1</f>
        <v>6</v>
      </c>
      <c r="V138" s="111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</row>
    <row r="139" spans="1:52" x14ac:dyDescent="0.3">
      <c r="A139" s="67" t="s">
        <v>1088</v>
      </c>
      <c r="B139" s="10" t="s">
        <v>1134</v>
      </c>
      <c r="C139" s="39" t="s">
        <v>53</v>
      </c>
      <c r="D139" s="135" t="s">
        <v>1122</v>
      </c>
      <c r="E139" s="51" t="s">
        <v>904</v>
      </c>
      <c r="F139" s="87">
        <f>IF(ISNUMBER(MCC_Table6[[#This Row],[SIZE]]), MCC_Table6[[#This Row],[SIZE]]/12, 0)</f>
        <v>3</v>
      </c>
      <c r="G139" s="10"/>
      <c r="H139" s="10"/>
      <c r="I139" s="10"/>
      <c r="J139" s="10"/>
      <c r="K139" s="96">
        <v>60</v>
      </c>
      <c r="L139" s="54">
        <v>125</v>
      </c>
      <c r="M139" s="96">
        <v>45</v>
      </c>
      <c r="N139" s="96"/>
      <c r="O139" s="53"/>
      <c r="P139" s="10">
        <f>_xlfn.NUMBERVALUE(LEFT(MCC_Table6[[#This Row],[BUCKET]],LEN(MCC_Table6[[#This Row],[BUCKET]])-1))</f>
        <v>13</v>
      </c>
      <c r="Q139" s="10" t="str">
        <f>RIGHT(MCC_Table6[[#This Row],[BUCKET]],1)</f>
        <v>G</v>
      </c>
      <c r="R139" s="10">
        <f>VLOOKUP(MCC_Table6[[#This Row],[START UNIT]],UnitMap[],2,FALSE)</f>
        <v>7</v>
      </c>
      <c r="S139" s="10" cm="1">
        <f t="array" ref="S13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139" s="10">
        <f>IF(ISNUMBER(MCC_Table6[[#This Row],[SIZE]]), MCC_Table6[[#This Row],[SIZE]]/6, 0)</f>
        <v>6</v>
      </c>
      <c r="U139" s="10">
        <f>MCC_Table6[[#This Row],[START INDEX]]+MCC_Table6[[#This Row],[UNITS USED]]-1</f>
        <v>12</v>
      </c>
      <c r="V139" s="111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</row>
    <row r="140" spans="1:52" x14ac:dyDescent="0.3">
      <c r="A140" s="67" t="s">
        <v>1088</v>
      </c>
      <c r="B140" s="10" t="s">
        <v>963</v>
      </c>
      <c r="C140" s="39" t="s">
        <v>1135</v>
      </c>
      <c r="D140" s="135" t="s">
        <v>1136</v>
      </c>
      <c r="E140" s="51" t="s">
        <v>904</v>
      </c>
      <c r="F140" s="87">
        <f>IF(ISNUMBER(MCC_Table6[[#This Row],[SIZE]]), MCC_Table6[[#This Row],[SIZE]]/12, 0)</f>
        <v>2</v>
      </c>
      <c r="G140" s="10">
        <v>0.5</v>
      </c>
      <c r="H140" s="10">
        <v>1</v>
      </c>
      <c r="I140" s="54">
        <v>2.1</v>
      </c>
      <c r="J140" s="10"/>
      <c r="K140" s="54">
        <v>15</v>
      </c>
      <c r="L140" s="54">
        <v>125</v>
      </c>
      <c r="M140" s="54">
        <v>3</v>
      </c>
      <c r="N140" s="54" t="s">
        <v>911</v>
      </c>
      <c r="O140" s="53"/>
      <c r="P140" s="10">
        <f>_xlfn.NUMBERVALUE(LEFT(MCC_Table6[[#This Row],[BUCKET]],LEN(MCC_Table6[[#This Row],[BUCKET]])-1))</f>
        <v>14</v>
      </c>
      <c r="Q140" s="10" t="str">
        <f>RIGHT(MCC_Table6[[#This Row],[BUCKET]],1)</f>
        <v>A</v>
      </c>
      <c r="R140" s="10">
        <f>VLOOKUP(MCC_Table6[[#This Row],[START UNIT]],UnitMap[],2,FALSE)</f>
        <v>1</v>
      </c>
      <c r="S140" s="10" cm="1">
        <f t="array" ref="S14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40" s="10">
        <f>IF(ISNUMBER(MCC_Table6[[#This Row],[SIZE]]), MCC_Table6[[#This Row],[SIZE]]/6, 0)</f>
        <v>4</v>
      </c>
      <c r="U140" s="10">
        <f>MCC_Table6[[#This Row],[START INDEX]]+MCC_Table6[[#This Row],[UNITS USED]]-1</f>
        <v>4</v>
      </c>
      <c r="V140" s="111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</row>
    <row r="141" spans="1:52" x14ac:dyDescent="0.3">
      <c r="A141" s="67" t="s">
        <v>1088</v>
      </c>
      <c r="B141" s="10" t="s">
        <v>966</v>
      </c>
      <c r="C141" s="39" t="s">
        <v>1137</v>
      </c>
      <c r="D141" s="135" t="s">
        <v>1138</v>
      </c>
      <c r="E141" s="51" t="s">
        <v>904</v>
      </c>
      <c r="F141" s="87">
        <f>IF(ISNUMBER(MCC_Table6[[#This Row],[SIZE]]), MCC_Table6[[#This Row],[SIZE]]/12, 0)</f>
        <v>2</v>
      </c>
      <c r="G141" s="10">
        <v>0.5</v>
      </c>
      <c r="H141" s="10">
        <v>1</v>
      </c>
      <c r="I141" s="54">
        <v>2.1</v>
      </c>
      <c r="J141" s="10"/>
      <c r="K141" s="54">
        <v>15</v>
      </c>
      <c r="L141" s="54">
        <v>125</v>
      </c>
      <c r="M141" s="54">
        <v>3</v>
      </c>
      <c r="N141" s="54" t="s">
        <v>911</v>
      </c>
      <c r="O141" s="53"/>
      <c r="P141" s="10">
        <f>_xlfn.NUMBERVALUE(LEFT(MCC_Table6[[#This Row],[BUCKET]],LEN(MCC_Table6[[#This Row],[BUCKET]])-1))</f>
        <v>14</v>
      </c>
      <c r="Q141" s="10" t="str">
        <f>RIGHT(MCC_Table6[[#This Row],[BUCKET]],1)</f>
        <v>E</v>
      </c>
      <c r="R141" s="10">
        <f>VLOOKUP(MCC_Table6[[#This Row],[START UNIT]],UnitMap[],2,FALSE)</f>
        <v>5</v>
      </c>
      <c r="S141" s="10" cm="1">
        <f t="array" ref="S14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41" s="10">
        <f>IF(ISNUMBER(MCC_Table6[[#This Row],[SIZE]]), MCC_Table6[[#This Row],[SIZE]]/6, 0)</f>
        <v>4</v>
      </c>
      <c r="U141" s="10">
        <f>MCC_Table6[[#This Row],[START INDEX]]+MCC_Table6[[#This Row],[UNITS USED]]-1</f>
        <v>8</v>
      </c>
      <c r="V141" s="111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</row>
    <row r="142" spans="1:52" x14ac:dyDescent="0.3">
      <c r="A142" s="67" t="s">
        <v>1088</v>
      </c>
      <c r="B142" s="10" t="s">
        <v>969</v>
      </c>
      <c r="C142" s="39" t="s">
        <v>1139</v>
      </c>
      <c r="D142" s="135" t="s">
        <v>1140</v>
      </c>
      <c r="E142" s="51" t="s">
        <v>904</v>
      </c>
      <c r="F142" s="87">
        <f>IF(ISNUMBER(MCC_Table6[[#This Row],[SIZE]]), MCC_Table6[[#This Row],[SIZE]]/12, 0)</f>
        <v>2</v>
      </c>
      <c r="G142" s="10">
        <v>0.5</v>
      </c>
      <c r="H142" s="10">
        <v>1</v>
      </c>
      <c r="I142" s="54">
        <v>2.1</v>
      </c>
      <c r="J142" s="10"/>
      <c r="K142" s="54">
        <v>15</v>
      </c>
      <c r="L142" s="54">
        <v>125</v>
      </c>
      <c r="M142" s="54">
        <v>3</v>
      </c>
      <c r="N142" s="54" t="s">
        <v>911</v>
      </c>
      <c r="O142" s="53"/>
      <c r="P142" s="10">
        <f>_xlfn.NUMBERVALUE(LEFT(MCC_Table6[[#This Row],[BUCKET]],LEN(MCC_Table6[[#This Row],[BUCKET]])-1))</f>
        <v>14</v>
      </c>
      <c r="Q142" s="10" t="str">
        <f>RIGHT(MCC_Table6[[#This Row],[BUCKET]],1)</f>
        <v>J</v>
      </c>
      <c r="R142" s="10">
        <f>VLOOKUP(MCC_Table6[[#This Row],[START UNIT]],UnitMap[],2,FALSE)</f>
        <v>9</v>
      </c>
      <c r="S142" s="10" cm="1">
        <f t="array" ref="S14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42" s="10">
        <f>IF(ISNUMBER(MCC_Table6[[#This Row],[SIZE]]), MCC_Table6[[#This Row],[SIZE]]/6, 0)</f>
        <v>4</v>
      </c>
      <c r="U142" s="10">
        <f>MCC_Table6[[#This Row],[START INDEX]]+MCC_Table6[[#This Row],[UNITS USED]]-1</f>
        <v>12</v>
      </c>
      <c r="V142" s="111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</row>
    <row r="143" spans="1:52" x14ac:dyDescent="0.3">
      <c r="A143" s="67" t="s">
        <v>1088</v>
      </c>
      <c r="B143" s="10" t="s">
        <v>972</v>
      </c>
      <c r="C143" s="10" t="s">
        <v>1141</v>
      </c>
      <c r="D143" s="140" t="s">
        <v>1142</v>
      </c>
      <c r="E143" s="51" t="s">
        <v>904</v>
      </c>
      <c r="F143" s="87">
        <f>IF(ISNUMBER(MCC_Table6[[#This Row],[SIZE]]), MCC_Table6[[#This Row],[SIZE]]/12, 0)</f>
        <v>2</v>
      </c>
      <c r="G143" s="10">
        <v>1</v>
      </c>
      <c r="H143" s="10">
        <v>2</v>
      </c>
      <c r="I143" s="10">
        <v>3.4</v>
      </c>
      <c r="J143" s="10"/>
      <c r="K143" s="54">
        <v>15</v>
      </c>
      <c r="L143" s="54">
        <v>125</v>
      </c>
      <c r="M143" s="54">
        <v>6</v>
      </c>
      <c r="N143" s="54" t="s">
        <v>911</v>
      </c>
      <c r="O143" s="53"/>
      <c r="P143" s="10">
        <f>_xlfn.NUMBERVALUE(LEFT(MCC_Table6[[#This Row],[BUCKET]],LEN(MCC_Table6[[#This Row],[BUCKET]])-1))</f>
        <v>15</v>
      </c>
      <c r="Q143" s="10" t="str">
        <f>RIGHT(MCC_Table6[[#This Row],[BUCKET]],1)</f>
        <v>A</v>
      </c>
      <c r="R143" s="10">
        <f>VLOOKUP(MCC_Table6[[#This Row],[START UNIT]],UnitMap[],2,FALSE)</f>
        <v>1</v>
      </c>
      <c r="S143" s="10" cm="1">
        <f t="array" ref="S14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43" s="10">
        <f>IF(ISNUMBER(MCC_Table6[[#This Row],[SIZE]]), MCC_Table6[[#This Row],[SIZE]]/6, 0)</f>
        <v>4</v>
      </c>
      <c r="U143" s="10">
        <f>MCC_Table6[[#This Row],[START INDEX]]+MCC_Table6[[#This Row],[UNITS USED]]-1</f>
        <v>4</v>
      </c>
      <c r="V143" s="111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</row>
    <row r="144" spans="1:52" x14ac:dyDescent="0.3">
      <c r="A144" s="67" t="s">
        <v>1088</v>
      </c>
      <c r="B144" s="51" t="s">
        <v>1143</v>
      </c>
      <c r="C144" s="39" t="s">
        <v>462</v>
      </c>
      <c r="D144" s="136" t="s">
        <v>496</v>
      </c>
      <c r="E144" s="39" t="s">
        <v>462</v>
      </c>
      <c r="F144" s="87">
        <f>IF(ISNUMBER(MCC_Table6[[#This Row],[SIZE]]), MCC_Table6[[#This Row],[SIZE]]/12, 0)</f>
        <v>1</v>
      </c>
      <c r="G144" s="10"/>
      <c r="H144" s="10"/>
      <c r="I144" s="10"/>
      <c r="J144" s="10"/>
      <c r="K144" s="54"/>
      <c r="L144" s="54"/>
      <c r="M144" s="54"/>
      <c r="N144" s="54"/>
      <c r="O144" s="53"/>
      <c r="P144" s="10">
        <f>_xlfn.NUMBERVALUE(LEFT(MCC_Table6[[#This Row],[BUCKET]],LEN(MCC_Table6[[#This Row],[BUCKET]])-1))</f>
        <v>15</v>
      </c>
      <c r="Q144" s="10" t="str">
        <f>RIGHT(MCC_Table6[[#This Row],[BUCKET]],1)</f>
        <v>E</v>
      </c>
      <c r="R144" s="10">
        <f>VLOOKUP(MCC_Table6[[#This Row],[START UNIT]],UnitMap[],2,FALSE)</f>
        <v>5</v>
      </c>
      <c r="S144" s="10" cm="1">
        <f t="array" ref="S14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44" s="10">
        <f>IF(ISNUMBER(MCC_Table6[[#This Row],[SIZE]]), MCC_Table6[[#This Row],[SIZE]]/6, 0)</f>
        <v>2</v>
      </c>
      <c r="U144" s="10">
        <f>MCC_Table6[[#This Row],[START INDEX]]+MCC_Table6[[#This Row],[UNITS USED]]-1</f>
        <v>6</v>
      </c>
      <c r="V144" s="111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</row>
    <row r="145" spans="1:52" x14ac:dyDescent="0.3">
      <c r="A145" s="67" t="s">
        <v>1088</v>
      </c>
      <c r="B145" s="51" t="s">
        <v>1063</v>
      </c>
      <c r="C145" s="39" t="s">
        <v>462</v>
      </c>
      <c r="D145" s="136" t="s">
        <v>496</v>
      </c>
      <c r="E145" s="39" t="s">
        <v>462</v>
      </c>
      <c r="F145" s="87">
        <f>IF(ISNUMBER(MCC_Table6[[#This Row],[SIZE]]), MCC_Table6[[#This Row],[SIZE]]/12, 0)</f>
        <v>1</v>
      </c>
      <c r="G145" s="10"/>
      <c r="H145" s="10"/>
      <c r="I145" s="10"/>
      <c r="J145" s="10"/>
      <c r="K145" s="54"/>
      <c r="L145" s="54"/>
      <c r="M145" s="54"/>
      <c r="N145" s="54"/>
      <c r="O145" s="53"/>
      <c r="P145" s="10">
        <f>_xlfn.NUMBERVALUE(LEFT(MCC_Table6[[#This Row],[BUCKET]],LEN(MCC_Table6[[#This Row],[BUCKET]])-1))</f>
        <v>15</v>
      </c>
      <c r="Q145" s="10" t="str">
        <f>RIGHT(MCC_Table6[[#This Row],[BUCKET]],1)</f>
        <v>G</v>
      </c>
      <c r="R145" s="10">
        <f>VLOOKUP(MCC_Table6[[#This Row],[START UNIT]],UnitMap[],2,FALSE)</f>
        <v>7</v>
      </c>
      <c r="S145" s="10" cm="1">
        <f t="array" ref="S14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45" s="10">
        <f>IF(ISNUMBER(MCC_Table6[[#This Row],[SIZE]]), MCC_Table6[[#This Row],[SIZE]]/6, 0)</f>
        <v>2</v>
      </c>
      <c r="U145" s="10">
        <f>MCC_Table6[[#This Row],[START INDEX]]+MCC_Table6[[#This Row],[UNITS USED]]-1</f>
        <v>8</v>
      </c>
      <c r="V145" s="111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</row>
    <row r="146" spans="1:52" x14ac:dyDescent="0.3">
      <c r="A146" s="67" t="s">
        <v>1088</v>
      </c>
      <c r="B146" s="10" t="s">
        <v>1144</v>
      </c>
      <c r="C146" s="10" t="s">
        <v>1145</v>
      </c>
      <c r="D146" s="140" t="s">
        <v>1146</v>
      </c>
      <c r="E146" s="51" t="s">
        <v>904</v>
      </c>
      <c r="F146" s="87">
        <f>IF(ISNUMBER(MCC_Table6[[#This Row],[SIZE]]), MCC_Table6[[#This Row],[SIZE]]/12, 0)</f>
        <v>2</v>
      </c>
      <c r="G146" s="10">
        <v>1</v>
      </c>
      <c r="H146" s="10">
        <v>2</v>
      </c>
      <c r="I146" s="10">
        <v>3.4</v>
      </c>
      <c r="J146" s="10"/>
      <c r="K146" s="54">
        <v>15</v>
      </c>
      <c r="L146" s="54">
        <v>125</v>
      </c>
      <c r="M146" s="54">
        <v>3</v>
      </c>
      <c r="N146" s="54" t="s">
        <v>911</v>
      </c>
      <c r="O146" s="53"/>
      <c r="P146" s="10">
        <f>_xlfn.NUMBERVALUE(LEFT(MCC_Table6[[#This Row],[BUCKET]],LEN(MCC_Table6[[#This Row],[BUCKET]])-1))</f>
        <v>15</v>
      </c>
      <c r="Q146" s="10" t="str">
        <f>RIGHT(MCC_Table6[[#This Row],[BUCKET]],1)</f>
        <v>J</v>
      </c>
      <c r="R146" s="10">
        <f>VLOOKUP(MCC_Table6[[#This Row],[START UNIT]],UnitMap[],2,FALSE)</f>
        <v>9</v>
      </c>
      <c r="S146" s="10" cm="1">
        <f t="array" ref="S14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46" s="10">
        <f>IF(ISNUMBER(MCC_Table6[[#This Row],[SIZE]]), MCC_Table6[[#This Row],[SIZE]]/6, 0)</f>
        <v>4</v>
      </c>
      <c r="U146" s="10">
        <f>MCC_Table6[[#This Row],[START INDEX]]+MCC_Table6[[#This Row],[UNITS USED]]-1</f>
        <v>12</v>
      </c>
      <c r="V146" s="111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</row>
    <row r="147" spans="1:52" x14ac:dyDescent="0.3">
      <c r="A147" s="67" t="s">
        <v>1088</v>
      </c>
      <c r="B147" s="51" t="s">
        <v>974</v>
      </c>
      <c r="C147" s="39" t="s">
        <v>1147</v>
      </c>
      <c r="D147" s="136" t="s">
        <v>992</v>
      </c>
      <c r="E147" s="39" t="s">
        <v>993</v>
      </c>
      <c r="F147" s="86">
        <f>IF(ISNUMBER(MCC_Table6[[#This Row],[SIZE]]), MCC_Table6[[#This Row],[SIZE]]/12, 0)</f>
        <v>1</v>
      </c>
      <c r="G147" s="10"/>
      <c r="H147" s="10"/>
      <c r="I147" s="10"/>
      <c r="J147" s="10"/>
      <c r="K147" s="54"/>
      <c r="L147" s="54"/>
      <c r="M147" s="54"/>
      <c r="N147" s="54"/>
      <c r="O147" s="53"/>
      <c r="P147" s="51">
        <f>_xlfn.NUMBERVALUE(LEFT(MCC_Table6[[#This Row],[BUCKET]],LEN(MCC_Table6[[#This Row],[BUCKET]])-1))</f>
        <v>16</v>
      </c>
      <c r="Q147" s="51" t="str">
        <f>RIGHT(MCC_Table6[[#This Row],[BUCKET]],1)</f>
        <v>A</v>
      </c>
      <c r="R147" s="51">
        <f>VLOOKUP(MCC_Table6[[#This Row],[START UNIT]],UnitMap[],2,FALSE)</f>
        <v>1</v>
      </c>
      <c r="S147" s="51" cm="1">
        <f t="array" ref="S14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47" s="51">
        <f>IF(ISNUMBER(MCC_Table6[[#This Row],[SIZE]]), MCC_Table6[[#This Row],[SIZE]]/6, 0)</f>
        <v>2</v>
      </c>
      <c r="U147" s="51">
        <f>MCC_Table6[[#This Row],[START INDEX]]+MCC_Table6[[#This Row],[UNITS USED]]-1</f>
        <v>2</v>
      </c>
      <c r="V147" s="109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</row>
    <row r="148" spans="1:52" x14ac:dyDescent="0.3">
      <c r="A148" s="67" t="s">
        <v>1088</v>
      </c>
      <c r="B148" s="10" t="s">
        <v>975</v>
      </c>
      <c r="C148" s="39" t="s">
        <v>1148</v>
      </c>
      <c r="D148" s="135" t="s">
        <v>1149</v>
      </c>
      <c r="E148" s="51" t="s">
        <v>904</v>
      </c>
      <c r="F148" s="87">
        <f>IF(ISNUMBER(MCC_Table6[[#This Row],[SIZE]]), MCC_Table6[[#This Row],[SIZE]]/12, 0)</f>
        <v>2</v>
      </c>
      <c r="G148" s="10">
        <v>1</v>
      </c>
      <c r="H148" s="10">
        <v>2</v>
      </c>
      <c r="I148" s="10">
        <v>3.4</v>
      </c>
      <c r="J148" s="10"/>
      <c r="K148" s="54">
        <v>15</v>
      </c>
      <c r="L148" s="54">
        <v>125</v>
      </c>
      <c r="M148" s="54">
        <v>3</v>
      </c>
      <c r="N148" s="54" t="s">
        <v>911</v>
      </c>
      <c r="O148" s="53"/>
      <c r="P148" s="10">
        <f>_xlfn.NUMBERVALUE(LEFT(MCC_Table6[[#This Row],[BUCKET]],LEN(MCC_Table6[[#This Row],[BUCKET]])-1))</f>
        <v>16</v>
      </c>
      <c r="Q148" s="10" t="str">
        <f>RIGHT(MCC_Table6[[#This Row],[BUCKET]],1)</f>
        <v>C</v>
      </c>
      <c r="R148" s="10">
        <f>VLOOKUP(MCC_Table6[[#This Row],[START UNIT]],UnitMap[],2,FALSE)</f>
        <v>3</v>
      </c>
      <c r="S148" s="10" cm="1">
        <f t="array" ref="S14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48" s="10">
        <f>IF(ISNUMBER(MCC_Table6[[#This Row],[SIZE]]), MCC_Table6[[#This Row],[SIZE]]/6, 0)</f>
        <v>4</v>
      </c>
      <c r="U148" s="10">
        <f>MCC_Table6[[#This Row],[START INDEX]]+MCC_Table6[[#This Row],[UNITS USED]]-1</f>
        <v>6</v>
      </c>
      <c r="V148" s="111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</row>
    <row r="149" spans="1:52" x14ac:dyDescent="0.3">
      <c r="A149" s="122" t="s">
        <v>1088</v>
      </c>
      <c r="B149" s="123" t="s">
        <v>1150</v>
      </c>
      <c r="C149" s="124" t="s">
        <v>1151</v>
      </c>
      <c r="D149" s="138" t="s">
        <v>1152</v>
      </c>
      <c r="E149" s="125" t="s">
        <v>904</v>
      </c>
      <c r="F149" s="126">
        <f>IF(ISNUMBER(MCC_Table6[[#This Row],[SIZE]]), MCC_Table6[[#This Row],[SIZE]]/12, 0)</f>
        <v>3</v>
      </c>
      <c r="G149" s="123">
        <v>15</v>
      </c>
      <c r="H149" s="123">
        <v>15</v>
      </c>
      <c r="I149" s="123">
        <v>22</v>
      </c>
      <c r="J149" s="123"/>
      <c r="K149" s="127">
        <v>60</v>
      </c>
      <c r="L149" s="127">
        <v>125</v>
      </c>
      <c r="M149" s="127">
        <v>40</v>
      </c>
      <c r="N149" s="127" t="s">
        <v>1024</v>
      </c>
      <c r="O149" s="128"/>
      <c r="P149" s="123">
        <f>_xlfn.NUMBERVALUE(LEFT(MCC_Table6[[#This Row],[BUCKET]],LEN(MCC_Table6[[#This Row],[BUCKET]])-1))</f>
        <v>16</v>
      </c>
      <c r="Q149" s="123" t="str">
        <f>RIGHT(MCC_Table6[[#This Row],[BUCKET]],1)</f>
        <v>G</v>
      </c>
      <c r="R149" s="123">
        <f>VLOOKUP(MCC_Table6[[#This Row],[START UNIT]],UnitMap[],2,FALSE)</f>
        <v>7</v>
      </c>
      <c r="S149" s="123" cm="1">
        <f t="array" ref="S14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149" s="123">
        <f>IF(ISNUMBER(MCC_Table6[[#This Row],[SIZE]]), MCC_Table6[[#This Row],[SIZE]]/6, 0)</f>
        <v>6</v>
      </c>
      <c r="U149" s="123">
        <f>MCC_Table6[[#This Row],[START INDEX]]+MCC_Table6[[#This Row],[UNITS USED]]-1</f>
        <v>12</v>
      </c>
      <c r="V149" s="111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</row>
    <row r="150" spans="1:52" x14ac:dyDescent="0.3">
      <c r="A150" s="65" t="s">
        <v>1153</v>
      </c>
      <c r="B150" s="85" t="s">
        <v>450</v>
      </c>
      <c r="C150" s="55" t="s">
        <v>451</v>
      </c>
      <c r="D150" s="139" t="s">
        <v>452</v>
      </c>
      <c r="E150" s="55" t="s">
        <v>451</v>
      </c>
      <c r="F150" s="88">
        <f>IF(ISNUMBER(MCC_Table6[[#This Row],[SIZE]]), MCC_Table6[[#This Row],[SIZE]]/12, 0)</f>
        <v>3.5</v>
      </c>
      <c r="G150" s="14"/>
      <c r="H150" s="14"/>
      <c r="I150" s="14"/>
      <c r="J150" s="14"/>
      <c r="K150" s="105">
        <v>1000</v>
      </c>
      <c r="L150" s="105">
        <v>1200</v>
      </c>
      <c r="M150" s="105" t="s">
        <v>303</v>
      </c>
      <c r="N150" s="105"/>
      <c r="O150" s="57"/>
      <c r="P150" s="85">
        <f>_xlfn.NUMBERVALUE(LEFT(MCC_Table6[[#This Row],[BUCKET]],LEN(MCC_Table6[[#This Row],[BUCKET]])-1))</f>
        <v>1</v>
      </c>
      <c r="Q150" s="85" t="str">
        <f>RIGHT(MCC_Table6[[#This Row],[BUCKET]],1)</f>
        <v>A</v>
      </c>
      <c r="R150" s="85">
        <f>VLOOKUP(MCC_Table6[[#This Row],[START UNIT]],UnitMap[],2,FALSE)</f>
        <v>1</v>
      </c>
      <c r="S150" s="85" cm="1">
        <f t="array" ref="S15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150" s="85">
        <f>IF(ISNUMBER(MCC_Table6[[#This Row],[SIZE]]), MCC_Table6[[#This Row],[SIZE]]/6, 0)</f>
        <v>7</v>
      </c>
      <c r="U150" s="85">
        <f>MCC_Table6[[#This Row],[START INDEX]]+MCC_Table6[[#This Row],[UNITS USED]]-1</f>
        <v>7</v>
      </c>
      <c r="V150" s="109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</row>
    <row r="151" spans="1:52" x14ac:dyDescent="0.3">
      <c r="A151" s="67" t="s">
        <v>1153</v>
      </c>
      <c r="B151" s="85" t="s">
        <v>460</v>
      </c>
      <c r="C151" s="55" t="s">
        <v>1154</v>
      </c>
      <c r="D151" s="139" t="s">
        <v>457</v>
      </c>
      <c r="E151" s="55" t="s">
        <v>458</v>
      </c>
      <c r="F151" s="88">
        <f>IF(ISNUMBER(MCC_Table6[[#This Row],[SIZE]]), MCC_Table6[[#This Row],[SIZE]]/12, 0)</f>
        <v>1.5</v>
      </c>
      <c r="G151" s="14"/>
      <c r="H151" s="14"/>
      <c r="I151" s="14"/>
      <c r="J151" s="14"/>
      <c r="K151" s="106" t="s">
        <v>303</v>
      </c>
      <c r="L151" s="54" t="s">
        <v>303</v>
      </c>
      <c r="M151" s="106">
        <v>0.75</v>
      </c>
      <c r="N151" s="106"/>
      <c r="O151" s="57"/>
      <c r="P151" s="85">
        <f>_xlfn.NUMBERVALUE(LEFT(MCC_Table6[[#This Row],[BUCKET]],LEN(MCC_Table6[[#This Row],[BUCKET]])-1))</f>
        <v>1</v>
      </c>
      <c r="Q151" s="85" t="str">
        <f>RIGHT(MCC_Table6[[#This Row],[BUCKET]],1)</f>
        <v>H</v>
      </c>
      <c r="R151" s="85">
        <f>VLOOKUP(MCC_Table6[[#This Row],[START UNIT]],UnitMap[],2,FALSE)</f>
        <v>8</v>
      </c>
      <c r="S151" s="85" cm="1">
        <f t="array" ref="S15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151" s="85">
        <f>IF(ISNUMBER(MCC_Table6[[#This Row],[SIZE]]), MCC_Table6[[#This Row],[SIZE]]/6, 0)</f>
        <v>3</v>
      </c>
      <c r="U151" s="85">
        <f>MCC_Table6[[#This Row],[START INDEX]]+MCC_Table6[[#This Row],[UNITS USED]]-1</f>
        <v>10</v>
      </c>
      <c r="V151" s="114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</row>
    <row r="152" spans="1:52" x14ac:dyDescent="0.3">
      <c r="A152" s="67" t="s">
        <v>1153</v>
      </c>
      <c r="B152" s="51" t="s">
        <v>471</v>
      </c>
      <c r="C152" s="39" t="s">
        <v>462</v>
      </c>
      <c r="D152" s="136" t="s">
        <v>496</v>
      </c>
      <c r="E152" s="39" t="s">
        <v>462</v>
      </c>
      <c r="F152" s="86">
        <f>IF(ISNUMBER(MCC_Table6[[#This Row],[SIZE]]), MCC_Table6[[#This Row],[SIZE]]/12, 0)</f>
        <v>1</v>
      </c>
      <c r="G152" s="10"/>
      <c r="H152" s="10"/>
      <c r="I152" s="10"/>
      <c r="J152" s="10"/>
      <c r="K152" s="54"/>
      <c r="L152" s="54"/>
      <c r="M152" s="54"/>
      <c r="N152" s="54"/>
      <c r="O152" s="53"/>
      <c r="P152" s="51">
        <f>_xlfn.NUMBERVALUE(LEFT(MCC_Table6[[#This Row],[BUCKET]],LEN(MCC_Table6[[#This Row],[BUCKET]])-1))</f>
        <v>1</v>
      </c>
      <c r="Q152" s="51" t="str">
        <f>RIGHT(MCC_Table6[[#This Row],[BUCKET]],1)</f>
        <v>L</v>
      </c>
      <c r="R152" s="51">
        <f>VLOOKUP(MCC_Table6[[#This Row],[START UNIT]],UnitMap[],2,FALSE)</f>
        <v>11</v>
      </c>
      <c r="S152" s="51" cm="1">
        <f t="array" ref="S15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52" s="51">
        <f>IF(ISNUMBER(MCC_Table6[[#This Row],[SIZE]]), MCC_Table6[[#This Row],[SIZE]]/6, 0)</f>
        <v>2</v>
      </c>
      <c r="U152" s="51">
        <f>MCC_Table6[[#This Row],[START INDEX]]+MCC_Table6[[#This Row],[UNITS USED]]-1</f>
        <v>12</v>
      </c>
      <c r="V152" s="109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</row>
    <row r="153" spans="1:52" x14ac:dyDescent="0.3">
      <c r="A153" s="67" t="s">
        <v>1153</v>
      </c>
      <c r="B153" s="51" t="s">
        <v>477</v>
      </c>
      <c r="C153" s="39" t="s">
        <v>1155</v>
      </c>
      <c r="D153" s="135" t="s">
        <v>951</v>
      </c>
      <c r="E153" s="51" t="s">
        <v>904</v>
      </c>
      <c r="F153" s="86">
        <f>IF(ISNUMBER(MCC_Table6[[#This Row],[SIZE]]), MCC_Table6[[#This Row],[SIZE]]/12, 0)</f>
        <v>3.5</v>
      </c>
      <c r="G153" s="10">
        <v>30</v>
      </c>
      <c r="H153" s="10">
        <v>30</v>
      </c>
      <c r="I153" s="10"/>
      <c r="J153" s="10"/>
      <c r="K153" s="54">
        <v>100</v>
      </c>
      <c r="L153" s="54">
        <v>125</v>
      </c>
      <c r="M153" s="54">
        <v>70</v>
      </c>
      <c r="N153" s="54" t="s">
        <v>952</v>
      </c>
      <c r="O153" s="53"/>
      <c r="P153" s="51">
        <f>_xlfn.NUMBERVALUE(LEFT(MCC_Table6[[#This Row],[BUCKET]],LEN(MCC_Table6[[#This Row],[BUCKET]])-1))</f>
        <v>2</v>
      </c>
      <c r="Q153" s="51" t="str">
        <f>RIGHT(MCC_Table6[[#This Row],[BUCKET]],1)</f>
        <v>A</v>
      </c>
      <c r="R153" s="51">
        <f>VLOOKUP(MCC_Table6[[#This Row],[START UNIT]],UnitMap[],2,FALSE)</f>
        <v>1</v>
      </c>
      <c r="S153" s="51" cm="1">
        <f t="array" ref="S15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153" s="51">
        <f>IF(ISNUMBER(MCC_Table6[[#This Row],[SIZE]]), MCC_Table6[[#This Row],[SIZE]]/6, 0)</f>
        <v>7</v>
      </c>
      <c r="U153" s="51">
        <f>MCC_Table6[[#This Row],[START INDEX]]+MCC_Table6[[#This Row],[UNITS USED]]-1</f>
        <v>7</v>
      </c>
      <c r="V153" s="12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</row>
    <row r="154" spans="1:52" x14ac:dyDescent="0.3">
      <c r="A154" s="67" t="s">
        <v>1153</v>
      </c>
      <c r="B154" s="51" t="s">
        <v>901</v>
      </c>
      <c r="C154" s="39" t="s">
        <v>1156</v>
      </c>
      <c r="D154" s="136" t="s">
        <v>467</v>
      </c>
      <c r="E154" s="39" t="s">
        <v>468</v>
      </c>
      <c r="F154" s="86">
        <f>IF(ISNUMBER(MCC_Table6[[#This Row],[SIZE]]), MCC_Table6[[#This Row],[SIZE]]/12, 0)</f>
        <v>1.5</v>
      </c>
      <c r="G154" s="10"/>
      <c r="H154" s="10"/>
      <c r="I154" s="10"/>
      <c r="J154" s="10"/>
      <c r="K154" s="54">
        <v>15</v>
      </c>
      <c r="L154" s="54">
        <v>125</v>
      </c>
      <c r="M154" s="54"/>
      <c r="N154" s="54"/>
      <c r="O154" s="53"/>
      <c r="P154" s="51">
        <f>_xlfn.NUMBERVALUE(LEFT(MCC_Table6[[#This Row],[BUCKET]],LEN(MCC_Table6[[#This Row],[BUCKET]])-1))</f>
        <v>2</v>
      </c>
      <c r="Q154" s="51" t="str">
        <f>RIGHT(MCC_Table6[[#This Row],[BUCKET]],1)</f>
        <v>H</v>
      </c>
      <c r="R154" s="51">
        <f>VLOOKUP(MCC_Table6[[#This Row],[START UNIT]],UnitMap[],2,FALSE)</f>
        <v>8</v>
      </c>
      <c r="S154" s="51" cm="1">
        <f t="array" ref="S15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154" s="51">
        <f>IF(ISNUMBER(MCC_Table6[[#This Row],[SIZE]]), MCC_Table6[[#This Row],[SIZE]]/6, 0)</f>
        <v>3</v>
      </c>
      <c r="U154" s="51">
        <f>MCC_Table6[[#This Row],[START INDEX]]+MCC_Table6[[#This Row],[UNITS USED]]-1</f>
        <v>10</v>
      </c>
      <c r="V154" s="109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</row>
    <row r="155" spans="1:52" x14ac:dyDescent="0.3">
      <c r="A155" s="67" t="s">
        <v>1153</v>
      </c>
      <c r="B155" s="51" t="s">
        <v>1157</v>
      </c>
      <c r="C155" s="39" t="s">
        <v>1158</v>
      </c>
      <c r="D155" s="136" t="s">
        <v>992</v>
      </c>
      <c r="E155" s="39" t="s">
        <v>993</v>
      </c>
      <c r="F155" s="86">
        <f>IF(ISNUMBER(MCC_Table6[[#This Row],[SIZE]]), MCC_Table6[[#This Row],[SIZE]]/12, 0)</f>
        <v>1</v>
      </c>
      <c r="G155" s="10"/>
      <c r="H155" s="10"/>
      <c r="I155" s="10"/>
      <c r="J155" s="10"/>
      <c r="K155" s="54"/>
      <c r="L155" s="54"/>
      <c r="M155" s="54"/>
      <c r="N155" s="54"/>
      <c r="O155" s="53"/>
      <c r="P155" s="51">
        <f>_xlfn.NUMBERVALUE(LEFT(MCC_Table6[[#This Row],[BUCKET]],LEN(MCC_Table6[[#This Row],[BUCKET]])-1))</f>
        <v>2</v>
      </c>
      <c r="Q155" s="51" t="str">
        <f>RIGHT(MCC_Table6[[#This Row],[BUCKET]],1)</f>
        <v>L</v>
      </c>
      <c r="R155" s="51">
        <f>VLOOKUP(MCC_Table6[[#This Row],[START UNIT]],UnitMap[],2,FALSE)</f>
        <v>11</v>
      </c>
      <c r="S155" s="51" cm="1">
        <f t="array" ref="S15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55" s="51">
        <f>IF(ISNUMBER(MCC_Table6[[#This Row],[SIZE]]), MCC_Table6[[#This Row],[SIZE]]/6, 0)</f>
        <v>2</v>
      </c>
      <c r="U155" s="51">
        <f>MCC_Table6[[#This Row],[START INDEX]]+MCC_Table6[[#This Row],[UNITS USED]]-1</f>
        <v>12</v>
      </c>
      <c r="V155" s="109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</row>
    <row r="156" spans="1:52" x14ac:dyDescent="0.3">
      <c r="A156" s="65" t="s">
        <v>1153</v>
      </c>
      <c r="B156" s="51" t="s">
        <v>489</v>
      </c>
      <c r="C156" s="39" t="s">
        <v>1159</v>
      </c>
      <c r="D156" s="136" t="s">
        <v>1160</v>
      </c>
      <c r="E156" s="39" t="s">
        <v>904</v>
      </c>
      <c r="F156" s="86">
        <f>IF(ISNUMBER(MCC_Table6[[#This Row],[SIZE]]), MCC_Table6[[#This Row],[SIZE]]/12, 0)</f>
        <v>2</v>
      </c>
      <c r="G156" s="10">
        <v>2</v>
      </c>
      <c r="H156" s="10">
        <v>2</v>
      </c>
      <c r="I156" s="10"/>
      <c r="J156" s="10"/>
      <c r="K156" s="54">
        <v>15</v>
      </c>
      <c r="L156" s="54">
        <v>125</v>
      </c>
      <c r="M156" s="54">
        <v>10</v>
      </c>
      <c r="N156" s="54" t="s">
        <v>911</v>
      </c>
      <c r="O156" s="53"/>
      <c r="P156" s="51">
        <f>_xlfn.NUMBERVALUE(LEFT(MCC_Table6[[#This Row],[BUCKET]],LEN(MCC_Table6[[#This Row],[BUCKET]])-1))</f>
        <v>3</v>
      </c>
      <c r="Q156" s="51" t="str">
        <f>RIGHT(MCC_Table6[[#This Row],[BUCKET]],1)</f>
        <v>A</v>
      </c>
      <c r="R156" s="51">
        <f>VLOOKUP(MCC_Table6[[#This Row],[START UNIT]],UnitMap[],2,FALSE)</f>
        <v>1</v>
      </c>
      <c r="S156" s="51" cm="1">
        <f t="array" ref="S15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56" s="51">
        <f>IF(ISNUMBER(MCC_Table6[[#This Row],[SIZE]]), MCC_Table6[[#This Row],[SIZE]]/6, 0)</f>
        <v>4</v>
      </c>
      <c r="U156" s="51">
        <f>MCC_Table6[[#This Row],[START INDEX]]+MCC_Table6[[#This Row],[UNITS USED]]-1</f>
        <v>4</v>
      </c>
      <c r="V156" s="109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</row>
    <row r="157" spans="1:52" x14ac:dyDescent="0.3">
      <c r="A157" s="67" t="s">
        <v>1153</v>
      </c>
      <c r="B157" s="51" t="s">
        <v>1098</v>
      </c>
      <c r="C157" s="129" t="s">
        <v>1161</v>
      </c>
      <c r="D157" s="135" t="s">
        <v>940</v>
      </c>
      <c r="E157" s="130" t="s">
        <v>904</v>
      </c>
      <c r="F157" s="86">
        <f>IF(ISNUMBER(MCC_Table6[[#This Row],[SIZE]]), MCC_Table6[[#This Row],[SIZE]]/12, 0)</f>
        <v>3</v>
      </c>
      <c r="G157" s="10">
        <v>15</v>
      </c>
      <c r="H157" s="10">
        <v>15</v>
      </c>
      <c r="I157" s="10"/>
      <c r="J157" s="10"/>
      <c r="K157" s="54">
        <v>60</v>
      </c>
      <c r="L157" s="54">
        <v>125</v>
      </c>
      <c r="M157" s="54">
        <v>40</v>
      </c>
      <c r="N157" s="54" t="s">
        <v>1024</v>
      </c>
      <c r="O157" s="53"/>
      <c r="P157" s="51">
        <f>_xlfn.NUMBERVALUE(LEFT(MCC_Table6[[#This Row],[BUCKET]],LEN(MCC_Table6[[#This Row],[BUCKET]])-1))</f>
        <v>3</v>
      </c>
      <c r="Q157" s="51" t="str">
        <f>RIGHT(MCC_Table6[[#This Row],[BUCKET]],1)</f>
        <v>E</v>
      </c>
      <c r="R157" s="51">
        <f>VLOOKUP(MCC_Table6[[#This Row],[START UNIT]],UnitMap[],2,FALSE)</f>
        <v>5</v>
      </c>
      <c r="S157" s="51" cm="1">
        <f t="array" ref="S15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157" s="51">
        <f>IF(ISNUMBER(MCC_Table6[[#This Row],[SIZE]]), MCC_Table6[[#This Row],[SIZE]]/6, 0)</f>
        <v>6</v>
      </c>
      <c r="U157" s="51">
        <f>MCC_Table6[[#This Row],[START INDEX]]+MCC_Table6[[#This Row],[UNITS USED]]-1</f>
        <v>10</v>
      </c>
      <c r="V157" s="12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</row>
    <row r="158" spans="1:52" x14ac:dyDescent="0.3">
      <c r="A158" s="67" t="s">
        <v>1153</v>
      </c>
      <c r="B158" s="51" t="s">
        <v>495</v>
      </c>
      <c r="C158" s="129" t="s">
        <v>462</v>
      </c>
      <c r="D158" s="136" t="s">
        <v>496</v>
      </c>
      <c r="E158" s="130" t="s">
        <v>462</v>
      </c>
      <c r="F158" s="86">
        <f>IF(ISNUMBER(MCC_Table6[[#This Row],[SIZE]]), MCC_Table6[[#This Row],[SIZE]]/12, 0)</f>
        <v>1</v>
      </c>
      <c r="G158" s="10"/>
      <c r="H158" s="10"/>
      <c r="I158" s="10"/>
      <c r="J158" s="10"/>
      <c r="K158" s="54"/>
      <c r="L158" s="54"/>
      <c r="M158" s="54"/>
      <c r="N158" s="54"/>
      <c r="O158" s="53"/>
      <c r="P158" s="51">
        <f>_xlfn.NUMBERVALUE(LEFT(MCC_Table6[[#This Row],[BUCKET]],LEN(MCC_Table6[[#This Row],[BUCKET]])-1))</f>
        <v>3</v>
      </c>
      <c r="Q158" s="51" t="str">
        <f>RIGHT(MCC_Table6[[#This Row],[BUCKET]],1)</f>
        <v>L</v>
      </c>
      <c r="R158" s="51">
        <f>VLOOKUP(MCC_Table6[[#This Row],[START UNIT]],UnitMap[],2,FALSE)</f>
        <v>11</v>
      </c>
      <c r="S158" s="51" cm="1">
        <f t="array" ref="S15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58" s="51">
        <f>IF(ISNUMBER(MCC_Table6[[#This Row],[SIZE]]), MCC_Table6[[#This Row],[SIZE]]/6, 0)</f>
        <v>2</v>
      </c>
      <c r="U158" s="51">
        <f>MCC_Table6[[#This Row],[START INDEX]]+MCC_Table6[[#This Row],[UNITS USED]]-1</f>
        <v>12</v>
      </c>
      <c r="V158" s="12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</row>
    <row r="159" spans="1:52" x14ac:dyDescent="0.3">
      <c r="A159" s="67" t="s">
        <v>1153</v>
      </c>
      <c r="B159" s="51" t="s">
        <v>497</v>
      </c>
      <c r="C159" s="129" t="s">
        <v>1162</v>
      </c>
      <c r="D159" s="135" t="s">
        <v>1163</v>
      </c>
      <c r="E159" s="130" t="s">
        <v>904</v>
      </c>
      <c r="F159" s="86">
        <f>IF(ISNUMBER(MCC_Table6[[#This Row],[SIZE]]), MCC_Table6[[#This Row],[SIZE]]/12, 0)</f>
        <v>2</v>
      </c>
      <c r="G159" s="10">
        <v>2</v>
      </c>
      <c r="H159" s="10">
        <v>2</v>
      </c>
      <c r="I159" s="10"/>
      <c r="J159" s="10"/>
      <c r="K159" s="54">
        <v>15</v>
      </c>
      <c r="L159" s="54">
        <v>125</v>
      </c>
      <c r="M159" s="54">
        <v>10</v>
      </c>
      <c r="N159" s="54" t="s">
        <v>911</v>
      </c>
      <c r="O159" s="53"/>
      <c r="P159" s="51">
        <f>_xlfn.NUMBERVALUE(LEFT(MCC_Table6[[#This Row],[BUCKET]],LEN(MCC_Table6[[#This Row],[BUCKET]])-1))</f>
        <v>4</v>
      </c>
      <c r="Q159" s="51" t="str">
        <f>RIGHT(MCC_Table6[[#This Row],[BUCKET]],1)</f>
        <v>A</v>
      </c>
      <c r="R159" s="51">
        <f>VLOOKUP(MCC_Table6[[#This Row],[START UNIT]],UnitMap[],2,FALSE)</f>
        <v>1</v>
      </c>
      <c r="S159" s="51" cm="1">
        <f t="array" ref="S15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59" s="51">
        <f>IF(ISNUMBER(MCC_Table6[[#This Row],[SIZE]]), MCC_Table6[[#This Row],[SIZE]]/6, 0)</f>
        <v>4</v>
      </c>
      <c r="U159" s="51">
        <f>MCC_Table6[[#This Row],[START INDEX]]+MCC_Table6[[#This Row],[UNITS USED]]-1</f>
        <v>4</v>
      </c>
      <c r="V159" s="12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</row>
    <row r="160" spans="1:52" ht="28.8" x14ac:dyDescent="0.3">
      <c r="A160" s="67" t="s">
        <v>1153</v>
      </c>
      <c r="B160" s="51" t="s">
        <v>1106</v>
      </c>
      <c r="C160" s="129" t="s">
        <v>1164</v>
      </c>
      <c r="D160" s="135" t="s">
        <v>1165</v>
      </c>
      <c r="E160" s="130" t="s">
        <v>904</v>
      </c>
      <c r="F160" s="86">
        <f>IF(ISNUMBER(MCC_Table6[[#This Row],[SIZE]]), MCC_Table6[[#This Row],[SIZE]]/12, 0)</f>
        <v>2</v>
      </c>
      <c r="G160" s="10">
        <v>2</v>
      </c>
      <c r="H160" s="10">
        <v>2</v>
      </c>
      <c r="I160" s="10"/>
      <c r="J160" s="10"/>
      <c r="K160" s="54">
        <v>15</v>
      </c>
      <c r="L160" s="54">
        <v>125</v>
      </c>
      <c r="M160" s="54">
        <v>10</v>
      </c>
      <c r="N160" s="54" t="s">
        <v>911</v>
      </c>
      <c r="O160" s="53"/>
      <c r="P160" s="51">
        <f>_xlfn.NUMBERVALUE(LEFT(MCC_Table6[[#This Row],[BUCKET]],LEN(MCC_Table6[[#This Row],[BUCKET]])-1))</f>
        <v>4</v>
      </c>
      <c r="Q160" s="51" t="str">
        <f>RIGHT(MCC_Table6[[#This Row],[BUCKET]],1)</f>
        <v>E</v>
      </c>
      <c r="R160" s="51">
        <f>VLOOKUP(MCC_Table6[[#This Row],[START UNIT]],UnitMap[],2,FALSE)</f>
        <v>5</v>
      </c>
      <c r="S160" s="51" cm="1">
        <f t="array" ref="S16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0" s="51">
        <f>IF(ISNUMBER(MCC_Table6[[#This Row],[SIZE]]), MCC_Table6[[#This Row],[SIZE]]/6, 0)</f>
        <v>4</v>
      </c>
      <c r="U160" s="51">
        <f>MCC_Table6[[#This Row],[START INDEX]]+MCC_Table6[[#This Row],[UNITS USED]]-1</f>
        <v>8</v>
      </c>
      <c r="V160" s="12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</row>
    <row r="161" spans="1:52" x14ac:dyDescent="0.3">
      <c r="A161" s="67" t="s">
        <v>1153</v>
      </c>
      <c r="B161" s="51" t="s">
        <v>1166</v>
      </c>
      <c r="C161" s="129" t="s">
        <v>1167</v>
      </c>
      <c r="D161" s="135" t="s">
        <v>1168</v>
      </c>
      <c r="E161" s="130" t="s">
        <v>904</v>
      </c>
      <c r="F161" s="86">
        <f>IF(ISNUMBER(MCC_Table6[[#This Row],[SIZE]]), MCC_Table6[[#This Row],[SIZE]]/12, 0)</f>
        <v>2</v>
      </c>
      <c r="G161" s="10">
        <v>2</v>
      </c>
      <c r="H161" s="10">
        <v>2</v>
      </c>
      <c r="I161" s="10"/>
      <c r="J161" s="10"/>
      <c r="K161" s="54">
        <v>15</v>
      </c>
      <c r="L161" s="54">
        <v>125</v>
      </c>
      <c r="M161" s="54">
        <v>10</v>
      </c>
      <c r="N161" s="54" t="s">
        <v>911</v>
      </c>
      <c r="O161" s="53"/>
      <c r="P161" s="51">
        <f>_xlfn.NUMBERVALUE(LEFT(MCC_Table6[[#This Row],[BUCKET]],LEN(MCC_Table6[[#This Row],[BUCKET]])-1))</f>
        <v>4</v>
      </c>
      <c r="Q161" s="51" t="str">
        <f>RIGHT(MCC_Table6[[#This Row],[BUCKET]],1)</f>
        <v>J</v>
      </c>
      <c r="R161" s="51">
        <f>VLOOKUP(MCC_Table6[[#This Row],[START UNIT]],UnitMap[],2,FALSE)</f>
        <v>9</v>
      </c>
      <c r="S161" s="51" cm="1">
        <f t="array" ref="S16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1" s="51">
        <f>IF(ISNUMBER(MCC_Table6[[#This Row],[SIZE]]), MCC_Table6[[#This Row],[SIZE]]/6, 0)</f>
        <v>4</v>
      </c>
      <c r="U161" s="51">
        <f>MCC_Table6[[#This Row],[START INDEX]]+MCC_Table6[[#This Row],[UNITS USED]]-1</f>
        <v>12</v>
      </c>
      <c r="V161" s="12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</row>
    <row r="162" spans="1:52" x14ac:dyDescent="0.3">
      <c r="A162" s="65" t="s">
        <v>1153</v>
      </c>
      <c r="B162" s="51" t="s">
        <v>508</v>
      </c>
      <c r="C162" s="129" t="s">
        <v>1169</v>
      </c>
      <c r="D162" s="135" t="s">
        <v>1170</v>
      </c>
      <c r="E162" s="130" t="s">
        <v>904</v>
      </c>
      <c r="F162" s="86">
        <f>IF(ISNUMBER(MCC_Table6[[#This Row],[SIZE]]), MCC_Table6[[#This Row],[SIZE]]/12, 0)</f>
        <v>2</v>
      </c>
      <c r="G162" s="10">
        <v>5</v>
      </c>
      <c r="H162" s="10">
        <v>5</v>
      </c>
      <c r="I162" s="10"/>
      <c r="J162" s="10"/>
      <c r="K162" s="54">
        <v>20</v>
      </c>
      <c r="L162" s="54">
        <v>125</v>
      </c>
      <c r="M162" s="54">
        <v>40</v>
      </c>
      <c r="N162" s="54" t="s">
        <v>911</v>
      </c>
      <c r="O162" s="53"/>
      <c r="P162" s="51">
        <f>_xlfn.NUMBERVALUE(LEFT(MCC_Table6[[#This Row],[BUCKET]],LEN(MCC_Table6[[#This Row],[BUCKET]])-1))</f>
        <v>5</v>
      </c>
      <c r="Q162" s="51" t="str">
        <f>RIGHT(MCC_Table6[[#This Row],[BUCKET]],1)</f>
        <v>A</v>
      </c>
      <c r="R162" s="51">
        <f>VLOOKUP(MCC_Table6[[#This Row],[START UNIT]],UnitMap[],2,FALSE)</f>
        <v>1</v>
      </c>
      <c r="S162" s="51" cm="1">
        <f t="array" ref="S16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2" s="51">
        <f>IF(ISNUMBER(MCC_Table6[[#This Row],[SIZE]]), MCC_Table6[[#This Row],[SIZE]]/6, 0)</f>
        <v>4</v>
      </c>
      <c r="U162" s="51">
        <f>MCC_Table6[[#This Row],[START INDEX]]+MCC_Table6[[#This Row],[UNITS USED]]-1</f>
        <v>4</v>
      </c>
      <c r="V162" s="12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</row>
    <row r="163" spans="1:52" x14ac:dyDescent="0.3">
      <c r="A163" s="67" t="s">
        <v>1153</v>
      </c>
      <c r="B163" s="51" t="s">
        <v>511</v>
      </c>
      <c r="C163" s="129" t="s">
        <v>1171</v>
      </c>
      <c r="D163" s="135" t="s">
        <v>1172</v>
      </c>
      <c r="E163" s="130" t="s">
        <v>904</v>
      </c>
      <c r="F163" s="86">
        <f>IF(ISNUMBER(MCC_Table6[[#This Row],[SIZE]]), MCC_Table6[[#This Row],[SIZE]]/12, 0)</f>
        <v>2</v>
      </c>
      <c r="G163" s="10">
        <v>5</v>
      </c>
      <c r="H163" s="10">
        <v>5</v>
      </c>
      <c r="I163" s="10"/>
      <c r="J163" s="10"/>
      <c r="K163" s="54">
        <v>20</v>
      </c>
      <c r="L163" s="54">
        <v>125</v>
      </c>
      <c r="M163" s="54">
        <v>40</v>
      </c>
      <c r="N163" s="54" t="s">
        <v>911</v>
      </c>
      <c r="O163" s="53"/>
      <c r="P163" s="51">
        <f>_xlfn.NUMBERVALUE(LEFT(MCC_Table6[[#This Row],[BUCKET]],LEN(MCC_Table6[[#This Row],[BUCKET]])-1))</f>
        <v>5</v>
      </c>
      <c r="Q163" s="51" t="str">
        <f>RIGHT(MCC_Table6[[#This Row],[BUCKET]],1)</f>
        <v>E</v>
      </c>
      <c r="R163" s="51">
        <f>VLOOKUP(MCC_Table6[[#This Row],[START UNIT]],UnitMap[],2,FALSE)</f>
        <v>5</v>
      </c>
      <c r="S163" s="51" cm="1">
        <f t="array" ref="S16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3" s="51">
        <f>IF(ISNUMBER(MCC_Table6[[#This Row],[SIZE]]), MCC_Table6[[#This Row],[SIZE]]/6, 0)</f>
        <v>4</v>
      </c>
      <c r="U163" s="51">
        <f>MCC_Table6[[#This Row],[START INDEX]]+MCC_Table6[[#This Row],[UNITS USED]]-1</f>
        <v>8</v>
      </c>
      <c r="V163" s="12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</row>
    <row r="164" spans="1:52" x14ac:dyDescent="0.3">
      <c r="A164" s="67" t="s">
        <v>1153</v>
      </c>
      <c r="B164" s="51" t="s">
        <v>514</v>
      </c>
      <c r="C164" s="129" t="s">
        <v>1173</v>
      </c>
      <c r="D164" s="135" t="s">
        <v>1174</v>
      </c>
      <c r="E164" s="130" t="s">
        <v>904</v>
      </c>
      <c r="F164" s="86">
        <f>IF(ISNUMBER(MCC_Table6[[#This Row],[SIZE]]), MCC_Table6[[#This Row],[SIZE]]/12, 0)</f>
        <v>2</v>
      </c>
      <c r="G164" s="10">
        <v>5</v>
      </c>
      <c r="H164" s="10">
        <v>5</v>
      </c>
      <c r="I164" s="10"/>
      <c r="J164" s="10"/>
      <c r="K164" s="54">
        <v>20</v>
      </c>
      <c r="L164" s="54">
        <v>125</v>
      </c>
      <c r="M164" s="54">
        <v>40</v>
      </c>
      <c r="N164" s="54" t="s">
        <v>911</v>
      </c>
      <c r="O164" s="53"/>
      <c r="P164" s="51">
        <f>_xlfn.NUMBERVALUE(LEFT(MCC_Table6[[#This Row],[BUCKET]],LEN(MCC_Table6[[#This Row],[BUCKET]])-1))</f>
        <v>5</v>
      </c>
      <c r="Q164" s="51" t="str">
        <f>RIGHT(MCC_Table6[[#This Row],[BUCKET]],1)</f>
        <v>J</v>
      </c>
      <c r="R164" s="51">
        <f>VLOOKUP(MCC_Table6[[#This Row],[START UNIT]],UnitMap[],2,FALSE)</f>
        <v>9</v>
      </c>
      <c r="S164" s="51" cm="1">
        <f t="array" ref="S16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4" s="51">
        <f>IF(ISNUMBER(MCC_Table6[[#This Row],[SIZE]]), MCC_Table6[[#This Row],[SIZE]]/6, 0)</f>
        <v>4</v>
      </c>
      <c r="U164" s="51">
        <f>MCC_Table6[[#This Row],[START INDEX]]+MCC_Table6[[#This Row],[UNITS USED]]-1</f>
        <v>12</v>
      </c>
      <c r="V164" s="12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</row>
    <row r="165" spans="1:52" x14ac:dyDescent="0.3">
      <c r="A165" s="67" t="s">
        <v>1153</v>
      </c>
      <c r="B165" s="51" t="s">
        <v>517</v>
      </c>
      <c r="C165" s="129" t="s">
        <v>1175</v>
      </c>
      <c r="D165" s="135" t="s">
        <v>934</v>
      </c>
      <c r="E165" s="130" t="s">
        <v>904</v>
      </c>
      <c r="F165" s="86">
        <f>IF(ISNUMBER(MCC_Table6[[#This Row],[SIZE]]), MCC_Table6[[#This Row],[SIZE]]/12, 0)</f>
        <v>1</v>
      </c>
      <c r="G165" s="10">
        <v>15</v>
      </c>
      <c r="H165" s="10">
        <v>15</v>
      </c>
      <c r="I165" s="10"/>
      <c r="J165" s="10"/>
      <c r="K165" s="54">
        <v>60</v>
      </c>
      <c r="L165" s="54">
        <v>125</v>
      </c>
      <c r="M165" s="54">
        <v>40</v>
      </c>
      <c r="N165" s="54" t="s">
        <v>1024</v>
      </c>
      <c r="O165" s="53"/>
      <c r="P165" s="51">
        <f>_xlfn.NUMBERVALUE(LEFT(MCC_Table6[[#This Row],[BUCKET]],LEN(MCC_Table6[[#This Row],[BUCKET]])-1))</f>
        <v>6</v>
      </c>
      <c r="Q165" s="51" t="str">
        <f>RIGHT(MCC_Table6[[#This Row],[BUCKET]],1)</f>
        <v>A</v>
      </c>
      <c r="R165" s="51">
        <f>VLOOKUP(MCC_Table6[[#This Row],[START UNIT]],UnitMap[],2,FALSE)</f>
        <v>1</v>
      </c>
      <c r="S165" s="51" cm="1">
        <f t="array" ref="S16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65" s="51">
        <f>IF(ISNUMBER(MCC_Table6[[#This Row],[SIZE]]), MCC_Table6[[#This Row],[SIZE]]/6, 0)</f>
        <v>2</v>
      </c>
      <c r="U165" s="51">
        <f>MCC_Table6[[#This Row],[START INDEX]]+MCC_Table6[[#This Row],[UNITS USED]]-1</f>
        <v>2</v>
      </c>
      <c r="V165" s="12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</row>
    <row r="166" spans="1:52" x14ac:dyDescent="0.3">
      <c r="A166" s="67" t="s">
        <v>1153</v>
      </c>
      <c r="B166" s="51" t="s">
        <v>1176</v>
      </c>
      <c r="C166" s="129" t="s">
        <v>1177</v>
      </c>
      <c r="D166" s="135" t="s">
        <v>1178</v>
      </c>
      <c r="E166" s="130" t="s">
        <v>904</v>
      </c>
      <c r="F166" s="86">
        <f>IF(ISNUMBER(MCC_Table6[[#This Row],[SIZE]]), MCC_Table6[[#This Row],[SIZE]]/12, 0)</f>
        <v>4</v>
      </c>
      <c r="G166" s="10">
        <v>2</v>
      </c>
      <c r="H166" s="10">
        <v>2</v>
      </c>
      <c r="I166" s="10"/>
      <c r="J166" s="10"/>
      <c r="K166" s="54">
        <v>15</v>
      </c>
      <c r="L166" s="54">
        <v>125</v>
      </c>
      <c r="M166" s="54">
        <v>10</v>
      </c>
      <c r="N166" s="54" t="s">
        <v>911</v>
      </c>
      <c r="O166" s="53"/>
      <c r="P166" s="51">
        <f>_xlfn.NUMBERVALUE(LEFT(MCC_Table6[[#This Row],[BUCKET]],LEN(MCC_Table6[[#This Row],[BUCKET]])-1))</f>
        <v>6</v>
      </c>
      <c r="Q166" s="51" t="str">
        <f>RIGHT(MCC_Table6[[#This Row],[BUCKET]],1)</f>
        <v>C</v>
      </c>
      <c r="R166" s="51">
        <f>VLOOKUP(MCC_Table6[[#This Row],[START UNIT]],UnitMap[],2,FALSE)</f>
        <v>3</v>
      </c>
      <c r="S166" s="51" cm="1">
        <f t="array" ref="S16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48</v>
      </c>
      <c r="T166" s="51">
        <f>IF(ISNUMBER(MCC_Table6[[#This Row],[SIZE]]), MCC_Table6[[#This Row],[SIZE]]/6, 0)</f>
        <v>8</v>
      </c>
      <c r="U166" s="51">
        <f>MCC_Table6[[#This Row],[START INDEX]]+MCC_Table6[[#This Row],[UNITS USED]]-1</f>
        <v>10</v>
      </c>
      <c r="V166" s="12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</row>
    <row r="167" spans="1:52" x14ac:dyDescent="0.3">
      <c r="A167" s="67" t="s">
        <v>1153</v>
      </c>
      <c r="B167" s="51" t="s">
        <v>1179</v>
      </c>
      <c r="C167" s="39" t="s">
        <v>1180</v>
      </c>
      <c r="D167" s="136" t="s">
        <v>992</v>
      </c>
      <c r="E167" s="39" t="s">
        <v>993</v>
      </c>
      <c r="F167" s="86">
        <f>IF(ISNUMBER(MCC_Table6[[#This Row],[SIZE]]), MCC_Table6[[#This Row],[SIZE]]/12, 0)</f>
        <v>1</v>
      </c>
      <c r="G167" s="10"/>
      <c r="H167" s="10"/>
      <c r="I167" s="10"/>
      <c r="J167" s="10"/>
      <c r="K167" s="54"/>
      <c r="L167" s="54"/>
      <c r="M167" s="54"/>
      <c r="N167" s="54"/>
      <c r="O167" s="53"/>
      <c r="P167" s="51">
        <f>_xlfn.NUMBERVALUE(LEFT(MCC_Table6[[#This Row],[BUCKET]],LEN(MCC_Table6[[#This Row],[BUCKET]])-1))</f>
        <v>6</v>
      </c>
      <c r="Q167" s="51" t="str">
        <f>RIGHT(MCC_Table6[[#This Row],[BUCKET]],1)</f>
        <v>L</v>
      </c>
      <c r="R167" s="51">
        <f>VLOOKUP(MCC_Table6[[#This Row],[START UNIT]],UnitMap[],2,FALSE)</f>
        <v>11</v>
      </c>
      <c r="S167" s="51" cm="1">
        <f t="array" ref="S16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67" s="51">
        <f>IF(ISNUMBER(MCC_Table6[[#This Row],[SIZE]]), MCC_Table6[[#This Row],[SIZE]]/6, 0)</f>
        <v>2</v>
      </c>
      <c r="U167" s="51">
        <f>MCC_Table6[[#This Row],[START INDEX]]+MCC_Table6[[#This Row],[UNITS USED]]-1</f>
        <v>12</v>
      </c>
      <c r="V167" s="12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</row>
    <row r="168" spans="1:52" x14ac:dyDescent="0.3">
      <c r="A168" s="65" t="s">
        <v>1153</v>
      </c>
      <c r="B168" s="51" t="s">
        <v>526</v>
      </c>
      <c r="C168" s="129" t="s">
        <v>1181</v>
      </c>
      <c r="D168" s="135" t="s">
        <v>1182</v>
      </c>
      <c r="E168" s="130" t="s">
        <v>904</v>
      </c>
      <c r="F168" s="86">
        <f>IF(ISNUMBER(MCC_Table6[[#This Row],[SIZE]]), MCC_Table6[[#This Row],[SIZE]]/12, 0)</f>
        <v>2</v>
      </c>
      <c r="G168" s="10">
        <v>2</v>
      </c>
      <c r="H168" s="10">
        <v>2</v>
      </c>
      <c r="I168" s="10"/>
      <c r="J168" s="10"/>
      <c r="K168" s="54">
        <v>15</v>
      </c>
      <c r="L168" s="54">
        <v>125</v>
      </c>
      <c r="M168" s="54">
        <v>10</v>
      </c>
      <c r="N168" s="54" t="s">
        <v>911</v>
      </c>
      <c r="O168" s="53"/>
      <c r="P168" s="51">
        <f>_xlfn.NUMBERVALUE(LEFT(MCC_Table6[[#This Row],[BUCKET]],LEN(MCC_Table6[[#This Row],[BUCKET]])-1))</f>
        <v>7</v>
      </c>
      <c r="Q168" s="51" t="str">
        <f>RIGHT(MCC_Table6[[#This Row],[BUCKET]],1)</f>
        <v>A</v>
      </c>
      <c r="R168" s="51">
        <f>VLOOKUP(MCC_Table6[[#This Row],[START UNIT]],UnitMap[],2,FALSE)</f>
        <v>1</v>
      </c>
      <c r="S168" s="51" cm="1">
        <f t="array" ref="S16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8" s="51">
        <f>IF(ISNUMBER(MCC_Table6[[#This Row],[SIZE]]), MCC_Table6[[#This Row],[SIZE]]/6, 0)</f>
        <v>4</v>
      </c>
      <c r="U168" s="51">
        <f>MCC_Table6[[#This Row],[START INDEX]]+MCC_Table6[[#This Row],[UNITS USED]]-1</f>
        <v>4</v>
      </c>
      <c r="V168" s="12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</row>
    <row r="169" spans="1:52" x14ac:dyDescent="0.3">
      <c r="A169" s="67" t="s">
        <v>1153</v>
      </c>
      <c r="B169" s="51" t="s">
        <v>919</v>
      </c>
      <c r="C169" s="129" t="s">
        <v>1183</v>
      </c>
      <c r="D169" s="135" t="s">
        <v>1184</v>
      </c>
      <c r="E169" s="130" t="s">
        <v>904</v>
      </c>
      <c r="F169" s="86">
        <f>IF(ISNUMBER(MCC_Table6[[#This Row],[SIZE]]), MCC_Table6[[#This Row],[SIZE]]/12, 0)</f>
        <v>2</v>
      </c>
      <c r="G169" s="10">
        <v>2</v>
      </c>
      <c r="H169" s="10">
        <v>2</v>
      </c>
      <c r="I169" s="10"/>
      <c r="J169" s="10"/>
      <c r="K169" s="54">
        <v>15</v>
      </c>
      <c r="L169" s="54">
        <v>125</v>
      </c>
      <c r="M169" s="54">
        <v>10</v>
      </c>
      <c r="N169" s="54" t="s">
        <v>911</v>
      </c>
      <c r="O169" s="53"/>
      <c r="P169" s="51">
        <f>_xlfn.NUMBERVALUE(LEFT(MCC_Table6[[#This Row],[BUCKET]],LEN(MCC_Table6[[#This Row],[BUCKET]])-1))</f>
        <v>7</v>
      </c>
      <c r="Q169" s="51" t="str">
        <f>RIGHT(MCC_Table6[[#This Row],[BUCKET]],1)</f>
        <v>E</v>
      </c>
      <c r="R169" s="51">
        <f>VLOOKUP(MCC_Table6[[#This Row],[START UNIT]],UnitMap[],2,FALSE)</f>
        <v>5</v>
      </c>
      <c r="S169" s="51" cm="1">
        <f t="array" ref="S16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69" s="51">
        <f>IF(ISNUMBER(MCC_Table6[[#This Row],[SIZE]]), MCC_Table6[[#This Row],[SIZE]]/6, 0)</f>
        <v>4</v>
      </c>
      <c r="U169" s="51">
        <f>MCC_Table6[[#This Row],[START INDEX]]+MCC_Table6[[#This Row],[UNITS USED]]-1</f>
        <v>8</v>
      </c>
      <c r="V169" s="12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</row>
    <row r="170" spans="1:52" ht="28.8" x14ac:dyDescent="0.3">
      <c r="A170" s="67" t="s">
        <v>1153</v>
      </c>
      <c r="B170" s="51" t="s">
        <v>921</v>
      </c>
      <c r="C170" s="129" t="s">
        <v>1185</v>
      </c>
      <c r="D170" s="135" t="s">
        <v>1186</v>
      </c>
      <c r="E170" s="130" t="s">
        <v>904</v>
      </c>
      <c r="F170" s="86">
        <f>IF(ISNUMBER(MCC_Table6[[#This Row],[SIZE]]), MCC_Table6[[#This Row],[SIZE]]/12, 0)</f>
        <v>2</v>
      </c>
      <c r="G170" s="10">
        <v>2</v>
      </c>
      <c r="H170" s="10">
        <v>2</v>
      </c>
      <c r="I170" s="10"/>
      <c r="J170" s="10"/>
      <c r="K170" s="54">
        <v>15</v>
      </c>
      <c r="L170" s="54">
        <v>125</v>
      </c>
      <c r="M170" s="54">
        <v>10</v>
      </c>
      <c r="N170" s="54" t="s">
        <v>911</v>
      </c>
      <c r="O170" s="53"/>
      <c r="P170" s="51">
        <f>_xlfn.NUMBERVALUE(LEFT(MCC_Table6[[#This Row],[BUCKET]],LEN(MCC_Table6[[#This Row],[BUCKET]])-1))</f>
        <v>7</v>
      </c>
      <c r="Q170" s="51" t="str">
        <f>RIGHT(MCC_Table6[[#This Row],[BUCKET]],1)</f>
        <v>J</v>
      </c>
      <c r="R170" s="51">
        <f>VLOOKUP(MCC_Table6[[#This Row],[START UNIT]],UnitMap[],2,FALSE)</f>
        <v>9</v>
      </c>
      <c r="S170" s="51" cm="1">
        <f t="array" ref="S17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0" s="51">
        <f>IF(ISNUMBER(MCC_Table6[[#This Row],[SIZE]]), MCC_Table6[[#This Row],[SIZE]]/6, 0)</f>
        <v>4</v>
      </c>
      <c r="U170" s="51">
        <f>MCC_Table6[[#This Row],[START INDEX]]+MCC_Table6[[#This Row],[UNITS USED]]-1</f>
        <v>12</v>
      </c>
      <c r="V170" s="12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</row>
    <row r="171" spans="1:52" x14ac:dyDescent="0.3">
      <c r="A171" s="67" t="s">
        <v>1153</v>
      </c>
      <c r="B171" s="51" t="s">
        <v>534</v>
      </c>
      <c r="C171" s="129" t="s">
        <v>1187</v>
      </c>
      <c r="D171" s="135" t="s">
        <v>1188</v>
      </c>
      <c r="E171" s="130" t="s">
        <v>904</v>
      </c>
      <c r="F171" s="86">
        <f>IF(ISNUMBER(MCC_Table6[[#This Row],[SIZE]]), MCC_Table6[[#This Row],[SIZE]]/12, 0)</f>
        <v>2</v>
      </c>
      <c r="G171" s="10">
        <v>5</v>
      </c>
      <c r="H171" s="10">
        <v>5</v>
      </c>
      <c r="I171" s="10"/>
      <c r="J171" s="10"/>
      <c r="K171" s="54">
        <v>20</v>
      </c>
      <c r="L171" s="54">
        <v>125</v>
      </c>
      <c r="M171" s="54">
        <v>20</v>
      </c>
      <c r="N171" s="54" t="s">
        <v>911</v>
      </c>
      <c r="O171" s="53"/>
      <c r="P171" s="51">
        <f>_xlfn.NUMBERVALUE(LEFT(MCC_Table6[[#This Row],[BUCKET]],LEN(MCC_Table6[[#This Row],[BUCKET]])-1))</f>
        <v>8</v>
      </c>
      <c r="Q171" s="51" t="str">
        <f>RIGHT(MCC_Table6[[#This Row],[BUCKET]],1)</f>
        <v>A</v>
      </c>
      <c r="R171" s="51">
        <f>VLOOKUP(MCC_Table6[[#This Row],[START UNIT]],UnitMap[],2,FALSE)</f>
        <v>1</v>
      </c>
      <c r="S171" s="51" cm="1">
        <f t="array" ref="S17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1" s="51">
        <f>IF(ISNUMBER(MCC_Table6[[#This Row],[SIZE]]), MCC_Table6[[#This Row],[SIZE]]/6, 0)</f>
        <v>4</v>
      </c>
      <c r="U171" s="51">
        <f>MCC_Table6[[#This Row],[START INDEX]]+MCC_Table6[[#This Row],[UNITS USED]]-1</f>
        <v>4</v>
      </c>
      <c r="V171" s="12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</row>
    <row r="172" spans="1:52" x14ac:dyDescent="0.3">
      <c r="A172" s="67" t="s">
        <v>1153</v>
      </c>
      <c r="B172" s="51" t="s">
        <v>1020</v>
      </c>
      <c r="C172" s="129" t="s">
        <v>1189</v>
      </c>
      <c r="D172" s="135" t="s">
        <v>1190</v>
      </c>
      <c r="E172" s="130" t="s">
        <v>904</v>
      </c>
      <c r="F172" s="86">
        <f>IF(ISNUMBER(MCC_Table6[[#This Row],[SIZE]]), MCC_Table6[[#This Row],[SIZE]]/12, 0)</f>
        <v>2</v>
      </c>
      <c r="G172" s="10">
        <v>5</v>
      </c>
      <c r="H172" s="10">
        <v>5</v>
      </c>
      <c r="I172" s="10"/>
      <c r="J172" s="10"/>
      <c r="K172" s="54">
        <v>20</v>
      </c>
      <c r="L172" s="54">
        <v>125</v>
      </c>
      <c r="M172" s="54">
        <v>20</v>
      </c>
      <c r="N172" s="54" t="s">
        <v>911</v>
      </c>
      <c r="O172" s="53"/>
      <c r="P172" s="51">
        <f>_xlfn.NUMBERVALUE(LEFT(MCC_Table6[[#This Row],[BUCKET]],LEN(MCC_Table6[[#This Row],[BUCKET]])-1))</f>
        <v>8</v>
      </c>
      <c r="Q172" s="51" t="str">
        <f>RIGHT(MCC_Table6[[#This Row],[BUCKET]],1)</f>
        <v>E</v>
      </c>
      <c r="R172" s="51">
        <f>VLOOKUP(MCC_Table6[[#This Row],[START UNIT]],UnitMap[],2,FALSE)</f>
        <v>5</v>
      </c>
      <c r="S172" s="51" cm="1">
        <f t="array" ref="S17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2" s="51">
        <f>IF(ISNUMBER(MCC_Table6[[#This Row],[SIZE]]), MCC_Table6[[#This Row],[SIZE]]/6, 0)</f>
        <v>4</v>
      </c>
      <c r="U172" s="51">
        <f>MCC_Table6[[#This Row],[START INDEX]]+MCC_Table6[[#This Row],[UNITS USED]]-1</f>
        <v>8</v>
      </c>
      <c r="V172" s="12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</row>
    <row r="173" spans="1:52" x14ac:dyDescent="0.3">
      <c r="A173" s="67" t="s">
        <v>1153</v>
      </c>
      <c r="B173" s="51" t="s">
        <v>1191</v>
      </c>
      <c r="C173" s="129" t="s">
        <v>1192</v>
      </c>
      <c r="D173" s="135" t="s">
        <v>1193</v>
      </c>
      <c r="E173" s="130" t="s">
        <v>904</v>
      </c>
      <c r="F173" s="86">
        <f>IF(ISNUMBER(MCC_Table6[[#This Row],[SIZE]]), MCC_Table6[[#This Row],[SIZE]]/12, 0)</f>
        <v>2</v>
      </c>
      <c r="G173" s="10">
        <v>5</v>
      </c>
      <c r="H173" s="10">
        <v>5</v>
      </c>
      <c r="I173" s="10"/>
      <c r="J173" s="10"/>
      <c r="K173" s="54">
        <v>20</v>
      </c>
      <c r="L173" s="54">
        <v>125</v>
      </c>
      <c r="M173" s="54">
        <v>20</v>
      </c>
      <c r="N173" s="54" t="s">
        <v>911</v>
      </c>
      <c r="O173" s="53"/>
      <c r="P173" s="51">
        <f>_xlfn.NUMBERVALUE(LEFT(MCC_Table6[[#This Row],[BUCKET]],LEN(MCC_Table6[[#This Row],[BUCKET]])-1))</f>
        <v>8</v>
      </c>
      <c r="Q173" s="51" t="str">
        <f>RIGHT(MCC_Table6[[#This Row],[BUCKET]],1)</f>
        <v>J</v>
      </c>
      <c r="R173" s="51">
        <f>VLOOKUP(MCC_Table6[[#This Row],[START UNIT]],UnitMap[],2,FALSE)</f>
        <v>9</v>
      </c>
      <c r="S173" s="51" cm="1">
        <f t="array" ref="S17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3" s="51">
        <f>IF(ISNUMBER(MCC_Table6[[#This Row],[SIZE]]), MCC_Table6[[#This Row],[SIZE]]/6, 0)</f>
        <v>4</v>
      </c>
      <c r="U173" s="51">
        <f>MCC_Table6[[#This Row],[START INDEX]]+MCC_Table6[[#This Row],[UNITS USED]]-1</f>
        <v>12</v>
      </c>
      <c r="V173" s="12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</row>
    <row r="174" spans="1:52" x14ac:dyDescent="0.3">
      <c r="A174" s="65" t="s">
        <v>1153</v>
      </c>
      <c r="B174" s="51" t="s">
        <v>541</v>
      </c>
      <c r="C174" s="129" t="s">
        <v>1194</v>
      </c>
      <c r="D174" s="135" t="s">
        <v>1195</v>
      </c>
      <c r="E174" s="130"/>
      <c r="F174" s="86">
        <f>IF(ISNUMBER(MCC_Table6[[#This Row],[SIZE]]), MCC_Table6[[#This Row],[SIZE]]/12, 0)</f>
        <v>2</v>
      </c>
      <c r="G174" s="10"/>
      <c r="H174" s="10"/>
      <c r="I174" s="10"/>
      <c r="J174" s="10"/>
      <c r="K174" s="54"/>
      <c r="L174" s="54"/>
      <c r="M174" s="54"/>
      <c r="N174" s="54"/>
      <c r="O174" s="53"/>
      <c r="P174" s="51">
        <f>_xlfn.NUMBERVALUE(LEFT(MCC_Table6[[#This Row],[BUCKET]],LEN(MCC_Table6[[#This Row],[BUCKET]])-1))</f>
        <v>9</v>
      </c>
      <c r="Q174" s="51" t="str">
        <f>RIGHT(MCC_Table6[[#This Row],[BUCKET]],1)</f>
        <v>A</v>
      </c>
      <c r="R174" s="51">
        <f>VLOOKUP(MCC_Table6[[#This Row],[START UNIT]],UnitMap[],2,FALSE)</f>
        <v>1</v>
      </c>
      <c r="S174" s="51" cm="1">
        <f t="array" ref="S17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4" s="51">
        <f>IF(ISNUMBER(MCC_Table6[[#This Row],[SIZE]]), MCC_Table6[[#This Row],[SIZE]]/6, 0)</f>
        <v>4</v>
      </c>
      <c r="U174" s="51">
        <f>MCC_Table6[[#This Row],[START INDEX]]+MCC_Table6[[#This Row],[UNITS USED]]-1</f>
        <v>4</v>
      </c>
      <c r="V174" s="12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</row>
    <row r="175" spans="1:52" x14ac:dyDescent="0.3">
      <c r="A175" s="67" t="s">
        <v>1153</v>
      </c>
      <c r="B175" s="51" t="s">
        <v>544</v>
      </c>
      <c r="C175" s="129" t="s">
        <v>1196</v>
      </c>
      <c r="D175" s="135" t="s">
        <v>1197</v>
      </c>
      <c r="E175" s="130" t="s">
        <v>904</v>
      </c>
      <c r="F175" s="86">
        <f>IF(ISNUMBER(MCC_Table6[[#This Row],[SIZE]]), MCC_Table6[[#This Row],[SIZE]]/12, 0)</f>
        <v>2</v>
      </c>
      <c r="G175" s="10">
        <v>2</v>
      </c>
      <c r="H175" s="10">
        <v>2</v>
      </c>
      <c r="I175" s="10"/>
      <c r="J175" s="10"/>
      <c r="K175" s="54">
        <v>15</v>
      </c>
      <c r="L175" s="54">
        <v>125</v>
      </c>
      <c r="M175" s="54">
        <v>10</v>
      </c>
      <c r="N175" s="54" t="s">
        <v>911</v>
      </c>
      <c r="O175" s="53"/>
      <c r="P175" s="51">
        <f>_xlfn.NUMBERVALUE(LEFT(MCC_Table6[[#This Row],[BUCKET]],LEN(MCC_Table6[[#This Row],[BUCKET]])-1))</f>
        <v>9</v>
      </c>
      <c r="Q175" s="51" t="str">
        <f>RIGHT(MCC_Table6[[#This Row],[BUCKET]],1)</f>
        <v>E</v>
      </c>
      <c r="R175" s="51">
        <f>VLOOKUP(MCC_Table6[[#This Row],[START UNIT]],UnitMap[],2,FALSE)</f>
        <v>5</v>
      </c>
      <c r="S175" s="51" cm="1">
        <f t="array" ref="S17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5" s="51">
        <f>IF(ISNUMBER(MCC_Table6[[#This Row],[SIZE]]), MCC_Table6[[#This Row],[SIZE]]/6, 0)</f>
        <v>4</v>
      </c>
      <c r="U175" s="51">
        <f>MCC_Table6[[#This Row],[START INDEX]]+MCC_Table6[[#This Row],[UNITS USED]]-1</f>
        <v>8</v>
      </c>
      <c r="V175" s="12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</row>
    <row r="176" spans="1:52" x14ac:dyDescent="0.3">
      <c r="A176" s="67" t="s">
        <v>1153</v>
      </c>
      <c r="B176" s="51" t="s">
        <v>547</v>
      </c>
      <c r="C176" s="129" t="s">
        <v>1198</v>
      </c>
      <c r="D176" s="135" t="s">
        <v>1199</v>
      </c>
      <c r="E176" s="130" t="s">
        <v>904</v>
      </c>
      <c r="F176" s="86">
        <f>IF(ISNUMBER(MCC_Table6[[#This Row],[SIZE]]), MCC_Table6[[#This Row],[SIZE]]/12, 0)</f>
        <v>2</v>
      </c>
      <c r="G176" s="10">
        <v>2</v>
      </c>
      <c r="H176" s="10">
        <v>2</v>
      </c>
      <c r="I176" s="10"/>
      <c r="J176" s="10"/>
      <c r="K176" s="54">
        <v>15</v>
      </c>
      <c r="L176" s="54">
        <v>125</v>
      </c>
      <c r="M176" s="54">
        <v>10</v>
      </c>
      <c r="N176" s="54" t="s">
        <v>911</v>
      </c>
      <c r="O176" s="53"/>
      <c r="P176" s="51">
        <f>_xlfn.NUMBERVALUE(LEFT(MCC_Table6[[#This Row],[BUCKET]],LEN(MCC_Table6[[#This Row],[BUCKET]])-1))</f>
        <v>9</v>
      </c>
      <c r="Q176" s="51" t="str">
        <f>RIGHT(MCC_Table6[[#This Row],[BUCKET]],1)</f>
        <v>J</v>
      </c>
      <c r="R176" s="51">
        <f>VLOOKUP(MCC_Table6[[#This Row],[START UNIT]],UnitMap[],2,FALSE)</f>
        <v>9</v>
      </c>
      <c r="S176" s="51" cm="1">
        <f t="array" ref="S17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6" s="51">
        <f>IF(ISNUMBER(MCC_Table6[[#This Row],[SIZE]]), MCC_Table6[[#This Row],[SIZE]]/6, 0)</f>
        <v>4</v>
      </c>
      <c r="U176" s="51">
        <f>MCC_Table6[[#This Row],[START INDEX]]+MCC_Table6[[#This Row],[UNITS USED]]-1</f>
        <v>12</v>
      </c>
      <c r="V176" s="12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</row>
    <row r="177" spans="1:52" x14ac:dyDescent="0.3">
      <c r="A177" s="67" t="s">
        <v>1153</v>
      </c>
      <c r="B177" s="51" t="s">
        <v>550</v>
      </c>
      <c r="C177" s="129" t="s">
        <v>1200</v>
      </c>
      <c r="D177" s="135" t="s">
        <v>1201</v>
      </c>
      <c r="E177" s="130" t="s">
        <v>904</v>
      </c>
      <c r="F177" s="86">
        <f>IF(ISNUMBER(MCC_Table6[[#This Row],[SIZE]]), MCC_Table6[[#This Row],[SIZE]]/12, 0)</f>
        <v>2</v>
      </c>
      <c r="G177" s="10">
        <v>2</v>
      </c>
      <c r="H177" s="10">
        <v>2</v>
      </c>
      <c r="I177" s="10"/>
      <c r="J177" s="10"/>
      <c r="K177" s="54">
        <v>15</v>
      </c>
      <c r="L177" s="54">
        <v>125</v>
      </c>
      <c r="M177" s="54">
        <v>10</v>
      </c>
      <c r="N177" s="54" t="s">
        <v>911</v>
      </c>
      <c r="O177" s="53"/>
      <c r="P177" s="51">
        <f>_xlfn.NUMBERVALUE(LEFT(MCC_Table6[[#This Row],[BUCKET]],LEN(MCC_Table6[[#This Row],[BUCKET]])-1))</f>
        <v>10</v>
      </c>
      <c r="Q177" s="51" t="str">
        <f>RIGHT(MCC_Table6[[#This Row],[BUCKET]],1)</f>
        <v>A</v>
      </c>
      <c r="R177" s="51">
        <f>VLOOKUP(MCC_Table6[[#This Row],[START UNIT]],UnitMap[],2,FALSE)</f>
        <v>1</v>
      </c>
      <c r="S177" s="51" cm="1">
        <f t="array" ref="S17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7" s="51">
        <f>IF(ISNUMBER(MCC_Table6[[#This Row],[SIZE]]), MCC_Table6[[#This Row],[SIZE]]/6, 0)</f>
        <v>4</v>
      </c>
      <c r="U177" s="51">
        <f>MCC_Table6[[#This Row],[START INDEX]]+MCC_Table6[[#This Row],[UNITS USED]]-1</f>
        <v>4</v>
      </c>
      <c r="V177" s="12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</row>
    <row r="178" spans="1:52" x14ac:dyDescent="0.3">
      <c r="A178" s="67" t="s">
        <v>1153</v>
      </c>
      <c r="B178" s="51" t="s">
        <v>553</v>
      </c>
      <c r="C178" s="129" t="s">
        <v>1202</v>
      </c>
      <c r="D178" s="135" t="s">
        <v>1203</v>
      </c>
      <c r="E178" s="130" t="s">
        <v>904</v>
      </c>
      <c r="F178" s="86">
        <f>IF(ISNUMBER(MCC_Table6[[#This Row],[SIZE]]), MCC_Table6[[#This Row],[SIZE]]/12, 0)</f>
        <v>2</v>
      </c>
      <c r="G178" s="10">
        <v>2</v>
      </c>
      <c r="H178" s="10">
        <v>2</v>
      </c>
      <c r="I178" s="10"/>
      <c r="J178" s="10"/>
      <c r="K178" s="54">
        <v>15</v>
      </c>
      <c r="L178" s="54">
        <v>125</v>
      </c>
      <c r="M178" s="54">
        <v>10</v>
      </c>
      <c r="N178" s="54" t="s">
        <v>911</v>
      </c>
      <c r="O178" s="53"/>
      <c r="P178" s="51">
        <f>_xlfn.NUMBERVALUE(LEFT(MCC_Table6[[#This Row],[BUCKET]],LEN(MCC_Table6[[#This Row],[BUCKET]])-1))</f>
        <v>10</v>
      </c>
      <c r="Q178" s="51" t="str">
        <f>RIGHT(MCC_Table6[[#This Row],[BUCKET]],1)</f>
        <v>E</v>
      </c>
      <c r="R178" s="51">
        <f>VLOOKUP(MCC_Table6[[#This Row],[START UNIT]],UnitMap[],2,FALSE)</f>
        <v>5</v>
      </c>
      <c r="S178" s="51" cm="1">
        <f t="array" ref="S17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8" s="51">
        <f>IF(ISNUMBER(MCC_Table6[[#This Row],[SIZE]]), MCC_Table6[[#This Row],[SIZE]]/6, 0)</f>
        <v>4</v>
      </c>
      <c r="U178" s="51">
        <f>MCC_Table6[[#This Row],[START INDEX]]+MCC_Table6[[#This Row],[UNITS USED]]-1</f>
        <v>8</v>
      </c>
      <c r="V178" s="12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</row>
    <row r="179" spans="1:52" x14ac:dyDescent="0.3">
      <c r="A179" s="67" t="s">
        <v>1153</v>
      </c>
      <c r="B179" s="51" t="s">
        <v>556</v>
      </c>
      <c r="C179" s="129" t="s">
        <v>1204</v>
      </c>
      <c r="D179" s="135" t="s">
        <v>1205</v>
      </c>
      <c r="E179" s="130" t="s">
        <v>904</v>
      </c>
      <c r="F179" s="86">
        <f>IF(ISNUMBER(MCC_Table6[[#This Row],[SIZE]]), MCC_Table6[[#This Row],[SIZE]]/12, 0)</f>
        <v>2</v>
      </c>
      <c r="G179" s="10">
        <v>2</v>
      </c>
      <c r="H179" s="10">
        <v>2</v>
      </c>
      <c r="I179" s="10"/>
      <c r="J179" s="10"/>
      <c r="K179" s="54">
        <v>15</v>
      </c>
      <c r="L179" s="54">
        <v>125</v>
      </c>
      <c r="M179" s="54">
        <v>10</v>
      </c>
      <c r="N179" s="54" t="s">
        <v>911</v>
      </c>
      <c r="O179" s="53"/>
      <c r="P179" s="51">
        <f>_xlfn.NUMBERVALUE(LEFT(MCC_Table6[[#This Row],[BUCKET]],LEN(MCC_Table6[[#This Row],[BUCKET]])-1))</f>
        <v>10</v>
      </c>
      <c r="Q179" s="51" t="str">
        <f>RIGHT(MCC_Table6[[#This Row],[BUCKET]],1)</f>
        <v>J</v>
      </c>
      <c r="R179" s="51">
        <f>VLOOKUP(MCC_Table6[[#This Row],[START UNIT]],UnitMap[],2,FALSE)</f>
        <v>9</v>
      </c>
      <c r="S179" s="51" cm="1">
        <f t="array" ref="S17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79" s="51">
        <f>IF(ISNUMBER(MCC_Table6[[#This Row],[SIZE]]), MCC_Table6[[#This Row],[SIZE]]/6, 0)</f>
        <v>4</v>
      </c>
      <c r="U179" s="51">
        <f>MCC_Table6[[#This Row],[START INDEX]]+MCC_Table6[[#This Row],[UNITS USED]]-1</f>
        <v>12</v>
      </c>
      <c r="V179" s="12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</row>
    <row r="180" spans="1:52" x14ac:dyDescent="0.3">
      <c r="A180" s="65" t="s">
        <v>1153</v>
      </c>
      <c r="B180" s="51" t="s">
        <v>559</v>
      </c>
      <c r="C180" s="129" t="s">
        <v>1206</v>
      </c>
      <c r="D180" s="135" t="s">
        <v>1207</v>
      </c>
      <c r="E180" s="130" t="s">
        <v>904</v>
      </c>
      <c r="F180" s="86">
        <f>IF(ISNUMBER(MCC_Table6[[#This Row],[SIZE]]), MCC_Table6[[#This Row],[SIZE]]/12, 0)</f>
        <v>6</v>
      </c>
      <c r="G180" s="10">
        <v>150</v>
      </c>
      <c r="H180" s="10">
        <v>150</v>
      </c>
      <c r="I180" s="10"/>
      <c r="J180" s="10"/>
      <c r="K180" s="54">
        <v>250</v>
      </c>
      <c r="L180" s="54">
        <v>250</v>
      </c>
      <c r="M180" s="54">
        <v>300</v>
      </c>
      <c r="N180" s="54" t="s">
        <v>1208</v>
      </c>
      <c r="O180" s="53"/>
      <c r="P180" s="51">
        <f>_xlfn.NUMBERVALUE(LEFT(MCC_Table6[[#This Row],[BUCKET]],LEN(MCC_Table6[[#This Row],[BUCKET]])-1))</f>
        <v>11</v>
      </c>
      <c r="Q180" s="51" t="str">
        <f>RIGHT(MCC_Table6[[#This Row],[BUCKET]],1)</f>
        <v>A</v>
      </c>
      <c r="R180" s="51">
        <f>VLOOKUP(MCC_Table6[[#This Row],[START UNIT]],UnitMap[],2,FALSE)</f>
        <v>1</v>
      </c>
      <c r="S180" s="51" cm="1">
        <f t="array" ref="S18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180" s="51">
        <f>IF(ISNUMBER(MCC_Table6[[#This Row],[SIZE]]), MCC_Table6[[#This Row],[SIZE]]/6, 0)</f>
        <v>12</v>
      </c>
      <c r="U180" s="51">
        <f>MCC_Table6[[#This Row],[START INDEX]]+MCC_Table6[[#This Row],[UNITS USED]]-1</f>
        <v>12</v>
      </c>
      <c r="V180" s="12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</row>
    <row r="181" spans="1:52" x14ac:dyDescent="0.3">
      <c r="A181" s="67" t="s">
        <v>1153</v>
      </c>
      <c r="B181" s="51" t="s">
        <v>565</v>
      </c>
      <c r="C181" s="129" t="s">
        <v>1209</v>
      </c>
      <c r="D181" s="135" t="s">
        <v>1210</v>
      </c>
      <c r="E181" s="130" t="s">
        <v>904</v>
      </c>
      <c r="F181" s="86">
        <f>IF(ISNUMBER(MCC_Table6[[#This Row],[SIZE]]), MCC_Table6[[#This Row],[SIZE]]/12, 0)</f>
        <v>2</v>
      </c>
      <c r="G181" s="10">
        <v>3</v>
      </c>
      <c r="H181" s="10">
        <v>5</v>
      </c>
      <c r="I181" s="10"/>
      <c r="J181" s="10"/>
      <c r="K181" s="54">
        <v>15</v>
      </c>
      <c r="L181" s="54">
        <v>125</v>
      </c>
      <c r="M181" s="54">
        <v>15</v>
      </c>
      <c r="N181" s="54" t="s">
        <v>911</v>
      </c>
      <c r="O181" s="53"/>
      <c r="P181" s="51">
        <f>_xlfn.NUMBERVALUE(LEFT(MCC_Table6[[#This Row],[BUCKET]],LEN(MCC_Table6[[#This Row],[BUCKET]])-1))</f>
        <v>12</v>
      </c>
      <c r="Q181" s="51" t="str">
        <f>RIGHT(MCC_Table6[[#This Row],[BUCKET]],1)</f>
        <v>A</v>
      </c>
      <c r="R181" s="51">
        <f>VLOOKUP(MCC_Table6[[#This Row],[START UNIT]],UnitMap[],2,FALSE)</f>
        <v>1</v>
      </c>
      <c r="S181" s="51" cm="1">
        <f t="array" ref="S18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81" s="51">
        <f>IF(ISNUMBER(MCC_Table6[[#This Row],[SIZE]]), MCC_Table6[[#This Row],[SIZE]]/6, 0)</f>
        <v>4</v>
      </c>
      <c r="U181" s="51">
        <f>MCC_Table6[[#This Row],[START INDEX]]+MCC_Table6[[#This Row],[UNITS USED]]-1</f>
        <v>4</v>
      </c>
      <c r="V181" s="12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</row>
    <row r="182" spans="1:52" x14ac:dyDescent="0.3">
      <c r="A182" s="67" t="s">
        <v>1153</v>
      </c>
      <c r="B182" s="51" t="s">
        <v>949</v>
      </c>
      <c r="C182" s="129" t="s">
        <v>462</v>
      </c>
      <c r="D182" s="135" t="s">
        <v>461</v>
      </c>
      <c r="E182" s="130" t="s">
        <v>462</v>
      </c>
      <c r="F182" s="86">
        <f>IF(ISNUMBER(MCC_Table6[[#This Row],[SIZE]]), MCC_Table6[[#This Row],[SIZE]]/12, 0)</f>
        <v>0.5</v>
      </c>
      <c r="G182" s="10"/>
      <c r="H182" s="10"/>
      <c r="I182" s="10"/>
      <c r="J182" s="10"/>
      <c r="K182" s="54"/>
      <c r="L182" s="54"/>
      <c r="M182" s="54"/>
      <c r="N182" s="54"/>
      <c r="O182" s="53"/>
      <c r="P182" s="51">
        <f>_xlfn.NUMBERVALUE(LEFT(MCC_Table6[[#This Row],[BUCKET]],LEN(MCC_Table6[[#This Row],[BUCKET]])-1))</f>
        <v>12</v>
      </c>
      <c r="Q182" s="51" t="str">
        <f>RIGHT(MCC_Table6[[#This Row],[BUCKET]],1)</f>
        <v>E</v>
      </c>
      <c r="R182" s="51">
        <f>VLOOKUP(MCC_Table6[[#This Row],[START UNIT]],UnitMap[],2,FALSE)</f>
        <v>5</v>
      </c>
      <c r="S182" s="51" cm="1">
        <f t="array" ref="S18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182" s="51">
        <f>IF(ISNUMBER(MCC_Table6[[#This Row],[SIZE]]), MCC_Table6[[#This Row],[SIZE]]/6, 0)</f>
        <v>1</v>
      </c>
      <c r="U182" s="51">
        <f>MCC_Table6[[#This Row],[START INDEX]]+MCC_Table6[[#This Row],[UNITS USED]]-1</f>
        <v>5</v>
      </c>
      <c r="V182" s="12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</row>
    <row r="183" spans="1:52" x14ac:dyDescent="0.3">
      <c r="A183" s="67" t="s">
        <v>1153</v>
      </c>
      <c r="B183" s="51" t="s">
        <v>566</v>
      </c>
      <c r="C183" s="129" t="s">
        <v>1211</v>
      </c>
      <c r="D183" s="135" t="s">
        <v>1212</v>
      </c>
      <c r="E183" s="130" t="s">
        <v>904</v>
      </c>
      <c r="F183" s="86">
        <f>IF(ISNUMBER(MCC_Table6[[#This Row],[SIZE]]), MCC_Table6[[#This Row],[SIZE]]/12, 0)</f>
        <v>3.5</v>
      </c>
      <c r="G183" s="10">
        <v>100</v>
      </c>
      <c r="H183" s="10">
        <v>100</v>
      </c>
      <c r="I183" s="10"/>
      <c r="J183" s="10"/>
      <c r="K183" s="54">
        <v>250</v>
      </c>
      <c r="L183" s="54">
        <v>250</v>
      </c>
      <c r="M183" s="54">
        <v>225</v>
      </c>
      <c r="N183" s="54" t="s">
        <v>1213</v>
      </c>
      <c r="O183" s="53"/>
      <c r="P183" s="51">
        <f>_xlfn.NUMBERVALUE(LEFT(MCC_Table6[[#This Row],[BUCKET]],LEN(MCC_Table6[[#This Row],[BUCKET]])-1))</f>
        <v>12</v>
      </c>
      <c r="Q183" s="51" t="str">
        <f>RIGHT(MCC_Table6[[#This Row],[BUCKET]],1)</f>
        <v>F</v>
      </c>
      <c r="R183" s="51">
        <f>VLOOKUP(MCC_Table6[[#This Row],[START UNIT]],UnitMap[],2,FALSE)</f>
        <v>6</v>
      </c>
      <c r="S183" s="51" cm="1">
        <f t="array" ref="S18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183" s="51">
        <f>IF(ISNUMBER(MCC_Table6[[#This Row],[SIZE]]), MCC_Table6[[#This Row],[SIZE]]/6, 0)</f>
        <v>7</v>
      </c>
      <c r="U183" s="51">
        <f>MCC_Table6[[#This Row],[START INDEX]]+MCC_Table6[[#This Row],[UNITS USED]]-1</f>
        <v>12</v>
      </c>
      <c r="V183" s="12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</row>
    <row r="184" spans="1:52" x14ac:dyDescent="0.3">
      <c r="A184" s="67" t="s">
        <v>1153</v>
      </c>
      <c r="B184" s="51" t="s">
        <v>953</v>
      </c>
      <c r="C184" s="129" t="s">
        <v>1214</v>
      </c>
      <c r="D184" s="135" t="s">
        <v>1215</v>
      </c>
      <c r="E184" s="130" t="s">
        <v>904</v>
      </c>
      <c r="F184" s="86">
        <f>IF(ISNUMBER(MCC_Table6[[#This Row],[SIZE]]), MCC_Table6[[#This Row],[SIZE]]/12, 0)</f>
        <v>2</v>
      </c>
      <c r="G184" s="10">
        <v>2</v>
      </c>
      <c r="H184" s="10">
        <v>2</v>
      </c>
      <c r="I184" s="10"/>
      <c r="J184" s="10"/>
      <c r="K184" s="54"/>
      <c r="L184" s="54"/>
      <c r="M184" s="54"/>
      <c r="N184" s="54" t="s">
        <v>911</v>
      </c>
      <c r="O184" s="53"/>
      <c r="P184" s="51">
        <f>_xlfn.NUMBERVALUE(LEFT(MCC_Table6[[#This Row],[BUCKET]],LEN(MCC_Table6[[#This Row],[BUCKET]])-1))</f>
        <v>13</v>
      </c>
      <c r="Q184" s="51" t="str">
        <f>RIGHT(MCC_Table6[[#This Row],[BUCKET]],1)</f>
        <v>A</v>
      </c>
      <c r="R184" s="51">
        <f>VLOOKUP(MCC_Table6[[#This Row],[START UNIT]],UnitMap[],2,FALSE)</f>
        <v>1</v>
      </c>
      <c r="S184" s="51" cm="1">
        <f t="array" ref="S18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84" s="51">
        <f>IF(ISNUMBER(MCC_Table6[[#This Row],[SIZE]]), MCC_Table6[[#This Row],[SIZE]]/6, 0)</f>
        <v>4</v>
      </c>
      <c r="U184" s="51">
        <f>MCC_Table6[[#This Row],[START INDEX]]+MCC_Table6[[#This Row],[UNITS USED]]-1</f>
        <v>4</v>
      </c>
      <c r="V184" s="12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</row>
    <row r="185" spans="1:52" x14ac:dyDescent="0.3">
      <c r="A185" s="67" t="s">
        <v>1153</v>
      </c>
      <c r="B185" s="51" t="s">
        <v>1216</v>
      </c>
      <c r="C185" s="129" t="s">
        <v>462</v>
      </c>
      <c r="D185" s="135" t="s">
        <v>461</v>
      </c>
      <c r="E185" s="130" t="s">
        <v>462</v>
      </c>
      <c r="F185" s="86">
        <f>IF(ISNUMBER(MCC_Table6[[#This Row],[SIZE]]), MCC_Table6[[#This Row],[SIZE]]/12, 0)</f>
        <v>0.5</v>
      </c>
      <c r="G185" s="10"/>
      <c r="H185" s="10"/>
      <c r="I185" s="10"/>
      <c r="J185" s="10"/>
      <c r="K185" s="54"/>
      <c r="L185" s="54"/>
      <c r="M185" s="54"/>
      <c r="N185" s="54"/>
      <c r="O185" s="53"/>
      <c r="P185" s="51">
        <f>_xlfn.NUMBERVALUE(LEFT(MCC_Table6[[#This Row],[BUCKET]],LEN(MCC_Table6[[#This Row],[BUCKET]])-1))</f>
        <v>13</v>
      </c>
      <c r="Q185" s="51" t="str">
        <f>RIGHT(MCC_Table6[[#This Row],[BUCKET]],1)</f>
        <v>E</v>
      </c>
      <c r="R185" s="51">
        <f>VLOOKUP(MCC_Table6[[#This Row],[START UNIT]],UnitMap[],2,FALSE)</f>
        <v>5</v>
      </c>
      <c r="S185" s="51" cm="1">
        <f t="array" ref="S18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185" s="51">
        <f>IF(ISNUMBER(MCC_Table6[[#This Row],[SIZE]]), MCC_Table6[[#This Row],[SIZE]]/6, 0)</f>
        <v>1</v>
      </c>
      <c r="U185" s="51">
        <f>MCC_Table6[[#This Row],[START INDEX]]+MCC_Table6[[#This Row],[UNITS USED]]-1</f>
        <v>5</v>
      </c>
      <c r="V185" s="12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</row>
    <row r="186" spans="1:52" x14ac:dyDescent="0.3">
      <c r="A186" s="67" t="s">
        <v>1153</v>
      </c>
      <c r="B186" s="51" t="s">
        <v>1217</v>
      </c>
      <c r="C186" s="129" t="s">
        <v>1218</v>
      </c>
      <c r="D186" s="135" t="s">
        <v>1219</v>
      </c>
      <c r="E186" s="130" t="s">
        <v>904</v>
      </c>
      <c r="F186" s="86">
        <f>IF(ISNUMBER(MCC_Table6[[#This Row],[SIZE]]), MCC_Table6[[#This Row],[SIZE]]/12, 0)</f>
        <v>3.5</v>
      </c>
      <c r="G186" s="10">
        <v>100</v>
      </c>
      <c r="H186" s="10">
        <v>100</v>
      </c>
      <c r="I186" s="10"/>
      <c r="J186" s="10"/>
      <c r="K186" s="54">
        <v>250</v>
      </c>
      <c r="L186" s="54">
        <v>250</v>
      </c>
      <c r="M186" s="54">
        <v>225</v>
      </c>
      <c r="N186" s="54" t="s">
        <v>1213</v>
      </c>
      <c r="O186" s="53"/>
      <c r="P186" s="51">
        <f>_xlfn.NUMBERVALUE(LEFT(MCC_Table6[[#This Row],[BUCKET]],LEN(MCC_Table6[[#This Row],[BUCKET]])-1))</f>
        <v>13</v>
      </c>
      <c r="Q186" s="51" t="str">
        <f>RIGHT(MCC_Table6[[#This Row],[BUCKET]],1)</f>
        <v>F</v>
      </c>
      <c r="R186" s="51">
        <f>VLOOKUP(MCC_Table6[[#This Row],[START UNIT]],UnitMap[],2,FALSE)</f>
        <v>6</v>
      </c>
      <c r="S186" s="51" cm="1">
        <f t="array" ref="S18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186" s="51">
        <f>IF(ISNUMBER(MCC_Table6[[#This Row],[SIZE]]), MCC_Table6[[#This Row],[SIZE]]/6, 0)</f>
        <v>7</v>
      </c>
      <c r="U186" s="51">
        <f>MCC_Table6[[#This Row],[START INDEX]]+MCC_Table6[[#This Row],[UNITS USED]]-1</f>
        <v>12</v>
      </c>
      <c r="V186" s="12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</row>
    <row r="187" spans="1:52" x14ac:dyDescent="0.3">
      <c r="A187" s="67" t="s">
        <v>1153</v>
      </c>
      <c r="B187" s="51" t="s">
        <v>963</v>
      </c>
      <c r="C187" s="129" t="s">
        <v>1220</v>
      </c>
      <c r="D187" s="135" t="s">
        <v>946</v>
      </c>
      <c r="E187" s="130" t="s">
        <v>904</v>
      </c>
      <c r="F187" s="86">
        <f>IF(ISNUMBER(MCC_Table6[[#This Row],[SIZE]]), MCC_Table6[[#This Row],[SIZE]]/12, 0)</f>
        <v>3</v>
      </c>
      <c r="G187" s="10">
        <v>15</v>
      </c>
      <c r="H187" s="10">
        <v>15</v>
      </c>
      <c r="I187" s="10"/>
      <c r="J187" s="10"/>
      <c r="K187" s="54">
        <v>60</v>
      </c>
      <c r="L187" s="54">
        <v>125</v>
      </c>
      <c r="M187" s="54">
        <v>40</v>
      </c>
      <c r="N187" s="54" t="s">
        <v>1024</v>
      </c>
      <c r="O187" s="53"/>
      <c r="P187" s="51">
        <f>_xlfn.NUMBERVALUE(LEFT(MCC_Table6[[#This Row],[BUCKET]],LEN(MCC_Table6[[#This Row],[BUCKET]])-1))</f>
        <v>14</v>
      </c>
      <c r="Q187" s="51" t="str">
        <f>RIGHT(MCC_Table6[[#This Row],[BUCKET]],1)</f>
        <v>A</v>
      </c>
      <c r="R187" s="51">
        <f>VLOOKUP(MCC_Table6[[#This Row],[START UNIT]],UnitMap[],2,FALSE)</f>
        <v>1</v>
      </c>
      <c r="S187" s="51" cm="1">
        <f t="array" ref="S18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187" s="51">
        <f>IF(ISNUMBER(MCC_Table6[[#This Row],[SIZE]]), MCC_Table6[[#This Row],[SIZE]]/6, 0)</f>
        <v>6</v>
      </c>
      <c r="U187" s="51">
        <f>MCC_Table6[[#This Row],[START INDEX]]+MCC_Table6[[#This Row],[UNITS USED]]-1</f>
        <v>6</v>
      </c>
      <c r="V187" s="12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</row>
    <row r="188" spans="1:52" x14ac:dyDescent="0.3">
      <c r="A188" s="67" t="s">
        <v>1153</v>
      </c>
      <c r="B188" s="51" t="s">
        <v>1221</v>
      </c>
      <c r="C188" s="129" t="s">
        <v>53</v>
      </c>
      <c r="D188" s="135" t="s">
        <v>920</v>
      </c>
      <c r="E188" s="130" t="s">
        <v>904</v>
      </c>
      <c r="F188" s="86">
        <f>IF(ISNUMBER(MCC_Table6[[#This Row],[SIZE]]), MCC_Table6[[#This Row],[SIZE]]/12, 0)</f>
        <v>2</v>
      </c>
      <c r="G188" s="10"/>
      <c r="H188" s="10"/>
      <c r="I188" s="10"/>
      <c r="J188" s="10"/>
      <c r="K188" s="54">
        <v>15</v>
      </c>
      <c r="L188" s="54">
        <v>125</v>
      </c>
      <c r="M188" s="54">
        <v>10</v>
      </c>
      <c r="N188" s="54" t="s">
        <v>911</v>
      </c>
      <c r="O188" s="53"/>
      <c r="P188" s="51">
        <f>_xlfn.NUMBERVALUE(LEFT(MCC_Table6[[#This Row],[BUCKET]],LEN(MCC_Table6[[#This Row],[BUCKET]])-1))</f>
        <v>14</v>
      </c>
      <c r="Q188" s="51" t="str">
        <f>RIGHT(MCC_Table6[[#This Row],[BUCKET]],1)</f>
        <v>G</v>
      </c>
      <c r="R188" s="51">
        <f>VLOOKUP(MCC_Table6[[#This Row],[START UNIT]],UnitMap[],2,FALSE)</f>
        <v>7</v>
      </c>
      <c r="S188" s="51" cm="1">
        <f t="array" ref="S18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88" s="51">
        <f>IF(ISNUMBER(MCC_Table6[[#This Row],[SIZE]]), MCC_Table6[[#This Row],[SIZE]]/6, 0)</f>
        <v>4</v>
      </c>
      <c r="U188" s="51">
        <f>MCC_Table6[[#This Row],[START INDEX]]+MCC_Table6[[#This Row],[UNITS USED]]-1</f>
        <v>10</v>
      </c>
      <c r="V188" s="12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</row>
    <row r="189" spans="1:52" x14ac:dyDescent="0.3">
      <c r="A189" s="67" t="s">
        <v>1153</v>
      </c>
      <c r="B189" s="51" t="s">
        <v>1222</v>
      </c>
      <c r="C189" s="39" t="s">
        <v>1223</v>
      </c>
      <c r="D189" s="136" t="s">
        <v>992</v>
      </c>
      <c r="E189" s="39" t="s">
        <v>993</v>
      </c>
      <c r="F189" s="86">
        <f>IF(ISNUMBER(MCC_Table6[[#This Row],[SIZE]]), MCC_Table6[[#This Row],[SIZE]]/12, 0)</f>
        <v>1</v>
      </c>
      <c r="G189" s="10"/>
      <c r="H189" s="10"/>
      <c r="I189" s="10"/>
      <c r="J189" s="10"/>
      <c r="K189" s="54"/>
      <c r="L189" s="54"/>
      <c r="M189" s="54"/>
      <c r="N189" s="54"/>
      <c r="O189" s="53"/>
      <c r="P189" s="51">
        <f>_xlfn.NUMBERVALUE(LEFT(MCC_Table6[[#This Row],[BUCKET]],LEN(MCC_Table6[[#This Row],[BUCKET]])-1))</f>
        <v>14</v>
      </c>
      <c r="Q189" s="51" t="str">
        <f>RIGHT(MCC_Table6[[#This Row],[BUCKET]],1)</f>
        <v>L</v>
      </c>
      <c r="R189" s="51">
        <f>VLOOKUP(MCC_Table6[[#This Row],[START UNIT]],UnitMap[],2,FALSE)</f>
        <v>11</v>
      </c>
      <c r="S189" s="51" cm="1">
        <f t="array" ref="S18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89" s="51">
        <f>IF(ISNUMBER(MCC_Table6[[#This Row],[SIZE]]), MCC_Table6[[#This Row],[SIZE]]/6, 0)</f>
        <v>2</v>
      </c>
      <c r="U189" s="51">
        <f>MCC_Table6[[#This Row],[START INDEX]]+MCC_Table6[[#This Row],[UNITS USED]]-1</f>
        <v>12</v>
      </c>
      <c r="V189" s="12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</row>
    <row r="190" spans="1:52" x14ac:dyDescent="0.3">
      <c r="A190" s="67" t="s">
        <v>1153</v>
      </c>
      <c r="B190" s="51" t="s">
        <v>972</v>
      </c>
      <c r="C190" s="129" t="s">
        <v>1224</v>
      </c>
      <c r="D190" s="135" t="s">
        <v>928</v>
      </c>
      <c r="E190" s="130" t="s">
        <v>904</v>
      </c>
      <c r="F190" s="86">
        <f>IF(ISNUMBER(MCC_Table6[[#This Row],[SIZE]]), MCC_Table6[[#This Row],[SIZE]]/12, 0)</f>
        <v>3</v>
      </c>
      <c r="G190" s="10">
        <v>15</v>
      </c>
      <c r="H190" s="10">
        <v>15</v>
      </c>
      <c r="I190" s="10"/>
      <c r="J190" s="10"/>
      <c r="K190" s="54">
        <v>60</v>
      </c>
      <c r="L190" s="54">
        <v>125</v>
      </c>
      <c r="M190" s="54">
        <v>40</v>
      </c>
      <c r="N190" s="54" t="s">
        <v>1024</v>
      </c>
      <c r="O190" s="53"/>
      <c r="P190" s="51">
        <f>_xlfn.NUMBERVALUE(LEFT(MCC_Table6[[#This Row],[BUCKET]],LEN(MCC_Table6[[#This Row],[BUCKET]])-1))</f>
        <v>15</v>
      </c>
      <c r="Q190" s="51" t="str">
        <f>RIGHT(MCC_Table6[[#This Row],[BUCKET]],1)</f>
        <v>A</v>
      </c>
      <c r="R190" s="51">
        <f>VLOOKUP(MCC_Table6[[#This Row],[START UNIT]],UnitMap[],2,FALSE)</f>
        <v>1</v>
      </c>
      <c r="S190" s="51" cm="1">
        <f t="array" ref="S19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190" s="51">
        <f>IF(ISNUMBER(MCC_Table6[[#This Row],[SIZE]]), MCC_Table6[[#This Row],[SIZE]]/6, 0)</f>
        <v>6</v>
      </c>
      <c r="U190" s="51">
        <f>MCC_Table6[[#This Row],[START INDEX]]+MCC_Table6[[#This Row],[UNITS USED]]-1</f>
        <v>6</v>
      </c>
      <c r="V190" s="12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</row>
    <row r="191" spans="1:52" x14ac:dyDescent="0.3">
      <c r="A191" s="67" t="s">
        <v>1153</v>
      </c>
      <c r="B191" s="51" t="s">
        <v>1063</v>
      </c>
      <c r="C191" s="129" t="s">
        <v>462</v>
      </c>
      <c r="D191" s="135" t="s">
        <v>461</v>
      </c>
      <c r="E191" s="130" t="s">
        <v>462</v>
      </c>
      <c r="F191" s="86">
        <f>IF(ISNUMBER(MCC_Table6[[#This Row],[SIZE]]), MCC_Table6[[#This Row],[SIZE]]/12, 0)</f>
        <v>0.5</v>
      </c>
      <c r="G191" s="10"/>
      <c r="H191" s="10"/>
      <c r="I191" s="10"/>
      <c r="J191" s="10"/>
      <c r="K191" s="54"/>
      <c r="L191" s="54"/>
      <c r="M191" s="54"/>
      <c r="N191" s="54"/>
      <c r="O191" s="53"/>
      <c r="P191" s="51">
        <f>_xlfn.NUMBERVALUE(LEFT(MCC_Table6[[#This Row],[BUCKET]],LEN(MCC_Table6[[#This Row],[BUCKET]])-1))</f>
        <v>15</v>
      </c>
      <c r="Q191" s="51" t="str">
        <f>RIGHT(MCC_Table6[[#This Row],[BUCKET]],1)</f>
        <v>G</v>
      </c>
      <c r="R191" s="51">
        <f>VLOOKUP(MCC_Table6[[#This Row],[START UNIT]],UnitMap[],2,FALSE)</f>
        <v>7</v>
      </c>
      <c r="S191" s="51" cm="1">
        <f t="array" ref="S19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191" s="51">
        <f>IF(ISNUMBER(MCC_Table6[[#This Row],[SIZE]]), MCC_Table6[[#This Row],[SIZE]]/6, 0)</f>
        <v>1</v>
      </c>
      <c r="U191" s="51">
        <f>MCC_Table6[[#This Row],[START INDEX]]+MCC_Table6[[#This Row],[UNITS USED]]-1</f>
        <v>7</v>
      </c>
      <c r="V191" s="12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</row>
    <row r="192" spans="1:52" x14ac:dyDescent="0.3">
      <c r="A192" s="67" t="s">
        <v>1153</v>
      </c>
      <c r="B192" s="51" t="s">
        <v>1225</v>
      </c>
      <c r="C192" s="129" t="s">
        <v>1226</v>
      </c>
      <c r="D192" s="135" t="s">
        <v>1227</v>
      </c>
      <c r="E192" s="130" t="s">
        <v>904</v>
      </c>
      <c r="F192" s="86">
        <f>IF(ISNUMBER(MCC_Table6[[#This Row],[SIZE]]), MCC_Table6[[#This Row],[SIZE]]/12, 0)</f>
        <v>2.5</v>
      </c>
      <c r="G192" s="10">
        <v>7.5</v>
      </c>
      <c r="H192" s="10">
        <v>10</v>
      </c>
      <c r="I192" s="10"/>
      <c r="J192" s="10"/>
      <c r="K192" s="54">
        <v>30</v>
      </c>
      <c r="L192" s="54">
        <v>125</v>
      </c>
      <c r="M192" s="54">
        <v>25</v>
      </c>
      <c r="N192" s="54" t="s">
        <v>911</v>
      </c>
      <c r="O192" s="53"/>
      <c r="P192" s="51">
        <f>_xlfn.NUMBERVALUE(LEFT(MCC_Table6[[#This Row],[BUCKET]],LEN(MCC_Table6[[#This Row],[BUCKET]])-1))</f>
        <v>15</v>
      </c>
      <c r="Q192" s="51" t="str">
        <f>RIGHT(MCC_Table6[[#This Row],[BUCKET]],1)</f>
        <v>H</v>
      </c>
      <c r="R192" s="51">
        <f>VLOOKUP(MCC_Table6[[#This Row],[START UNIT]],UnitMap[],2,FALSE)</f>
        <v>8</v>
      </c>
      <c r="S192" s="51" cm="1">
        <f t="array" ref="S19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192" s="51">
        <f>IF(ISNUMBER(MCC_Table6[[#This Row],[SIZE]]), MCC_Table6[[#This Row],[SIZE]]/6, 0)</f>
        <v>5</v>
      </c>
      <c r="U192" s="51">
        <f>MCC_Table6[[#This Row],[START INDEX]]+MCC_Table6[[#This Row],[UNITS USED]]-1</f>
        <v>12</v>
      </c>
      <c r="V192" s="12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</row>
    <row r="193" spans="1:52" x14ac:dyDescent="0.3">
      <c r="A193" s="67" t="s">
        <v>1153</v>
      </c>
      <c r="B193" s="51" t="s">
        <v>974</v>
      </c>
      <c r="C193" s="129" t="s">
        <v>53</v>
      </c>
      <c r="D193" s="135" t="s">
        <v>920</v>
      </c>
      <c r="E193" s="130" t="s">
        <v>904</v>
      </c>
      <c r="F193" s="86">
        <f>IF(ISNUMBER(MCC_Table6[[#This Row],[SIZE]]), MCC_Table6[[#This Row],[SIZE]]/12, 0)</f>
        <v>2</v>
      </c>
      <c r="G193" s="10"/>
      <c r="H193" s="10"/>
      <c r="I193" s="10"/>
      <c r="J193" s="10"/>
      <c r="K193" s="54">
        <v>15</v>
      </c>
      <c r="L193" s="54">
        <v>125</v>
      </c>
      <c r="M193" s="54">
        <v>10</v>
      </c>
      <c r="N193" s="54" t="s">
        <v>911</v>
      </c>
      <c r="O193" s="53"/>
      <c r="P193" s="51">
        <f>_xlfn.NUMBERVALUE(LEFT(MCC_Table6[[#This Row],[BUCKET]],LEN(MCC_Table6[[#This Row],[BUCKET]])-1))</f>
        <v>16</v>
      </c>
      <c r="Q193" s="51" t="str">
        <f>RIGHT(MCC_Table6[[#This Row],[BUCKET]],1)</f>
        <v>A</v>
      </c>
      <c r="R193" s="51">
        <f>VLOOKUP(MCC_Table6[[#This Row],[START UNIT]],UnitMap[],2,FALSE)</f>
        <v>1</v>
      </c>
      <c r="S193" s="51" cm="1">
        <f t="array" ref="S19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93" s="51">
        <f>IF(ISNUMBER(MCC_Table6[[#This Row],[SIZE]]), MCC_Table6[[#This Row],[SIZE]]/6, 0)</f>
        <v>4</v>
      </c>
      <c r="U193" s="51">
        <f>MCC_Table6[[#This Row],[START INDEX]]+MCC_Table6[[#This Row],[UNITS USED]]-1</f>
        <v>4</v>
      </c>
      <c r="V193" s="12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</row>
    <row r="194" spans="1:52" x14ac:dyDescent="0.3">
      <c r="A194" s="67" t="s">
        <v>1153</v>
      </c>
      <c r="B194" s="51" t="s">
        <v>976</v>
      </c>
      <c r="C194" s="129" t="s">
        <v>1228</v>
      </c>
      <c r="D194" s="135" t="s">
        <v>923</v>
      </c>
      <c r="E194" s="130" t="s">
        <v>904</v>
      </c>
      <c r="F194" s="86">
        <f>IF(ISNUMBER(MCC_Table6[[#This Row],[SIZE]]), MCC_Table6[[#This Row],[SIZE]]/12, 0)</f>
        <v>2</v>
      </c>
      <c r="G194" s="10">
        <v>2</v>
      </c>
      <c r="H194" s="10">
        <v>2</v>
      </c>
      <c r="I194" s="10"/>
      <c r="J194" s="10"/>
      <c r="K194" s="54">
        <v>15</v>
      </c>
      <c r="L194" s="54">
        <v>125</v>
      </c>
      <c r="M194" s="54">
        <v>10</v>
      </c>
      <c r="N194" s="54" t="s">
        <v>911</v>
      </c>
      <c r="O194" s="53"/>
      <c r="P194" s="51">
        <f>_xlfn.NUMBERVALUE(LEFT(MCC_Table6[[#This Row],[BUCKET]],LEN(MCC_Table6[[#This Row],[BUCKET]])-1))</f>
        <v>16</v>
      </c>
      <c r="Q194" s="51" t="str">
        <f>RIGHT(MCC_Table6[[#This Row],[BUCKET]],1)</f>
        <v>E</v>
      </c>
      <c r="R194" s="51">
        <f>VLOOKUP(MCC_Table6[[#This Row],[START UNIT]],UnitMap[],2,FALSE)</f>
        <v>5</v>
      </c>
      <c r="S194" s="51" cm="1">
        <f t="array" ref="S19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94" s="51">
        <f>IF(ISNUMBER(MCC_Table6[[#This Row],[SIZE]]), MCC_Table6[[#This Row],[SIZE]]/6, 0)</f>
        <v>4</v>
      </c>
      <c r="U194" s="51">
        <f>MCC_Table6[[#This Row],[START INDEX]]+MCC_Table6[[#This Row],[UNITS USED]]-1</f>
        <v>8</v>
      </c>
      <c r="V194" s="12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</row>
    <row r="195" spans="1:52" x14ac:dyDescent="0.3">
      <c r="A195" s="67" t="s">
        <v>1153</v>
      </c>
      <c r="B195" s="51" t="s">
        <v>979</v>
      </c>
      <c r="C195" s="129" t="s">
        <v>1229</v>
      </c>
      <c r="D195" s="135" t="s">
        <v>1230</v>
      </c>
      <c r="E195" s="130" t="s">
        <v>892</v>
      </c>
      <c r="F195" s="86">
        <f>IF(ISNUMBER(MCC_Table6[[#This Row],[SIZE]]), MCC_Table6[[#This Row],[SIZE]]/12, 0)</f>
        <v>1</v>
      </c>
      <c r="G195" s="10">
        <v>1.5</v>
      </c>
      <c r="H195" s="10">
        <v>2</v>
      </c>
      <c r="I195" s="10"/>
      <c r="J195" s="10">
        <v>1</v>
      </c>
      <c r="K195" s="54">
        <v>7</v>
      </c>
      <c r="L195" s="54">
        <v>125</v>
      </c>
      <c r="M195" s="54"/>
      <c r="N195" s="54" t="s">
        <v>911</v>
      </c>
      <c r="O195" s="53"/>
      <c r="P195" s="51">
        <f>_xlfn.NUMBERVALUE(LEFT(MCC_Table6[[#This Row],[BUCKET]],LEN(MCC_Table6[[#This Row],[BUCKET]])-1))</f>
        <v>16</v>
      </c>
      <c r="Q195" s="51" t="str">
        <f>RIGHT(MCC_Table6[[#This Row],[BUCKET]],1)</f>
        <v>J</v>
      </c>
      <c r="R195" s="51">
        <f>VLOOKUP(MCC_Table6[[#This Row],[START UNIT]],UnitMap[],2,FALSE)</f>
        <v>9</v>
      </c>
      <c r="S195" s="51" cm="1">
        <f t="array" ref="S19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95" s="51">
        <f>IF(ISNUMBER(MCC_Table6[[#This Row],[SIZE]]), MCC_Table6[[#This Row],[SIZE]]/6, 0)</f>
        <v>2</v>
      </c>
      <c r="U195" s="51">
        <f>MCC_Table6[[#This Row],[START INDEX]]+MCC_Table6[[#This Row],[UNITS USED]]-1</f>
        <v>10</v>
      </c>
      <c r="V195" s="12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</row>
    <row r="196" spans="1:52" x14ac:dyDescent="0.3">
      <c r="A196" s="67" t="s">
        <v>1153</v>
      </c>
      <c r="B196" s="51" t="s">
        <v>1072</v>
      </c>
      <c r="C196" s="129" t="s">
        <v>462</v>
      </c>
      <c r="D196" s="135" t="s">
        <v>496</v>
      </c>
      <c r="E196" s="130" t="s">
        <v>462</v>
      </c>
      <c r="F196" s="86">
        <f>IF(ISNUMBER(MCC_Table6[[#This Row],[SIZE]]), MCC_Table6[[#This Row],[SIZE]]/12, 0)</f>
        <v>1</v>
      </c>
      <c r="G196" s="10"/>
      <c r="H196" s="10"/>
      <c r="I196" s="10"/>
      <c r="J196" s="10"/>
      <c r="K196" s="54"/>
      <c r="L196" s="54"/>
      <c r="M196" s="54"/>
      <c r="N196" s="54"/>
      <c r="O196" s="53"/>
      <c r="P196" s="51">
        <f>_xlfn.NUMBERVALUE(LEFT(MCC_Table6[[#This Row],[BUCKET]],LEN(MCC_Table6[[#This Row],[BUCKET]])-1))</f>
        <v>16</v>
      </c>
      <c r="Q196" s="51" t="str">
        <f>RIGHT(MCC_Table6[[#This Row],[BUCKET]],1)</f>
        <v>L</v>
      </c>
      <c r="R196" s="51">
        <f>VLOOKUP(MCC_Table6[[#This Row],[START UNIT]],UnitMap[],2,FALSE)</f>
        <v>11</v>
      </c>
      <c r="S196" s="51" cm="1">
        <f t="array" ref="S19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196" s="51">
        <f>IF(ISNUMBER(MCC_Table6[[#This Row],[SIZE]]), MCC_Table6[[#This Row],[SIZE]]/6, 0)</f>
        <v>2</v>
      </c>
      <c r="U196" s="51">
        <f>MCC_Table6[[#This Row],[START INDEX]]+MCC_Table6[[#This Row],[UNITS USED]]-1</f>
        <v>12</v>
      </c>
      <c r="V196" s="12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</row>
    <row r="197" spans="1:52" x14ac:dyDescent="0.3">
      <c r="A197" s="67" t="s">
        <v>1153</v>
      </c>
      <c r="B197" s="51" t="s">
        <v>982</v>
      </c>
      <c r="C197" s="129" t="s">
        <v>1231</v>
      </c>
      <c r="D197" s="135" t="s">
        <v>1232</v>
      </c>
      <c r="E197" s="130" t="s">
        <v>904</v>
      </c>
      <c r="F197" s="86">
        <f>IF(ISNUMBER(MCC_Table6[[#This Row],[SIZE]]), MCC_Table6[[#This Row],[SIZE]]/12, 0)</f>
        <v>2</v>
      </c>
      <c r="G197" s="10">
        <v>5</v>
      </c>
      <c r="H197" s="10">
        <v>5</v>
      </c>
      <c r="I197" s="10"/>
      <c r="J197" s="10"/>
      <c r="K197" s="54">
        <v>20</v>
      </c>
      <c r="L197" s="54">
        <v>125</v>
      </c>
      <c r="M197" s="54">
        <v>20</v>
      </c>
      <c r="N197" s="54" t="s">
        <v>911</v>
      </c>
      <c r="O197" s="53"/>
      <c r="P197" s="51">
        <f>_xlfn.NUMBERVALUE(LEFT(MCC_Table6[[#This Row],[BUCKET]],LEN(MCC_Table6[[#This Row],[BUCKET]])-1))</f>
        <v>17</v>
      </c>
      <c r="Q197" s="51" t="str">
        <f>RIGHT(MCC_Table6[[#This Row],[BUCKET]],1)</f>
        <v>A</v>
      </c>
      <c r="R197" s="51">
        <f>VLOOKUP(MCC_Table6[[#This Row],[START UNIT]],UnitMap[],2,FALSE)</f>
        <v>1</v>
      </c>
      <c r="S197" s="51" cm="1">
        <f t="array" ref="S19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97" s="51">
        <f>IF(ISNUMBER(MCC_Table6[[#This Row],[SIZE]]), MCC_Table6[[#This Row],[SIZE]]/6, 0)</f>
        <v>4</v>
      </c>
      <c r="U197" s="51">
        <f>MCC_Table6[[#This Row],[START INDEX]]+MCC_Table6[[#This Row],[UNITS USED]]-1</f>
        <v>4</v>
      </c>
      <c r="V197" s="12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</row>
    <row r="198" spans="1:52" x14ac:dyDescent="0.3">
      <c r="A198" s="67" t="s">
        <v>1153</v>
      </c>
      <c r="B198" s="51" t="s">
        <v>1233</v>
      </c>
      <c r="C198" s="129" t="s">
        <v>1234</v>
      </c>
      <c r="D198" s="135" t="s">
        <v>1235</v>
      </c>
      <c r="E198" s="130" t="s">
        <v>904</v>
      </c>
      <c r="F198" s="86">
        <f>IF(ISNUMBER(MCC_Table6[[#This Row],[SIZE]]), MCC_Table6[[#This Row],[SIZE]]/12, 0)</f>
        <v>2</v>
      </c>
      <c r="G198" s="10">
        <v>5</v>
      </c>
      <c r="H198" s="10">
        <v>5</v>
      </c>
      <c r="I198" s="10"/>
      <c r="J198" s="10"/>
      <c r="K198" s="54">
        <v>20</v>
      </c>
      <c r="L198" s="54">
        <v>125</v>
      </c>
      <c r="M198" s="54">
        <v>20</v>
      </c>
      <c r="N198" s="54" t="s">
        <v>911</v>
      </c>
      <c r="O198" s="53"/>
      <c r="P198" s="51">
        <f>_xlfn.NUMBERVALUE(LEFT(MCC_Table6[[#This Row],[BUCKET]],LEN(MCC_Table6[[#This Row],[BUCKET]])-1))</f>
        <v>17</v>
      </c>
      <c r="Q198" s="51" t="str">
        <f>RIGHT(MCC_Table6[[#This Row],[BUCKET]],1)</f>
        <v>E</v>
      </c>
      <c r="R198" s="51">
        <f>VLOOKUP(MCC_Table6[[#This Row],[START UNIT]],UnitMap[],2,FALSE)</f>
        <v>5</v>
      </c>
      <c r="S198" s="51" cm="1">
        <f t="array" ref="S19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98" s="51">
        <f>IF(ISNUMBER(MCC_Table6[[#This Row],[SIZE]]), MCC_Table6[[#This Row],[SIZE]]/6, 0)</f>
        <v>4</v>
      </c>
      <c r="U198" s="51">
        <f>MCC_Table6[[#This Row],[START INDEX]]+MCC_Table6[[#This Row],[UNITS USED]]-1</f>
        <v>8</v>
      </c>
      <c r="V198" s="12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</row>
    <row r="199" spans="1:52" x14ac:dyDescent="0.3">
      <c r="A199" s="67" t="s">
        <v>1153</v>
      </c>
      <c r="B199" s="51" t="s">
        <v>1236</v>
      </c>
      <c r="C199" s="129" t="s">
        <v>1237</v>
      </c>
      <c r="D199" s="135" t="s">
        <v>1238</v>
      </c>
      <c r="E199" s="130" t="s">
        <v>904</v>
      </c>
      <c r="F199" s="86">
        <f>IF(ISNUMBER(MCC_Table6[[#This Row],[SIZE]]), MCC_Table6[[#This Row],[SIZE]]/12, 0)</f>
        <v>2</v>
      </c>
      <c r="G199" s="10">
        <v>5</v>
      </c>
      <c r="H199" s="10">
        <v>5</v>
      </c>
      <c r="I199" s="10"/>
      <c r="J199" s="10"/>
      <c r="K199" s="54">
        <v>20</v>
      </c>
      <c r="L199" s="54">
        <v>125</v>
      </c>
      <c r="M199" s="54">
        <v>20</v>
      </c>
      <c r="N199" s="54" t="s">
        <v>911</v>
      </c>
      <c r="O199" s="53"/>
      <c r="P199" s="51">
        <f>_xlfn.NUMBERVALUE(LEFT(MCC_Table6[[#This Row],[BUCKET]],LEN(MCC_Table6[[#This Row],[BUCKET]])-1))</f>
        <v>17</v>
      </c>
      <c r="Q199" s="51" t="str">
        <f>RIGHT(MCC_Table6[[#This Row],[BUCKET]],1)</f>
        <v>J</v>
      </c>
      <c r="R199" s="51">
        <f>VLOOKUP(MCC_Table6[[#This Row],[START UNIT]],UnitMap[],2,FALSE)</f>
        <v>9</v>
      </c>
      <c r="S199" s="51" cm="1">
        <f t="array" ref="S19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199" s="51">
        <f>IF(ISNUMBER(MCC_Table6[[#This Row],[SIZE]]), MCC_Table6[[#This Row],[SIZE]]/6, 0)</f>
        <v>4</v>
      </c>
      <c r="U199" s="51">
        <f>MCC_Table6[[#This Row],[START INDEX]]+MCC_Table6[[#This Row],[UNITS USED]]-1</f>
        <v>12</v>
      </c>
      <c r="V199" s="12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</row>
    <row r="200" spans="1:52" x14ac:dyDescent="0.3">
      <c r="A200" s="67" t="s">
        <v>1153</v>
      </c>
      <c r="B200" s="51" t="s">
        <v>986</v>
      </c>
      <c r="C200" s="129" t="s">
        <v>1239</v>
      </c>
      <c r="D200" s="135" t="s">
        <v>1240</v>
      </c>
      <c r="E200" s="130" t="s">
        <v>904</v>
      </c>
      <c r="F200" s="86">
        <f>IF(ISNUMBER(MCC_Table6[[#This Row],[SIZE]]), MCC_Table6[[#This Row],[SIZE]]/12, 0)</f>
        <v>2</v>
      </c>
      <c r="G200" s="10">
        <v>5</v>
      </c>
      <c r="H200" s="10">
        <v>5</v>
      </c>
      <c r="I200" s="10"/>
      <c r="J200" s="10"/>
      <c r="K200" s="54">
        <v>20</v>
      </c>
      <c r="L200" s="54">
        <v>125</v>
      </c>
      <c r="M200" s="54">
        <v>20</v>
      </c>
      <c r="N200" s="54" t="s">
        <v>911</v>
      </c>
      <c r="O200" s="53"/>
      <c r="P200" s="51">
        <f>_xlfn.NUMBERVALUE(LEFT(MCC_Table6[[#This Row],[BUCKET]],LEN(MCC_Table6[[#This Row],[BUCKET]])-1))</f>
        <v>18</v>
      </c>
      <c r="Q200" s="51" t="str">
        <f>RIGHT(MCC_Table6[[#This Row],[BUCKET]],1)</f>
        <v>A</v>
      </c>
      <c r="R200" s="51">
        <f>VLOOKUP(MCC_Table6[[#This Row],[START UNIT]],UnitMap[],2,FALSE)</f>
        <v>1</v>
      </c>
      <c r="S200" s="51" cm="1">
        <f t="array" ref="S20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00" s="51">
        <f>IF(ISNUMBER(MCC_Table6[[#This Row],[SIZE]]), MCC_Table6[[#This Row],[SIZE]]/6, 0)</f>
        <v>4</v>
      </c>
      <c r="U200" s="51">
        <f>MCC_Table6[[#This Row],[START INDEX]]+MCC_Table6[[#This Row],[UNITS USED]]-1</f>
        <v>4</v>
      </c>
      <c r="V200" s="12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</row>
    <row r="201" spans="1:52" x14ac:dyDescent="0.3">
      <c r="A201" s="67" t="s">
        <v>1153</v>
      </c>
      <c r="B201" s="51" t="s">
        <v>1241</v>
      </c>
      <c r="C201" s="129" t="s">
        <v>1242</v>
      </c>
      <c r="D201" s="135" t="s">
        <v>1243</v>
      </c>
      <c r="E201" s="130" t="s">
        <v>1056</v>
      </c>
      <c r="F201" s="86">
        <f>IF(ISNUMBER(MCC_Table6[[#This Row],[SIZE]]), MCC_Table6[[#This Row],[SIZE]]/12, 0)</f>
        <v>1.5</v>
      </c>
      <c r="G201" s="10">
        <v>1.5</v>
      </c>
      <c r="H201" s="10">
        <v>2</v>
      </c>
      <c r="I201" s="10"/>
      <c r="J201" s="10">
        <v>1</v>
      </c>
      <c r="K201" s="54">
        <v>7</v>
      </c>
      <c r="L201" s="54">
        <v>125</v>
      </c>
      <c r="M201" s="54" t="s">
        <v>303</v>
      </c>
      <c r="N201" s="54" t="s">
        <v>911</v>
      </c>
      <c r="O201" s="53"/>
      <c r="P201" s="51">
        <f>_xlfn.NUMBERVALUE(LEFT(MCC_Table6[[#This Row],[BUCKET]],LEN(MCC_Table6[[#This Row],[BUCKET]])-1))</f>
        <v>18</v>
      </c>
      <c r="Q201" s="51" t="str">
        <f>RIGHT(MCC_Table6[[#This Row],[BUCKET]],1)</f>
        <v>E</v>
      </c>
      <c r="R201" s="51">
        <f>VLOOKUP(MCC_Table6[[#This Row],[START UNIT]],UnitMap[],2,FALSE)</f>
        <v>5</v>
      </c>
      <c r="S201" s="51" cm="1">
        <f t="array" ref="S20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201" s="51">
        <f>IF(ISNUMBER(MCC_Table6[[#This Row],[SIZE]]), MCC_Table6[[#This Row],[SIZE]]/6, 0)</f>
        <v>3</v>
      </c>
      <c r="U201" s="51">
        <f>MCC_Table6[[#This Row],[START INDEX]]+MCC_Table6[[#This Row],[UNITS USED]]-1</f>
        <v>7</v>
      </c>
      <c r="V201" s="12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</row>
    <row r="202" spans="1:52" x14ac:dyDescent="0.3">
      <c r="A202" s="67" t="s">
        <v>1153</v>
      </c>
      <c r="B202" s="51" t="s">
        <v>1244</v>
      </c>
      <c r="C202" s="129" t="s">
        <v>1245</v>
      </c>
      <c r="D202" s="135" t="s">
        <v>1246</v>
      </c>
      <c r="E202" s="130" t="s">
        <v>904</v>
      </c>
      <c r="F202" s="86">
        <f>IF(ISNUMBER(MCC_Table6[[#This Row],[SIZE]]), MCC_Table6[[#This Row],[SIZE]]/12, 0)</f>
        <v>2.5</v>
      </c>
      <c r="G202" s="10">
        <v>7.5</v>
      </c>
      <c r="H202" s="10">
        <v>10</v>
      </c>
      <c r="I202" s="10"/>
      <c r="J202" s="10"/>
      <c r="K202" s="54">
        <v>30</v>
      </c>
      <c r="L202" s="54">
        <v>125</v>
      </c>
      <c r="M202" s="54">
        <v>25</v>
      </c>
      <c r="N202" s="54" t="s">
        <v>911</v>
      </c>
      <c r="O202" s="53"/>
      <c r="P202" s="51">
        <f>_xlfn.NUMBERVALUE(LEFT(MCC_Table6[[#This Row],[BUCKET]],LEN(MCC_Table6[[#This Row],[BUCKET]])-1))</f>
        <v>18</v>
      </c>
      <c r="Q202" s="51" t="str">
        <f>RIGHT(MCC_Table6[[#This Row],[BUCKET]],1)</f>
        <v>H</v>
      </c>
      <c r="R202" s="51">
        <f>VLOOKUP(MCC_Table6[[#This Row],[START UNIT]],UnitMap[],2,FALSE)</f>
        <v>8</v>
      </c>
      <c r="S202" s="51" cm="1">
        <f t="array" ref="S20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02" s="51">
        <f>IF(ISNUMBER(MCC_Table6[[#This Row],[SIZE]]), MCC_Table6[[#This Row],[SIZE]]/6, 0)</f>
        <v>5</v>
      </c>
      <c r="U202" s="51">
        <f>MCC_Table6[[#This Row],[START INDEX]]+MCC_Table6[[#This Row],[UNITS USED]]-1</f>
        <v>12</v>
      </c>
      <c r="V202" s="12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</row>
    <row r="203" spans="1:52" x14ac:dyDescent="0.3">
      <c r="A203" s="67" t="s">
        <v>1153</v>
      </c>
      <c r="B203" s="51" t="s">
        <v>1084</v>
      </c>
      <c r="C203" s="129" t="s">
        <v>53</v>
      </c>
      <c r="D203" s="135" t="s">
        <v>560</v>
      </c>
      <c r="E203" s="130" t="s">
        <v>904</v>
      </c>
      <c r="F203" s="86">
        <f>IF(ISNUMBER(MCC_Table6[[#This Row],[SIZE]]), MCC_Table6[[#This Row],[SIZE]]/12, 0)</f>
        <v>2</v>
      </c>
      <c r="G203" s="10"/>
      <c r="H203" s="10"/>
      <c r="I203" s="10"/>
      <c r="J203" s="10"/>
      <c r="K203" s="54">
        <v>20</v>
      </c>
      <c r="L203" s="54">
        <v>125</v>
      </c>
      <c r="M203" s="54">
        <v>20</v>
      </c>
      <c r="N203" s="54" t="s">
        <v>1024</v>
      </c>
      <c r="O203" s="53"/>
      <c r="P203" s="51">
        <f>_xlfn.NUMBERVALUE(LEFT(MCC_Table6[[#This Row],[BUCKET]],LEN(MCC_Table6[[#This Row],[BUCKET]])-1))</f>
        <v>19</v>
      </c>
      <c r="Q203" s="51" t="str">
        <f>RIGHT(MCC_Table6[[#This Row],[BUCKET]],1)</f>
        <v>A</v>
      </c>
      <c r="R203" s="51">
        <f>VLOOKUP(MCC_Table6[[#This Row],[START UNIT]],UnitMap[],2,FALSE)</f>
        <v>1</v>
      </c>
      <c r="S203" s="51" cm="1">
        <f t="array" ref="S20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03" s="51">
        <f>IF(ISNUMBER(MCC_Table6[[#This Row],[SIZE]]), MCC_Table6[[#This Row],[SIZE]]/6, 0)</f>
        <v>4</v>
      </c>
      <c r="U203" s="51">
        <f>MCC_Table6[[#This Row],[START INDEX]]+MCC_Table6[[#This Row],[UNITS USED]]-1</f>
        <v>4</v>
      </c>
      <c r="V203" s="12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</row>
    <row r="204" spans="1:52" x14ac:dyDescent="0.3">
      <c r="A204" s="67" t="s">
        <v>1153</v>
      </c>
      <c r="B204" s="51" t="s">
        <v>1247</v>
      </c>
      <c r="C204" s="144" t="s">
        <v>1248</v>
      </c>
      <c r="D204" s="135" t="s">
        <v>1249</v>
      </c>
      <c r="E204" s="130" t="s">
        <v>892</v>
      </c>
      <c r="F204" s="86">
        <f>IF(ISNUMBER(MCC_Table6[[#This Row],[SIZE]]), MCC_Table6[[#This Row],[SIZE]]/12, 0)</f>
        <v>1.5</v>
      </c>
      <c r="G204" s="10">
        <v>40</v>
      </c>
      <c r="H204" s="10">
        <v>40</v>
      </c>
      <c r="I204" s="10"/>
      <c r="J204" s="10">
        <v>1</v>
      </c>
      <c r="K204" s="54">
        <v>70</v>
      </c>
      <c r="L204" s="54">
        <v>125</v>
      </c>
      <c r="M204" s="54">
        <v>50</v>
      </c>
      <c r="N204" s="54" t="s">
        <v>1250</v>
      </c>
      <c r="O204" s="53"/>
      <c r="P204" s="51">
        <f>_xlfn.NUMBERVALUE(LEFT(MCC_Table6[[#This Row],[BUCKET]],LEN(MCC_Table6[[#This Row],[BUCKET]])-1))</f>
        <v>19</v>
      </c>
      <c r="Q204" s="51" t="str">
        <f>RIGHT(MCC_Table6[[#This Row],[BUCKET]],1)</f>
        <v>E</v>
      </c>
      <c r="R204" s="51">
        <f>VLOOKUP(MCC_Table6[[#This Row],[START UNIT]],UnitMap[],2,FALSE)</f>
        <v>5</v>
      </c>
      <c r="S204" s="51" cm="1">
        <f t="array" ref="S20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204" s="51">
        <f>IF(ISNUMBER(MCC_Table6[[#This Row],[SIZE]]), MCC_Table6[[#This Row],[SIZE]]/6, 0)</f>
        <v>3</v>
      </c>
      <c r="U204" s="51">
        <f>MCC_Table6[[#This Row],[START INDEX]]+MCC_Table6[[#This Row],[UNITS USED]]-1</f>
        <v>7</v>
      </c>
      <c r="V204" s="12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</row>
    <row r="205" spans="1:52" x14ac:dyDescent="0.3">
      <c r="A205" s="67" t="s">
        <v>1153</v>
      </c>
      <c r="B205" s="51" t="s">
        <v>1087</v>
      </c>
      <c r="C205" s="129" t="s">
        <v>462</v>
      </c>
      <c r="D205" s="135" t="s">
        <v>461</v>
      </c>
      <c r="E205" s="130" t="s">
        <v>462</v>
      </c>
      <c r="F205" s="86">
        <f>IF(ISNUMBER(MCC_Table6[[#This Row],[SIZE]]), MCC_Table6[[#This Row],[SIZE]]/12, 0)</f>
        <v>0.5</v>
      </c>
      <c r="G205" s="10"/>
      <c r="H205" s="10"/>
      <c r="I205" s="10"/>
      <c r="J205" s="10"/>
      <c r="K205" s="54"/>
      <c r="L205" s="54"/>
      <c r="M205" s="54"/>
      <c r="N205" s="54"/>
      <c r="O205" s="53"/>
      <c r="P205" s="51">
        <f>_xlfn.NUMBERVALUE(LEFT(MCC_Table6[[#This Row],[BUCKET]],LEN(MCC_Table6[[#This Row],[BUCKET]])-1))</f>
        <v>19</v>
      </c>
      <c r="Q205" s="51" t="str">
        <f>RIGHT(MCC_Table6[[#This Row],[BUCKET]],1)</f>
        <v>H</v>
      </c>
      <c r="R205" s="51">
        <f>VLOOKUP(MCC_Table6[[#This Row],[START UNIT]],UnitMap[],2,FALSE)</f>
        <v>8</v>
      </c>
      <c r="S205" s="51" cm="1">
        <f t="array" ref="S20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205" s="51">
        <f>IF(ISNUMBER(MCC_Table6[[#This Row],[SIZE]]), MCC_Table6[[#This Row],[SIZE]]/6, 0)</f>
        <v>1</v>
      </c>
      <c r="U205" s="51">
        <f>MCC_Table6[[#This Row],[START INDEX]]+MCC_Table6[[#This Row],[UNITS USED]]-1</f>
        <v>8</v>
      </c>
      <c r="V205" s="12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</row>
    <row r="206" spans="1:52" x14ac:dyDescent="0.3">
      <c r="A206" s="67" t="s">
        <v>1153</v>
      </c>
      <c r="B206" s="51" t="s">
        <v>1251</v>
      </c>
      <c r="C206" s="129" t="s">
        <v>1252</v>
      </c>
      <c r="D206" s="135" t="s">
        <v>1210</v>
      </c>
      <c r="E206" s="130" t="s">
        <v>904</v>
      </c>
      <c r="F206" s="86">
        <f>IF(ISNUMBER(MCC_Table6[[#This Row],[SIZE]]), MCC_Table6[[#This Row],[SIZE]]/12, 0)</f>
        <v>2</v>
      </c>
      <c r="G206" s="10">
        <v>1</v>
      </c>
      <c r="H206" s="10">
        <v>2</v>
      </c>
      <c r="I206" s="10"/>
      <c r="J206" s="10"/>
      <c r="K206" s="54">
        <v>15</v>
      </c>
      <c r="L206" s="54">
        <v>125</v>
      </c>
      <c r="M206" s="54">
        <v>3</v>
      </c>
      <c r="N206" s="54" t="s">
        <v>911</v>
      </c>
      <c r="O206" s="53"/>
      <c r="P206" s="51">
        <f>_xlfn.NUMBERVALUE(LEFT(MCC_Table6[[#This Row],[BUCKET]],LEN(MCC_Table6[[#This Row],[BUCKET]])-1))</f>
        <v>19</v>
      </c>
      <c r="Q206" s="51" t="str">
        <f>RIGHT(MCC_Table6[[#This Row],[BUCKET]],1)</f>
        <v>J</v>
      </c>
      <c r="R206" s="51">
        <f>VLOOKUP(MCC_Table6[[#This Row],[START UNIT]],UnitMap[],2,FALSE)</f>
        <v>9</v>
      </c>
      <c r="S206" s="51" cm="1">
        <f t="array" ref="S20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06" s="51">
        <f>IF(ISNUMBER(MCC_Table6[[#This Row],[SIZE]]), MCC_Table6[[#This Row],[SIZE]]/6, 0)</f>
        <v>4</v>
      </c>
      <c r="U206" s="51">
        <f>MCC_Table6[[#This Row],[START INDEX]]+MCC_Table6[[#This Row],[UNITS USED]]-1</f>
        <v>12</v>
      </c>
      <c r="V206" s="12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</row>
    <row r="207" spans="1:52" x14ac:dyDescent="0.3">
      <c r="A207" s="67" t="s">
        <v>1253</v>
      </c>
      <c r="B207" s="51" t="s">
        <v>450</v>
      </c>
      <c r="C207" s="55" t="s">
        <v>451</v>
      </c>
      <c r="D207" s="139" t="s">
        <v>452</v>
      </c>
      <c r="E207" s="130" t="s">
        <v>451</v>
      </c>
      <c r="F207" s="86">
        <f>IF(ISNUMBER(MCC_Table6[[#This Row],[SIZE]]), MCC_Table6[[#This Row],[SIZE]]/12, 0)</f>
        <v>2.5</v>
      </c>
      <c r="G207" s="10"/>
      <c r="H207" s="10"/>
      <c r="I207" s="10"/>
      <c r="J207" s="10"/>
      <c r="K207" s="54"/>
      <c r="L207" s="54"/>
      <c r="M207" s="54"/>
      <c r="N207" s="54"/>
      <c r="O207" s="53"/>
      <c r="P207" s="51">
        <f>_xlfn.NUMBERVALUE(LEFT(MCC_Table6[[#This Row],[BUCKET]],LEN(MCC_Table6[[#This Row],[BUCKET]])-1))</f>
        <v>1</v>
      </c>
      <c r="Q207" s="51" t="str">
        <f>RIGHT(MCC_Table6[[#This Row],[BUCKET]],1)</f>
        <v>A</v>
      </c>
      <c r="R207" s="51">
        <f>VLOOKUP(MCC_Table6[[#This Row],[START UNIT]],UnitMap[],2,FALSE)</f>
        <v>1</v>
      </c>
      <c r="S207" s="51" cm="1">
        <f t="array" ref="S20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07" s="51">
        <f>IF(ISNUMBER(MCC_Table6[[#This Row],[SIZE]]), MCC_Table6[[#This Row],[SIZE]]/6, 0)</f>
        <v>5</v>
      </c>
      <c r="U207" s="51">
        <f>MCC_Table6[[#This Row],[START INDEX]]+MCC_Table6[[#This Row],[UNITS USED]]-1</f>
        <v>5</v>
      </c>
      <c r="V207" s="12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</row>
    <row r="208" spans="1:52" x14ac:dyDescent="0.3">
      <c r="A208" s="67" t="s">
        <v>1253</v>
      </c>
      <c r="B208" s="51" t="s">
        <v>1254</v>
      </c>
      <c r="C208" s="55" t="s">
        <v>1255</v>
      </c>
      <c r="D208" s="139" t="s">
        <v>457</v>
      </c>
      <c r="E208" s="55" t="s">
        <v>458</v>
      </c>
      <c r="F208" s="88">
        <f>IF(ISNUMBER(MCC_Table6[[#This Row],[SIZE]]), MCC_Table6[[#This Row],[SIZE]]/12, 0)</f>
        <v>1.5</v>
      </c>
      <c r="G208" s="14"/>
      <c r="H208" s="14"/>
      <c r="I208" s="14"/>
      <c r="J208" s="14"/>
      <c r="K208" s="106" t="s">
        <v>303</v>
      </c>
      <c r="L208" s="54" t="s">
        <v>303</v>
      </c>
      <c r="M208" s="106">
        <v>0.75</v>
      </c>
      <c r="N208" s="54"/>
      <c r="O208" s="53"/>
      <c r="P208" s="85">
        <f>_xlfn.NUMBERVALUE(LEFT(MCC_Table6[[#This Row],[BUCKET]],LEN(MCC_Table6[[#This Row],[BUCKET]])-1))</f>
        <v>1</v>
      </c>
      <c r="Q208" s="85" t="str">
        <f>RIGHT(MCC_Table6[[#This Row],[BUCKET]],1)</f>
        <v>F</v>
      </c>
      <c r="R208" s="85">
        <f>VLOOKUP(MCC_Table6[[#This Row],[START UNIT]],UnitMap[],2,FALSE)</f>
        <v>6</v>
      </c>
      <c r="S208" s="85" cm="1">
        <f t="array" ref="S20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208" s="85">
        <f>IF(ISNUMBER(MCC_Table6[[#This Row],[SIZE]]), MCC_Table6[[#This Row],[SIZE]]/6, 0)</f>
        <v>3</v>
      </c>
      <c r="U208" s="85">
        <f>MCC_Table6[[#This Row],[START INDEX]]+MCC_Table6[[#This Row],[UNITS USED]]-1</f>
        <v>8</v>
      </c>
      <c r="V208" s="12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</row>
    <row r="209" spans="1:52" x14ac:dyDescent="0.3">
      <c r="A209" s="67" t="s">
        <v>1253</v>
      </c>
      <c r="B209" s="51" t="s">
        <v>465</v>
      </c>
      <c r="C209" s="129" t="s">
        <v>462</v>
      </c>
      <c r="D209" s="135" t="s">
        <v>461</v>
      </c>
      <c r="E209" s="130" t="s">
        <v>462</v>
      </c>
      <c r="F209" s="86">
        <f>IF(ISNUMBER(MCC_Table6[[#This Row],[SIZE]]), MCC_Table6[[#This Row],[SIZE]]/12, 0)</f>
        <v>0.5</v>
      </c>
      <c r="G209" s="10"/>
      <c r="H209" s="10"/>
      <c r="I209" s="10"/>
      <c r="J209" s="10"/>
      <c r="K209" s="54"/>
      <c r="L209" s="54"/>
      <c r="M209" s="54"/>
      <c r="N209" s="54"/>
      <c r="O209" s="53"/>
      <c r="P209" s="51">
        <f>_xlfn.NUMBERVALUE(LEFT(MCC_Table6[[#This Row],[BUCKET]],LEN(MCC_Table6[[#This Row],[BUCKET]])-1))</f>
        <v>1</v>
      </c>
      <c r="Q209" s="51" t="str">
        <f>RIGHT(MCC_Table6[[#This Row],[BUCKET]],1)</f>
        <v>J</v>
      </c>
      <c r="R209" s="51">
        <f>VLOOKUP(MCC_Table6[[#This Row],[START UNIT]],UnitMap[],2,FALSE)</f>
        <v>9</v>
      </c>
      <c r="S209" s="51" cm="1">
        <f t="array" ref="S20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209" s="51">
        <f>IF(ISNUMBER(MCC_Table6[[#This Row],[SIZE]]), MCC_Table6[[#This Row],[SIZE]]/6, 0)</f>
        <v>1</v>
      </c>
      <c r="U209" s="51">
        <f>MCC_Table6[[#This Row],[START INDEX]]+MCC_Table6[[#This Row],[UNITS USED]]-1</f>
        <v>9</v>
      </c>
      <c r="V209" s="12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</row>
    <row r="210" spans="1:52" x14ac:dyDescent="0.3">
      <c r="A210" s="67" t="s">
        <v>1253</v>
      </c>
      <c r="B210" s="51" t="s">
        <v>1256</v>
      </c>
      <c r="C210" s="39" t="s">
        <v>1257</v>
      </c>
      <c r="D210" s="136" t="s">
        <v>467</v>
      </c>
      <c r="E210" s="39" t="s">
        <v>468</v>
      </c>
      <c r="F210" s="86">
        <f>IF(ISNUMBER(MCC_Table6[[#This Row],[SIZE]]), MCC_Table6[[#This Row],[SIZE]]/12, 0)</f>
        <v>1.5</v>
      </c>
      <c r="G210" s="10"/>
      <c r="H210" s="10"/>
      <c r="I210" s="10"/>
      <c r="J210" s="10"/>
      <c r="K210" s="54">
        <v>15</v>
      </c>
      <c r="L210" s="54">
        <v>125</v>
      </c>
      <c r="M210" s="54"/>
      <c r="N210" s="54"/>
      <c r="O210" s="53"/>
      <c r="P210" s="51">
        <f>_xlfn.NUMBERVALUE(LEFT(MCC_Table6[[#This Row],[BUCKET]],LEN(MCC_Table6[[#This Row],[BUCKET]])-1))</f>
        <v>1</v>
      </c>
      <c r="Q210" s="51" t="str">
        <f>RIGHT(MCC_Table6[[#This Row],[BUCKET]],1)</f>
        <v>K</v>
      </c>
      <c r="R210" s="51">
        <f>VLOOKUP(MCC_Table6[[#This Row],[START UNIT]],UnitMap[],2,FALSE)</f>
        <v>10</v>
      </c>
      <c r="S210" s="51" cm="1">
        <f t="array" ref="S21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210" s="51">
        <f>IF(ISNUMBER(MCC_Table6[[#This Row],[SIZE]]), MCC_Table6[[#This Row],[SIZE]]/6, 0)</f>
        <v>3</v>
      </c>
      <c r="U210" s="51">
        <f>MCC_Table6[[#This Row],[START INDEX]]+MCC_Table6[[#This Row],[UNITS USED]]-1</f>
        <v>12</v>
      </c>
      <c r="V210" s="12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</row>
    <row r="211" spans="1:52" x14ac:dyDescent="0.3">
      <c r="A211" s="67" t="s">
        <v>1253</v>
      </c>
      <c r="B211" s="51" t="s">
        <v>477</v>
      </c>
      <c r="C211" s="39" t="s">
        <v>1258</v>
      </c>
      <c r="D211" s="136" t="s">
        <v>1259</v>
      </c>
      <c r="E211" s="39" t="s">
        <v>904</v>
      </c>
      <c r="F211" s="86">
        <f>IF(ISNUMBER(MCC_Table6[[#This Row],[SIZE]]), MCC_Table6[[#This Row],[SIZE]]/12, 0)</f>
        <v>3</v>
      </c>
      <c r="G211" s="10">
        <v>15</v>
      </c>
      <c r="H211" s="10">
        <v>15</v>
      </c>
      <c r="I211" s="10"/>
      <c r="J211" s="10"/>
      <c r="K211" s="54">
        <v>60</v>
      </c>
      <c r="L211" s="54">
        <v>125</v>
      </c>
      <c r="M211" s="54">
        <v>40</v>
      </c>
      <c r="N211" s="54" t="s">
        <v>1024</v>
      </c>
      <c r="O211" s="53"/>
      <c r="P211" s="51">
        <f>_xlfn.NUMBERVALUE(LEFT(MCC_Table6[[#This Row],[BUCKET]],LEN(MCC_Table6[[#This Row],[BUCKET]])-1))</f>
        <v>2</v>
      </c>
      <c r="Q211" s="51" t="str">
        <f>RIGHT(MCC_Table6[[#This Row],[BUCKET]],1)</f>
        <v>A</v>
      </c>
      <c r="R211" s="51">
        <f>VLOOKUP(MCC_Table6[[#This Row],[START UNIT]],UnitMap[],2,FALSE)</f>
        <v>1</v>
      </c>
      <c r="S211" s="51" cm="1">
        <f t="array" ref="S21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11" s="51">
        <f>IF(ISNUMBER(MCC_Table6[[#This Row],[SIZE]]), MCC_Table6[[#This Row],[SIZE]]/6, 0)</f>
        <v>6</v>
      </c>
      <c r="U211" s="51">
        <f>MCC_Table6[[#This Row],[START INDEX]]+MCC_Table6[[#This Row],[UNITS USED]]-1</f>
        <v>6</v>
      </c>
      <c r="V211" s="12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</row>
    <row r="212" spans="1:52" x14ac:dyDescent="0.3">
      <c r="A212" s="67" t="s">
        <v>1253</v>
      </c>
      <c r="B212" s="51" t="s">
        <v>1092</v>
      </c>
      <c r="C212" s="129" t="s">
        <v>1260</v>
      </c>
      <c r="D212" s="135" t="s">
        <v>1261</v>
      </c>
      <c r="E212" s="130" t="s">
        <v>904</v>
      </c>
      <c r="F212" s="86">
        <f>IF(ISNUMBER(MCC_Table6[[#This Row],[SIZE]]), MCC_Table6[[#This Row],[SIZE]]/12, 0)</f>
        <v>2</v>
      </c>
      <c r="G212" s="10">
        <v>3</v>
      </c>
      <c r="H212" s="10">
        <v>5</v>
      </c>
      <c r="I212" s="10"/>
      <c r="J212" s="10"/>
      <c r="K212" s="54">
        <v>15</v>
      </c>
      <c r="L212" s="54">
        <v>125</v>
      </c>
      <c r="M212" s="54">
        <v>15</v>
      </c>
      <c r="N212" s="54" t="s">
        <v>911</v>
      </c>
      <c r="O212" s="53"/>
      <c r="P212" s="51">
        <f>_xlfn.NUMBERVALUE(LEFT(MCC_Table6[[#This Row],[BUCKET]],LEN(MCC_Table6[[#This Row],[BUCKET]])-1))</f>
        <v>2</v>
      </c>
      <c r="Q212" s="51" t="str">
        <f>RIGHT(MCC_Table6[[#This Row],[BUCKET]],1)</f>
        <v>G</v>
      </c>
      <c r="R212" s="51">
        <f>VLOOKUP(MCC_Table6[[#This Row],[START UNIT]],UnitMap[],2,FALSE)</f>
        <v>7</v>
      </c>
      <c r="S212" s="51" cm="1">
        <f t="array" ref="S21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12" s="51">
        <f>IF(ISNUMBER(MCC_Table6[[#This Row],[SIZE]]), MCC_Table6[[#This Row],[SIZE]]/6, 0)</f>
        <v>4</v>
      </c>
      <c r="U212" s="51">
        <f>MCC_Table6[[#This Row],[START INDEX]]+MCC_Table6[[#This Row],[UNITS USED]]-1</f>
        <v>10</v>
      </c>
      <c r="V212" s="12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</row>
    <row r="213" spans="1:52" x14ac:dyDescent="0.3">
      <c r="A213" s="67" t="s">
        <v>1253</v>
      </c>
      <c r="B213" s="51" t="s">
        <v>1157</v>
      </c>
      <c r="C213" s="39" t="s">
        <v>1262</v>
      </c>
      <c r="D213" s="136" t="s">
        <v>992</v>
      </c>
      <c r="E213" s="39" t="s">
        <v>993</v>
      </c>
      <c r="F213" s="86">
        <f>IF(ISNUMBER(MCC_Table6[[#This Row],[SIZE]]), MCC_Table6[[#This Row],[SIZE]]/12, 0)</f>
        <v>1</v>
      </c>
      <c r="G213" s="10"/>
      <c r="H213" s="10"/>
      <c r="I213" s="10"/>
      <c r="J213" s="10"/>
      <c r="K213" s="54"/>
      <c r="L213" s="54"/>
      <c r="M213" s="54"/>
      <c r="N213" s="54"/>
      <c r="O213" s="53"/>
      <c r="P213" s="51">
        <f>_xlfn.NUMBERVALUE(LEFT(MCC_Table6[[#This Row],[BUCKET]],LEN(MCC_Table6[[#This Row],[BUCKET]])-1))</f>
        <v>2</v>
      </c>
      <c r="Q213" s="51" t="str">
        <f>RIGHT(MCC_Table6[[#This Row],[BUCKET]],1)</f>
        <v>L</v>
      </c>
      <c r="R213" s="51">
        <f>VLOOKUP(MCC_Table6[[#This Row],[START UNIT]],UnitMap[],2,FALSE)</f>
        <v>11</v>
      </c>
      <c r="S213" s="51" cm="1">
        <f t="array" ref="S21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13" s="51">
        <f>IF(ISNUMBER(MCC_Table6[[#This Row],[SIZE]]), MCC_Table6[[#This Row],[SIZE]]/6, 0)</f>
        <v>2</v>
      </c>
      <c r="U213" s="51">
        <f>MCC_Table6[[#This Row],[START INDEX]]+MCC_Table6[[#This Row],[UNITS USED]]-1</f>
        <v>12</v>
      </c>
      <c r="V213" s="12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</row>
    <row r="214" spans="1:52" x14ac:dyDescent="0.3">
      <c r="A214" s="67" t="s">
        <v>1253</v>
      </c>
      <c r="B214" s="51" t="s">
        <v>489</v>
      </c>
      <c r="C214" s="129" t="s">
        <v>1263</v>
      </c>
      <c r="D214" s="135" t="s">
        <v>1264</v>
      </c>
      <c r="E214" s="130" t="s">
        <v>904</v>
      </c>
      <c r="F214" s="86">
        <f>IF(ISNUMBER(MCC_Table6[[#This Row],[SIZE]]), MCC_Table6[[#This Row],[SIZE]]/12, 0)</f>
        <v>3</v>
      </c>
      <c r="G214" s="10">
        <v>15</v>
      </c>
      <c r="H214" s="10">
        <v>15</v>
      </c>
      <c r="I214" s="10"/>
      <c r="J214" s="10"/>
      <c r="K214" s="54">
        <v>60</v>
      </c>
      <c r="L214" s="54">
        <v>125</v>
      </c>
      <c r="M214" s="54">
        <v>40</v>
      </c>
      <c r="N214" s="54" t="s">
        <v>1024</v>
      </c>
      <c r="O214" s="53"/>
      <c r="P214" s="51">
        <f>_xlfn.NUMBERVALUE(LEFT(MCC_Table6[[#This Row],[BUCKET]],LEN(MCC_Table6[[#This Row],[BUCKET]])-1))</f>
        <v>3</v>
      </c>
      <c r="Q214" s="51" t="str">
        <f>RIGHT(MCC_Table6[[#This Row],[BUCKET]],1)</f>
        <v>A</v>
      </c>
      <c r="R214" s="51">
        <f>VLOOKUP(MCC_Table6[[#This Row],[START UNIT]],UnitMap[],2,FALSE)</f>
        <v>1</v>
      </c>
      <c r="S214" s="51" cm="1">
        <f t="array" ref="S21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14" s="51">
        <f>IF(ISNUMBER(MCC_Table6[[#This Row],[SIZE]]), MCC_Table6[[#This Row],[SIZE]]/6, 0)</f>
        <v>6</v>
      </c>
      <c r="U214" s="51">
        <f>MCC_Table6[[#This Row],[START INDEX]]+MCC_Table6[[#This Row],[UNITS USED]]-1</f>
        <v>6</v>
      </c>
      <c r="V214" s="12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</row>
    <row r="215" spans="1:52" x14ac:dyDescent="0.3">
      <c r="A215" s="67" t="s">
        <v>1253</v>
      </c>
      <c r="B215" s="51" t="s">
        <v>1265</v>
      </c>
      <c r="C215" s="129" t="s">
        <v>1266</v>
      </c>
      <c r="D215" s="135" t="s">
        <v>1267</v>
      </c>
      <c r="E215" s="130" t="s">
        <v>904</v>
      </c>
      <c r="F215" s="86">
        <f>IF(ISNUMBER(MCC_Table6[[#This Row],[SIZE]]), MCC_Table6[[#This Row],[SIZE]]/12, 0)</f>
        <v>3</v>
      </c>
      <c r="G215" s="10">
        <v>15</v>
      </c>
      <c r="H215" s="10">
        <v>15</v>
      </c>
      <c r="I215" s="10"/>
      <c r="J215" s="10"/>
      <c r="K215" s="54">
        <v>60</v>
      </c>
      <c r="L215" s="54">
        <v>125</v>
      </c>
      <c r="M215" s="54">
        <v>40</v>
      </c>
      <c r="N215" s="54" t="s">
        <v>1024</v>
      </c>
      <c r="O215" s="53"/>
      <c r="P215" s="51">
        <f>_xlfn.NUMBERVALUE(LEFT(MCC_Table6[[#This Row],[BUCKET]],LEN(MCC_Table6[[#This Row],[BUCKET]])-1))</f>
        <v>3</v>
      </c>
      <c r="Q215" s="51" t="str">
        <f>RIGHT(MCC_Table6[[#This Row],[BUCKET]],1)</f>
        <v>G</v>
      </c>
      <c r="R215" s="51">
        <f>VLOOKUP(MCC_Table6[[#This Row],[START UNIT]],UnitMap[],2,FALSE)</f>
        <v>7</v>
      </c>
      <c r="S215" s="51" cm="1">
        <f t="array" ref="S21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15" s="51">
        <f>IF(ISNUMBER(MCC_Table6[[#This Row],[SIZE]]), MCC_Table6[[#This Row],[SIZE]]/6, 0)</f>
        <v>6</v>
      </c>
      <c r="U215" s="51">
        <f>MCC_Table6[[#This Row],[START INDEX]]+MCC_Table6[[#This Row],[UNITS USED]]-1</f>
        <v>12</v>
      </c>
      <c r="V215" s="12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</row>
    <row r="216" spans="1:52" x14ac:dyDescent="0.3">
      <c r="A216" s="67" t="s">
        <v>1253</v>
      </c>
      <c r="B216" s="51" t="s">
        <v>497</v>
      </c>
      <c r="C216" s="129" t="s">
        <v>1268</v>
      </c>
      <c r="D216" s="135" t="s">
        <v>1269</v>
      </c>
      <c r="E216" s="130" t="s">
        <v>904</v>
      </c>
      <c r="F216" s="86">
        <f>IF(ISNUMBER(MCC_Table6[[#This Row],[SIZE]]), MCC_Table6[[#This Row],[SIZE]]/12, 0)</f>
        <v>3</v>
      </c>
      <c r="G216" s="10">
        <v>15</v>
      </c>
      <c r="H216" s="10">
        <v>15</v>
      </c>
      <c r="I216" s="10"/>
      <c r="J216" s="10"/>
      <c r="K216" s="54">
        <v>60</v>
      </c>
      <c r="L216" s="54">
        <v>125</v>
      </c>
      <c r="M216" s="54">
        <v>40</v>
      </c>
      <c r="N216" s="54" t="s">
        <v>1024</v>
      </c>
      <c r="O216" s="53"/>
      <c r="P216" s="51">
        <f>_xlfn.NUMBERVALUE(LEFT(MCC_Table6[[#This Row],[BUCKET]],LEN(MCC_Table6[[#This Row],[BUCKET]])-1))</f>
        <v>4</v>
      </c>
      <c r="Q216" s="51" t="str">
        <f>RIGHT(MCC_Table6[[#This Row],[BUCKET]],1)</f>
        <v>A</v>
      </c>
      <c r="R216" s="51">
        <f>VLOOKUP(MCC_Table6[[#This Row],[START UNIT]],UnitMap[],2,FALSE)</f>
        <v>1</v>
      </c>
      <c r="S216" s="51" cm="1">
        <f t="array" ref="S21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16" s="51">
        <f>IF(ISNUMBER(MCC_Table6[[#This Row],[SIZE]]), MCC_Table6[[#This Row],[SIZE]]/6, 0)</f>
        <v>6</v>
      </c>
      <c r="U216" s="51">
        <f>MCC_Table6[[#This Row],[START INDEX]]+MCC_Table6[[#This Row],[UNITS USED]]-1</f>
        <v>6</v>
      </c>
      <c r="V216" s="12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</row>
    <row r="217" spans="1:52" x14ac:dyDescent="0.3">
      <c r="A217" s="67" t="s">
        <v>1253</v>
      </c>
      <c r="B217" s="51" t="s">
        <v>1270</v>
      </c>
      <c r="C217" s="129" t="s">
        <v>1271</v>
      </c>
      <c r="D217" s="135" t="s">
        <v>1272</v>
      </c>
      <c r="E217" s="130" t="s">
        <v>904</v>
      </c>
      <c r="F217" s="86">
        <f>IF(ISNUMBER(MCC_Table6[[#This Row],[SIZE]]), MCC_Table6[[#This Row],[SIZE]]/12, 0)</f>
        <v>3</v>
      </c>
      <c r="G217" s="10">
        <v>15</v>
      </c>
      <c r="H217" s="10">
        <v>15</v>
      </c>
      <c r="I217" s="10"/>
      <c r="J217" s="10"/>
      <c r="K217" s="54">
        <v>60</v>
      </c>
      <c r="L217" s="54">
        <v>125</v>
      </c>
      <c r="M217" s="54">
        <v>40</v>
      </c>
      <c r="N217" s="54" t="s">
        <v>1024</v>
      </c>
      <c r="O217" s="53"/>
      <c r="P217" s="51">
        <f>_xlfn.NUMBERVALUE(LEFT(MCC_Table6[[#This Row],[BUCKET]],LEN(MCC_Table6[[#This Row],[BUCKET]])-1))</f>
        <v>4</v>
      </c>
      <c r="Q217" s="51" t="str">
        <f>RIGHT(MCC_Table6[[#This Row],[BUCKET]],1)</f>
        <v>G</v>
      </c>
      <c r="R217" s="51">
        <f>VLOOKUP(MCC_Table6[[#This Row],[START UNIT]],UnitMap[],2,FALSE)</f>
        <v>7</v>
      </c>
      <c r="S217" s="51" cm="1">
        <f t="array" ref="S21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17" s="51">
        <f>IF(ISNUMBER(MCC_Table6[[#This Row],[SIZE]]), MCC_Table6[[#This Row],[SIZE]]/6, 0)</f>
        <v>6</v>
      </c>
      <c r="U217" s="51">
        <f>MCC_Table6[[#This Row],[START INDEX]]+MCC_Table6[[#This Row],[UNITS USED]]-1</f>
        <v>12</v>
      </c>
      <c r="V217" s="12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</row>
    <row r="218" spans="1:52" x14ac:dyDescent="0.3">
      <c r="A218" s="67" t="s">
        <v>1253</v>
      </c>
      <c r="B218" s="51" t="s">
        <v>508</v>
      </c>
      <c r="C218" s="129" t="s">
        <v>1273</v>
      </c>
      <c r="D218" s="135" t="s">
        <v>1274</v>
      </c>
      <c r="E218" s="130" t="s">
        <v>904</v>
      </c>
      <c r="F218" s="86">
        <f>IF(ISNUMBER(MCC_Table6[[#This Row],[SIZE]]), MCC_Table6[[#This Row],[SIZE]]/12, 0)</f>
        <v>3</v>
      </c>
      <c r="G218" s="10">
        <v>20</v>
      </c>
      <c r="H218" s="10">
        <v>20</v>
      </c>
      <c r="I218" s="10"/>
      <c r="J218" s="10"/>
      <c r="K218" s="54">
        <v>60</v>
      </c>
      <c r="L218" s="54">
        <v>125</v>
      </c>
      <c r="M218" s="54">
        <v>50</v>
      </c>
      <c r="N218" s="54" t="s">
        <v>1024</v>
      </c>
      <c r="O218" s="53"/>
      <c r="P218" s="51">
        <f>_xlfn.NUMBERVALUE(LEFT(MCC_Table6[[#This Row],[BUCKET]],LEN(MCC_Table6[[#This Row],[BUCKET]])-1))</f>
        <v>5</v>
      </c>
      <c r="Q218" s="51" t="str">
        <f>RIGHT(MCC_Table6[[#This Row],[BUCKET]],1)</f>
        <v>A</v>
      </c>
      <c r="R218" s="51">
        <f>VLOOKUP(MCC_Table6[[#This Row],[START UNIT]],UnitMap[],2,FALSE)</f>
        <v>1</v>
      </c>
      <c r="S218" s="51" cm="1">
        <f t="array" ref="S21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18" s="51">
        <f>IF(ISNUMBER(MCC_Table6[[#This Row],[SIZE]]), MCC_Table6[[#This Row],[SIZE]]/6, 0)</f>
        <v>6</v>
      </c>
      <c r="U218" s="51">
        <f>MCC_Table6[[#This Row],[START INDEX]]+MCC_Table6[[#This Row],[UNITS USED]]-1</f>
        <v>6</v>
      </c>
      <c r="V218" s="12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</row>
    <row r="219" spans="1:52" x14ac:dyDescent="0.3">
      <c r="A219" s="67" t="s">
        <v>1253</v>
      </c>
      <c r="B219" s="51" t="s">
        <v>1275</v>
      </c>
      <c r="C219" s="129" t="s">
        <v>1276</v>
      </c>
      <c r="D219" s="135" t="s">
        <v>1277</v>
      </c>
      <c r="E219" s="130" t="s">
        <v>904</v>
      </c>
      <c r="F219" s="86">
        <f>IF(ISNUMBER(MCC_Table6[[#This Row],[SIZE]]), MCC_Table6[[#This Row],[SIZE]]/12, 0)</f>
        <v>3</v>
      </c>
      <c r="G219" s="10">
        <v>20</v>
      </c>
      <c r="H219" s="10">
        <v>20</v>
      </c>
      <c r="I219" s="10"/>
      <c r="J219" s="10"/>
      <c r="K219" s="54">
        <v>60</v>
      </c>
      <c r="L219" s="54">
        <v>125</v>
      </c>
      <c r="M219" s="54">
        <v>50</v>
      </c>
      <c r="N219" s="54" t="s">
        <v>1024</v>
      </c>
      <c r="O219" s="53"/>
      <c r="P219" s="51">
        <f>_xlfn.NUMBERVALUE(LEFT(MCC_Table6[[#This Row],[BUCKET]],LEN(MCC_Table6[[#This Row],[BUCKET]])-1))</f>
        <v>5</v>
      </c>
      <c r="Q219" s="51" t="str">
        <f>RIGHT(MCC_Table6[[#This Row],[BUCKET]],1)</f>
        <v>G</v>
      </c>
      <c r="R219" s="51">
        <f>VLOOKUP(MCC_Table6[[#This Row],[START UNIT]],UnitMap[],2,FALSE)</f>
        <v>7</v>
      </c>
      <c r="S219" s="51" cm="1">
        <f t="array" ref="S21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19" s="51">
        <f>IF(ISNUMBER(MCC_Table6[[#This Row],[SIZE]]), MCC_Table6[[#This Row],[SIZE]]/6, 0)</f>
        <v>6</v>
      </c>
      <c r="U219" s="51">
        <f>MCC_Table6[[#This Row],[START INDEX]]+MCC_Table6[[#This Row],[UNITS USED]]-1</f>
        <v>12</v>
      </c>
      <c r="V219" s="12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</row>
    <row r="220" spans="1:52" x14ac:dyDescent="0.3">
      <c r="A220" s="67" t="s">
        <v>1253</v>
      </c>
      <c r="B220" s="51" t="s">
        <v>517</v>
      </c>
      <c r="C220" s="129" t="s">
        <v>1278</v>
      </c>
      <c r="D220" s="135" t="s">
        <v>1279</v>
      </c>
      <c r="E220" s="130" t="s">
        <v>904</v>
      </c>
      <c r="F220" s="86">
        <f>IF(ISNUMBER(MCC_Table6[[#This Row],[SIZE]]), MCC_Table6[[#This Row],[SIZE]]/12, 0)</f>
        <v>2</v>
      </c>
      <c r="G220" s="10">
        <v>2</v>
      </c>
      <c r="H220" s="10">
        <v>2</v>
      </c>
      <c r="I220" s="10"/>
      <c r="J220" s="10"/>
      <c r="K220" s="54">
        <v>15</v>
      </c>
      <c r="L220" s="54">
        <v>125</v>
      </c>
      <c r="M220" s="54">
        <v>10</v>
      </c>
      <c r="N220" s="54" t="s">
        <v>911</v>
      </c>
      <c r="O220" s="53"/>
      <c r="P220" s="51">
        <f>_xlfn.NUMBERVALUE(LEFT(MCC_Table6[[#This Row],[BUCKET]],LEN(MCC_Table6[[#This Row],[BUCKET]])-1))</f>
        <v>6</v>
      </c>
      <c r="Q220" s="51" t="str">
        <f>RIGHT(MCC_Table6[[#This Row],[BUCKET]],1)</f>
        <v>A</v>
      </c>
      <c r="R220" s="51">
        <f>VLOOKUP(MCC_Table6[[#This Row],[START UNIT]],UnitMap[],2,FALSE)</f>
        <v>1</v>
      </c>
      <c r="S220" s="51" cm="1">
        <f t="array" ref="S22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20" s="51">
        <f>IF(ISNUMBER(MCC_Table6[[#This Row],[SIZE]]), MCC_Table6[[#This Row],[SIZE]]/6, 0)</f>
        <v>4</v>
      </c>
      <c r="U220" s="51">
        <f>MCC_Table6[[#This Row],[START INDEX]]+MCC_Table6[[#This Row],[UNITS USED]]-1</f>
        <v>4</v>
      </c>
      <c r="V220" s="12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</row>
    <row r="221" spans="1:52" ht="28.8" x14ac:dyDescent="0.3">
      <c r="A221" s="67" t="s">
        <v>1253</v>
      </c>
      <c r="B221" s="51" t="s">
        <v>912</v>
      </c>
      <c r="C221" s="129" t="s">
        <v>1280</v>
      </c>
      <c r="D221" s="135" t="s">
        <v>1281</v>
      </c>
      <c r="E221" s="130" t="s">
        <v>904</v>
      </c>
      <c r="F221" s="86">
        <f>IF(ISNUMBER(MCC_Table6[[#This Row],[SIZE]]), MCC_Table6[[#This Row],[SIZE]]/12, 0)</f>
        <v>4</v>
      </c>
      <c r="G221" s="10">
        <v>40</v>
      </c>
      <c r="H221" s="10">
        <v>40</v>
      </c>
      <c r="I221" s="10"/>
      <c r="J221" s="10"/>
      <c r="K221" s="54">
        <v>125</v>
      </c>
      <c r="L221" s="54">
        <v>125</v>
      </c>
      <c r="M221" s="54">
        <v>90</v>
      </c>
      <c r="N221" s="54" t="s">
        <v>985</v>
      </c>
      <c r="O221" s="53"/>
      <c r="P221" s="51">
        <f>_xlfn.NUMBERVALUE(LEFT(MCC_Table6[[#This Row],[BUCKET]],LEN(MCC_Table6[[#This Row],[BUCKET]])-1))</f>
        <v>6</v>
      </c>
      <c r="Q221" s="51" t="str">
        <f>RIGHT(MCC_Table6[[#This Row],[BUCKET]],1)</f>
        <v>E</v>
      </c>
      <c r="R221" s="51">
        <f>VLOOKUP(MCC_Table6[[#This Row],[START UNIT]],UnitMap[],2,FALSE)</f>
        <v>5</v>
      </c>
      <c r="S221" s="51" cm="1">
        <f t="array" ref="S22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48</v>
      </c>
      <c r="T221" s="51">
        <f>IF(ISNUMBER(MCC_Table6[[#This Row],[SIZE]]), MCC_Table6[[#This Row],[SIZE]]/6, 0)</f>
        <v>8</v>
      </c>
      <c r="U221" s="51">
        <f>MCC_Table6[[#This Row],[START INDEX]]+MCC_Table6[[#This Row],[UNITS USED]]-1</f>
        <v>12</v>
      </c>
      <c r="V221" s="12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</row>
    <row r="222" spans="1:52" x14ac:dyDescent="0.3">
      <c r="A222" s="67" t="s">
        <v>1253</v>
      </c>
      <c r="B222" s="51" t="s">
        <v>526</v>
      </c>
      <c r="C222" s="129" t="s">
        <v>1282</v>
      </c>
      <c r="D222" s="135" t="s">
        <v>1283</v>
      </c>
      <c r="E222" s="130" t="s">
        <v>904</v>
      </c>
      <c r="F222" s="86">
        <f>IF(ISNUMBER(MCC_Table6[[#This Row],[SIZE]]), MCC_Table6[[#This Row],[SIZE]]/12, 0)</f>
        <v>2</v>
      </c>
      <c r="G222" s="10">
        <v>3</v>
      </c>
      <c r="H222" s="10">
        <v>5</v>
      </c>
      <c r="I222" s="10"/>
      <c r="J222" s="10"/>
      <c r="K222" s="54">
        <v>15</v>
      </c>
      <c r="L222" s="54">
        <v>125</v>
      </c>
      <c r="M222" s="54">
        <v>15</v>
      </c>
      <c r="N222" s="54" t="s">
        <v>911</v>
      </c>
      <c r="O222" s="53"/>
      <c r="P222" s="51">
        <f>_xlfn.NUMBERVALUE(LEFT(MCC_Table6[[#This Row],[BUCKET]],LEN(MCC_Table6[[#This Row],[BUCKET]])-1))</f>
        <v>7</v>
      </c>
      <c r="Q222" s="51" t="str">
        <f>RIGHT(MCC_Table6[[#This Row],[BUCKET]],1)</f>
        <v>A</v>
      </c>
      <c r="R222" s="51">
        <f>VLOOKUP(MCC_Table6[[#This Row],[START UNIT]],UnitMap[],2,FALSE)</f>
        <v>1</v>
      </c>
      <c r="S222" s="51" cm="1">
        <f t="array" ref="S22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22" s="51">
        <f>IF(ISNUMBER(MCC_Table6[[#This Row],[SIZE]]), MCC_Table6[[#This Row],[SIZE]]/6, 0)</f>
        <v>4</v>
      </c>
      <c r="U222" s="51">
        <f>MCC_Table6[[#This Row],[START INDEX]]+MCC_Table6[[#This Row],[UNITS USED]]-1</f>
        <v>4</v>
      </c>
      <c r="V222" s="12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</row>
    <row r="223" spans="1:52" ht="28.8" x14ac:dyDescent="0.3">
      <c r="A223" s="67" t="s">
        <v>1253</v>
      </c>
      <c r="B223" s="51" t="s">
        <v>919</v>
      </c>
      <c r="C223" s="129" t="s">
        <v>1284</v>
      </c>
      <c r="D223" s="135" t="s">
        <v>1285</v>
      </c>
      <c r="E223" s="130" t="s">
        <v>904</v>
      </c>
      <c r="F223" s="86">
        <f>IF(ISNUMBER(MCC_Table6[[#This Row],[SIZE]]), MCC_Table6[[#This Row],[SIZE]]/12, 0)</f>
        <v>4</v>
      </c>
      <c r="G223" s="10">
        <v>40</v>
      </c>
      <c r="H223" s="10">
        <v>40</v>
      </c>
      <c r="I223" s="10"/>
      <c r="J223" s="10"/>
      <c r="K223" s="54">
        <v>125</v>
      </c>
      <c r="L223" s="54">
        <v>125</v>
      </c>
      <c r="M223" s="54">
        <v>90</v>
      </c>
      <c r="N223" s="54" t="s">
        <v>985</v>
      </c>
      <c r="O223" s="53"/>
      <c r="P223" s="51">
        <f>_xlfn.NUMBERVALUE(LEFT(MCC_Table6[[#This Row],[BUCKET]],LEN(MCC_Table6[[#This Row],[BUCKET]])-1))</f>
        <v>7</v>
      </c>
      <c r="Q223" s="51" t="str">
        <f>RIGHT(MCC_Table6[[#This Row],[BUCKET]],1)</f>
        <v>E</v>
      </c>
      <c r="R223" s="51">
        <f>VLOOKUP(MCC_Table6[[#This Row],[START UNIT]],UnitMap[],2,FALSE)</f>
        <v>5</v>
      </c>
      <c r="S223" s="51" cm="1">
        <f t="array" ref="S22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48</v>
      </c>
      <c r="T223" s="51">
        <f>IF(ISNUMBER(MCC_Table6[[#This Row],[SIZE]]), MCC_Table6[[#This Row],[SIZE]]/6, 0)</f>
        <v>8</v>
      </c>
      <c r="U223" s="51">
        <f>MCC_Table6[[#This Row],[START INDEX]]+MCC_Table6[[#This Row],[UNITS USED]]-1</f>
        <v>12</v>
      </c>
      <c r="V223" s="12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</row>
    <row r="224" spans="1:52" x14ac:dyDescent="0.3">
      <c r="A224" s="67" t="s">
        <v>1253</v>
      </c>
      <c r="B224" s="51" t="s">
        <v>534</v>
      </c>
      <c r="C224" s="129" t="s">
        <v>1286</v>
      </c>
      <c r="D224" s="135" t="s">
        <v>1287</v>
      </c>
      <c r="E224" s="130" t="s">
        <v>904</v>
      </c>
      <c r="F224" s="86">
        <f>IF(ISNUMBER(MCC_Table6[[#This Row],[SIZE]]), MCC_Table6[[#This Row],[SIZE]]/12, 0)</f>
        <v>3.5</v>
      </c>
      <c r="G224" s="10">
        <v>25</v>
      </c>
      <c r="H224" s="10">
        <v>25</v>
      </c>
      <c r="I224" s="10"/>
      <c r="J224" s="10"/>
      <c r="K224" s="54">
        <v>60</v>
      </c>
      <c r="L224" s="54">
        <v>125</v>
      </c>
      <c r="M224" s="54">
        <v>60</v>
      </c>
      <c r="N224" s="54" t="s">
        <v>952</v>
      </c>
      <c r="O224" s="53"/>
      <c r="P224" s="51">
        <f>_xlfn.NUMBERVALUE(LEFT(MCC_Table6[[#This Row],[BUCKET]],LEN(MCC_Table6[[#This Row],[BUCKET]])-1))</f>
        <v>8</v>
      </c>
      <c r="Q224" s="51" t="str">
        <f>RIGHT(MCC_Table6[[#This Row],[BUCKET]],1)</f>
        <v>A</v>
      </c>
      <c r="R224" s="51">
        <f>VLOOKUP(MCC_Table6[[#This Row],[START UNIT]],UnitMap[],2,FALSE)</f>
        <v>1</v>
      </c>
      <c r="S224" s="51" cm="1">
        <f t="array" ref="S22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24" s="51">
        <f>IF(ISNUMBER(MCC_Table6[[#This Row],[SIZE]]), MCC_Table6[[#This Row],[SIZE]]/6, 0)</f>
        <v>7</v>
      </c>
      <c r="U224" s="51">
        <f>MCC_Table6[[#This Row],[START INDEX]]+MCC_Table6[[#This Row],[UNITS USED]]-1</f>
        <v>7</v>
      </c>
      <c r="V224" s="12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</row>
    <row r="225" spans="1:52" x14ac:dyDescent="0.3">
      <c r="A225" s="67" t="s">
        <v>1253</v>
      </c>
      <c r="B225" s="51" t="s">
        <v>926</v>
      </c>
      <c r="C225" s="129" t="s">
        <v>1288</v>
      </c>
      <c r="D225" s="135" t="s">
        <v>1289</v>
      </c>
      <c r="E225" s="130" t="s">
        <v>1056</v>
      </c>
      <c r="F225" s="86">
        <f>IF(ISNUMBER(MCC_Table6[[#This Row],[SIZE]]), MCC_Table6[[#This Row],[SIZE]]/12, 0)</f>
        <v>1.5</v>
      </c>
      <c r="G225" s="10">
        <v>1.5</v>
      </c>
      <c r="H225" s="10">
        <v>2</v>
      </c>
      <c r="I225" s="10"/>
      <c r="J225" s="10">
        <v>1</v>
      </c>
      <c r="K225" s="54">
        <v>7</v>
      </c>
      <c r="L225" s="54">
        <v>125</v>
      </c>
      <c r="M225" s="54" t="s">
        <v>303</v>
      </c>
      <c r="N225" s="54" t="s">
        <v>911</v>
      </c>
      <c r="O225" s="53"/>
      <c r="P225" s="51">
        <f>_xlfn.NUMBERVALUE(LEFT(MCC_Table6[[#This Row],[BUCKET]],LEN(MCC_Table6[[#This Row],[BUCKET]])-1))</f>
        <v>8</v>
      </c>
      <c r="Q225" s="51" t="str">
        <f>RIGHT(MCC_Table6[[#This Row],[BUCKET]],1)</f>
        <v>H</v>
      </c>
      <c r="R225" s="51">
        <f>VLOOKUP(MCC_Table6[[#This Row],[START UNIT]],UnitMap[],2,FALSE)</f>
        <v>8</v>
      </c>
      <c r="S225" s="51" cm="1">
        <f t="array" ref="S22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225" s="51">
        <f>IF(ISNUMBER(MCC_Table6[[#This Row],[SIZE]]), MCC_Table6[[#This Row],[SIZE]]/6, 0)</f>
        <v>3</v>
      </c>
      <c r="U225" s="51">
        <f>MCC_Table6[[#This Row],[START INDEX]]+MCC_Table6[[#This Row],[UNITS USED]]-1</f>
        <v>10</v>
      </c>
      <c r="V225" s="12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</row>
    <row r="226" spans="1:52" x14ac:dyDescent="0.3">
      <c r="A226" s="67" t="s">
        <v>1253</v>
      </c>
      <c r="B226" s="51" t="s">
        <v>539</v>
      </c>
      <c r="C226" s="39" t="s">
        <v>1290</v>
      </c>
      <c r="D226" s="136" t="s">
        <v>992</v>
      </c>
      <c r="E226" s="39" t="s">
        <v>993</v>
      </c>
      <c r="F226" s="86">
        <f>IF(ISNUMBER(MCC_Table6[[#This Row],[SIZE]]), MCC_Table6[[#This Row],[SIZE]]/12, 0)</f>
        <v>1</v>
      </c>
      <c r="G226" s="10"/>
      <c r="H226" s="10"/>
      <c r="I226" s="10"/>
      <c r="J226" s="10"/>
      <c r="K226" s="54"/>
      <c r="L226" s="54"/>
      <c r="M226" s="54"/>
      <c r="N226" s="54"/>
      <c r="O226" s="53"/>
      <c r="P226" s="51">
        <f>_xlfn.NUMBERVALUE(LEFT(MCC_Table6[[#This Row],[BUCKET]],LEN(MCC_Table6[[#This Row],[BUCKET]])-1))</f>
        <v>8</v>
      </c>
      <c r="Q226" s="51" t="str">
        <f>RIGHT(MCC_Table6[[#This Row],[BUCKET]],1)</f>
        <v>L</v>
      </c>
      <c r="R226" s="51">
        <f>VLOOKUP(MCC_Table6[[#This Row],[START UNIT]],UnitMap[],2,FALSE)</f>
        <v>11</v>
      </c>
      <c r="S226" s="51" cm="1">
        <f t="array" ref="S22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26" s="51">
        <f>IF(ISNUMBER(MCC_Table6[[#This Row],[SIZE]]), MCC_Table6[[#This Row],[SIZE]]/6, 0)</f>
        <v>2</v>
      </c>
      <c r="U226" s="51">
        <f>MCC_Table6[[#This Row],[START INDEX]]+MCC_Table6[[#This Row],[UNITS USED]]-1</f>
        <v>12</v>
      </c>
      <c r="V226" s="12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</row>
    <row r="227" spans="1:52" x14ac:dyDescent="0.3">
      <c r="A227" s="67" t="s">
        <v>1253</v>
      </c>
      <c r="B227" s="51" t="s">
        <v>541</v>
      </c>
      <c r="C227" s="129" t="s">
        <v>462</v>
      </c>
      <c r="D227" s="135" t="s">
        <v>496</v>
      </c>
      <c r="E227" s="130" t="s">
        <v>462</v>
      </c>
      <c r="F227" s="86">
        <f>IF(ISNUMBER(MCC_Table6[[#This Row],[SIZE]]), MCC_Table6[[#This Row],[SIZE]]/12, 0)</f>
        <v>1</v>
      </c>
      <c r="G227" s="10"/>
      <c r="H227" s="10"/>
      <c r="I227" s="10"/>
      <c r="J227" s="10"/>
      <c r="K227" s="54"/>
      <c r="L227" s="54"/>
      <c r="M227" s="54"/>
      <c r="N227" s="54"/>
      <c r="O227" s="53"/>
      <c r="P227" s="51">
        <f>_xlfn.NUMBERVALUE(LEFT(MCC_Table6[[#This Row],[BUCKET]],LEN(MCC_Table6[[#This Row],[BUCKET]])-1))</f>
        <v>9</v>
      </c>
      <c r="Q227" s="51" t="str">
        <f>RIGHT(MCC_Table6[[#This Row],[BUCKET]],1)</f>
        <v>A</v>
      </c>
      <c r="R227" s="51">
        <f>VLOOKUP(MCC_Table6[[#This Row],[START UNIT]],UnitMap[],2,FALSE)</f>
        <v>1</v>
      </c>
      <c r="S227" s="51" cm="1">
        <f t="array" ref="S22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27" s="51">
        <f>IF(ISNUMBER(MCC_Table6[[#This Row],[SIZE]]), MCC_Table6[[#This Row],[SIZE]]/6, 0)</f>
        <v>2</v>
      </c>
      <c r="U227" s="51">
        <f>MCC_Table6[[#This Row],[START INDEX]]+MCC_Table6[[#This Row],[UNITS USED]]-1</f>
        <v>2</v>
      </c>
      <c r="V227" s="12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</row>
    <row r="228" spans="1:52" x14ac:dyDescent="0.3">
      <c r="A228" s="67" t="s">
        <v>1253</v>
      </c>
      <c r="B228" s="51" t="s">
        <v>1291</v>
      </c>
      <c r="C228" s="129" t="s">
        <v>462</v>
      </c>
      <c r="D228" s="135" t="s">
        <v>496</v>
      </c>
      <c r="E228" s="130" t="s">
        <v>462</v>
      </c>
      <c r="F228" s="86">
        <f>IF(ISNUMBER(MCC_Table6[[#This Row],[SIZE]]), MCC_Table6[[#This Row],[SIZE]]/12, 0)</f>
        <v>1</v>
      </c>
      <c r="G228" s="10"/>
      <c r="H228" s="10"/>
      <c r="I228" s="10"/>
      <c r="J228" s="10"/>
      <c r="K228" s="54"/>
      <c r="L228" s="54"/>
      <c r="M228" s="54"/>
      <c r="N228" s="54"/>
      <c r="O228" s="53"/>
      <c r="P228" s="51">
        <f>_xlfn.NUMBERVALUE(LEFT(MCC_Table6[[#This Row],[BUCKET]],LEN(MCC_Table6[[#This Row],[BUCKET]])-1))</f>
        <v>9</v>
      </c>
      <c r="Q228" s="51" t="str">
        <f>RIGHT(MCC_Table6[[#This Row],[BUCKET]],1)</f>
        <v>C</v>
      </c>
      <c r="R228" s="51">
        <f>VLOOKUP(MCC_Table6[[#This Row],[START UNIT]],UnitMap[],2,FALSE)</f>
        <v>3</v>
      </c>
      <c r="S228" s="51" cm="1">
        <f t="array" ref="S22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28" s="51">
        <f>IF(ISNUMBER(MCC_Table6[[#This Row],[SIZE]]), MCC_Table6[[#This Row],[SIZE]]/6, 0)</f>
        <v>2</v>
      </c>
      <c r="U228" s="51">
        <f>MCC_Table6[[#This Row],[START INDEX]]+MCC_Table6[[#This Row],[UNITS USED]]-1</f>
        <v>4</v>
      </c>
      <c r="V228" s="12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</row>
    <row r="229" spans="1:52" x14ac:dyDescent="0.3">
      <c r="A229" s="67" t="s">
        <v>1253</v>
      </c>
      <c r="B229" s="51" t="s">
        <v>544</v>
      </c>
      <c r="C229" s="129" t="s">
        <v>1292</v>
      </c>
      <c r="D229" s="135" t="s">
        <v>1293</v>
      </c>
      <c r="E229" s="130" t="s">
        <v>892</v>
      </c>
      <c r="F229" s="86">
        <f>IF(ISNUMBER(MCC_Table6[[#This Row],[SIZE]]), MCC_Table6[[#This Row],[SIZE]]/12, 0)</f>
        <v>1</v>
      </c>
      <c r="G229" s="10">
        <v>7.5</v>
      </c>
      <c r="H229" s="10">
        <v>10</v>
      </c>
      <c r="I229" s="10"/>
      <c r="J229" s="10">
        <v>1</v>
      </c>
      <c r="K229" s="54">
        <v>30</v>
      </c>
      <c r="L229" s="54">
        <v>125</v>
      </c>
      <c r="M229" s="54" t="s">
        <v>303</v>
      </c>
      <c r="N229" s="54" t="s">
        <v>911</v>
      </c>
      <c r="O229" s="53"/>
      <c r="P229" s="51">
        <f>_xlfn.NUMBERVALUE(LEFT(MCC_Table6[[#This Row],[BUCKET]],LEN(MCC_Table6[[#This Row],[BUCKET]])-1))</f>
        <v>9</v>
      </c>
      <c r="Q229" s="51" t="str">
        <f>RIGHT(MCC_Table6[[#This Row],[BUCKET]],1)</f>
        <v>E</v>
      </c>
      <c r="R229" s="51">
        <f>VLOOKUP(MCC_Table6[[#This Row],[START UNIT]],UnitMap[],2,FALSE)</f>
        <v>5</v>
      </c>
      <c r="S229" s="51" cm="1">
        <f t="array" ref="S22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29" s="51">
        <f>IF(ISNUMBER(MCC_Table6[[#This Row],[SIZE]]), MCC_Table6[[#This Row],[SIZE]]/6, 0)</f>
        <v>2</v>
      </c>
      <c r="U229" s="51">
        <f>MCC_Table6[[#This Row],[START INDEX]]+MCC_Table6[[#This Row],[UNITS USED]]-1</f>
        <v>6</v>
      </c>
      <c r="V229" s="12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</row>
    <row r="230" spans="1:52" x14ac:dyDescent="0.3">
      <c r="A230" s="67" t="s">
        <v>1253</v>
      </c>
      <c r="B230" s="51" t="s">
        <v>1027</v>
      </c>
      <c r="C230" s="129" t="s">
        <v>1294</v>
      </c>
      <c r="D230" s="135" t="s">
        <v>1295</v>
      </c>
      <c r="E230" s="130" t="s">
        <v>904</v>
      </c>
      <c r="F230" s="86">
        <f>IF(ISNUMBER(MCC_Table6[[#This Row],[SIZE]]), MCC_Table6[[#This Row],[SIZE]]/12, 0)</f>
        <v>3</v>
      </c>
      <c r="G230" s="10">
        <v>15</v>
      </c>
      <c r="H230" s="10">
        <v>15</v>
      </c>
      <c r="I230" s="10"/>
      <c r="J230" s="10"/>
      <c r="K230" s="54">
        <v>60</v>
      </c>
      <c r="L230" s="54">
        <v>125</v>
      </c>
      <c r="M230" s="54">
        <v>40</v>
      </c>
      <c r="N230" s="54" t="s">
        <v>1024</v>
      </c>
      <c r="O230" s="53"/>
      <c r="P230" s="51">
        <f>_xlfn.NUMBERVALUE(LEFT(MCC_Table6[[#This Row],[BUCKET]],LEN(MCC_Table6[[#This Row],[BUCKET]])-1))</f>
        <v>9</v>
      </c>
      <c r="Q230" s="51" t="str">
        <f>RIGHT(MCC_Table6[[#This Row],[BUCKET]],1)</f>
        <v>G</v>
      </c>
      <c r="R230" s="51">
        <f>VLOOKUP(MCC_Table6[[#This Row],[START UNIT]],UnitMap[],2,FALSE)</f>
        <v>7</v>
      </c>
      <c r="S230" s="51" cm="1">
        <f t="array" ref="S23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30" s="51">
        <f>IF(ISNUMBER(MCC_Table6[[#This Row],[SIZE]]), MCC_Table6[[#This Row],[SIZE]]/6, 0)</f>
        <v>6</v>
      </c>
      <c r="U230" s="51">
        <f>MCC_Table6[[#This Row],[START INDEX]]+MCC_Table6[[#This Row],[UNITS USED]]-1</f>
        <v>12</v>
      </c>
      <c r="V230" s="12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</row>
    <row r="231" spans="1:52" x14ac:dyDescent="0.3">
      <c r="A231" s="67" t="s">
        <v>1253</v>
      </c>
      <c r="B231" s="51" t="s">
        <v>550</v>
      </c>
      <c r="C231" s="129" t="s">
        <v>1296</v>
      </c>
      <c r="D231" s="135" t="s">
        <v>1297</v>
      </c>
      <c r="E231" s="130" t="s">
        <v>904</v>
      </c>
      <c r="F231" s="86">
        <f>IF(ISNUMBER(MCC_Table6[[#This Row],[SIZE]]), MCC_Table6[[#This Row],[SIZE]]/12, 0)</f>
        <v>6</v>
      </c>
      <c r="G231" s="10">
        <v>60</v>
      </c>
      <c r="H231" s="10">
        <v>60</v>
      </c>
      <c r="I231" s="10"/>
      <c r="J231" s="10"/>
      <c r="K231" s="54">
        <v>200</v>
      </c>
      <c r="L231" s="54">
        <v>250</v>
      </c>
      <c r="M231" s="54">
        <v>125</v>
      </c>
      <c r="N231" s="54" t="s">
        <v>1125</v>
      </c>
      <c r="O231" s="53"/>
      <c r="P231" s="51">
        <f>_xlfn.NUMBERVALUE(LEFT(MCC_Table6[[#This Row],[BUCKET]],LEN(MCC_Table6[[#This Row],[BUCKET]])-1))</f>
        <v>10</v>
      </c>
      <c r="Q231" s="51" t="str">
        <f>RIGHT(MCC_Table6[[#This Row],[BUCKET]],1)</f>
        <v>A</v>
      </c>
      <c r="R231" s="51">
        <f>VLOOKUP(MCC_Table6[[#This Row],[START UNIT]],UnitMap[],2,FALSE)</f>
        <v>1</v>
      </c>
      <c r="S231" s="51" cm="1">
        <f t="array" ref="S23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231" s="51">
        <f>IF(ISNUMBER(MCC_Table6[[#This Row],[SIZE]]), MCC_Table6[[#This Row],[SIZE]]/6, 0)</f>
        <v>12</v>
      </c>
      <c r="U231" s="51">
        <f>MCC_Table6[[#This Row],[START INDEX]]+MCC_Table6[[#This Row],[UNITS USED]]-1</f>
        <v>12</v>
      </c>
      <c r="V231" s="12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</row>
    <row r="232" spans="1:52" x14ac:dyDescent="0.3">
      <c r="A232" s="67" t="s">
        <v>1253</v>
      </c>
      <c r="B232" s="51" t="s">
        <v>559</v>
      </c>
      <c r="C232" s="129" t="s">
        <v>1298</v>
      </c>
      <c r="D232" s="135" t="s">
        <v>1299</v>
      </c>
      <c r="E232" s="130" t="s">
        <v>904</v>
      </c>
      <c r="F232" s="86">
        <f>IF(ISNUMBER(MCC_Table6[[#This Row],[SIZE]]), MCC_Table6[[#This Row],[SIZE]]/12, 0)</f>
        <v>6</v>
      </c>
      <c r="G232" s="10">
        <v>60</v>
      </c>
      <c r="H232" s="10">
        <v>60</v>
      </c>
      <c r="I232" s="10"/>
      <c r="J232" s="10"/>
      <c r="K232" s="54">
        <v>200</v>
      </c>
      <c r="L232" s="54">
        <v>250</v>
      </c>
      <c r="M232" s="54">
        <v>125</v>
      </c>
      <c r="N232" s="54" t="s">
        <v>1125</v>
      </c>
      <c r="O232" s="53"/>
      <c r="P232" s="51">
        <f>_xlfn.NUMBERVALUE(LEFT(MCC_Table6[[#This Row],[BUCKET]],LEN(MCC_Table6[[#This Row],[BUCKET]])-1))</f>
        <v>11</v>
      </c>
      <c r="Q232" s="51" t="str">
        <f>RIGHT(MCC_Table6[[#This Row],[BUCKET]],1)</f>
        <v>A</v>
      </c>
      <c r="R232" s="51">
        <f>VLOOKUP(MCC_Table6[[#This Row],[START UNIT]],UnitMap[],2,FALSE)</f>
        <v>1</v>
      </c>
      <c r="S232" s="51" cm="1">
        <f t="array" ref="S23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232" s="51">
        <f>IF(ISNUMBER(MCC_Table6[[#This Row],[SIZE]]), MCC_Table6[[#This Row],[SIZE]]/6, 0)</f>
        <v>12</v>
      </c>
      <c r="U232" s="51">
        <f>MCC_Table6[[#This Row],[START INDEX]]+MCC_Table6[[#This Row],[UNITS USED]]-1</f>
        <v>12</v>
      </c>
      <c r="V232" s="12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</row>
    <row r="233" spans="1:52" x14ac:dyDescent="0.3">
      <c r="A233" s="67" t="s">
        <v>1253</v>
      </c>
      <c r="B233" s="51" t="s">
        <v>565</v>
      </c>
      <c r="C233" s="129" t="s">
        <v>1300</v>
      </c>
      <c r="D233" s="135" t="s">
        <v>1301</v>
      </c>
      <c r="E233" s="130" t="s">
        <v>904</v>
      </c>
      <c r="F233" s="86">
        <f>IF(ISNUMBER(MCC_Table6[[#This Row],[SIZE]]), MCC_Table6[[#This Row],[SIZE]]/12, 0)</f>
        <v>2</v>
      </c>
      <c r="G233" s="10">
        <v>2</v>
      </c>
      <c r="H233" s="10">
        <v>2</v>
      </c>
      <c r="I233" s="10"/>
      <c r="J233" s="10"/>
      <c r="K233" s="54">
        <v>15</v>
      </c>
      <c r="L233" s="54">
        <v>125</v>
      </c>
      <c r="M233" s="54">
        <v>10</v>
      </c>
      <c r="N233" s="54" t="s">
        <v>911</v>
      </c>
      <c r="O233" s="53"/>
      <c r="P233" s="51">
        <f>_xlfn.NUMBERVALUE(LEFT(MCC_Table6[[#This Row],[BUCKET]],LEN(MCC_Table6[[#This Row],[BUCKET]])-1))</f>
        <v>12</v>
      </c>
      <c r="Q233" s="51" t="str">
        <f>RIGHT(MCC_Table6[[#This Row],[BUCKET]],1)</f>
        <v>A</v>
      </c>
      <c r="R233" s="51">
        <f>VLOOKUP(MCC_Table6[[#This Row],[START UNIT]],UnitMap[],2,FALSE)</f>
        <v>1</v>
      </c>
      <c r="S233" s="51" cm="1">
        <f t="array" ref="S23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33" s="51">
        <f>IF(ISNUMBER(MCC_Table6[[#This Row],[SIZE]]), MCC_Table6[[#This Row],[SIZE]]/6, 0)</f>
        <v>4</v>
      </c>
      <c r="U233" s="51">
        <f>MCC_Table6[[#This Row],[START INDEX]]+MCC_Table6[[#This Row],[UNITS USED]]-1</f>
        <v>4</v>
      </c>
      <c r="V233" s="12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</row>
    <row r="234" spans="1:52" x14ac:dyDescent="0.3">
      <c r="A234" s="67" t="s">
        <v>1253</v>
      </c>
      <c r="B234" s="51" t="s">
        <v>949</v>
      </c>
      <c r="C234" s="129" t="s">
        <v>1302</v>
      </c>
      <c r="D234" s="135" t="s">
        <v>1303</v>
      </c>
      <c r="E234" s="130" t="s">
        <v>904</v>
      </c>
      <c r="F234" s="86">
        <f>IF(ISNUMBER(MCC_Table6[[#This Row],[SIZE]]), MCC_Table6[[#This Row],[SIZE]]/12, 0)</f>
        <v>2</v>
      </c>
      <c r="G234" s="10">
        <v>2</v>
      </c>
      <c r="H234" s="10">
        <v>2</v>
      </c>
      <c r="I234" s="10"/>
      <c r="J234" s="10"/>
      <c r="K234" s="54">
        <v>15</v>
      </c>
      <c r="L234" s="54">
        <v>125</v>
      </c>
      <c r="M234" s="54">
        <v>10</v>
      </c>
      <c r="N234" s="54" t="s">
        <v>911</v>
      </c>
      <c r="O234" s="53"/>
      <c r="P234" s="51">
        <f>_xlfn.NUMBERVALUE(LEFT(MCC_Table6[[#This Row],[BUCKET]],LEN(MCC_Table6[[#This Row],[BUCKET]])-1))</f>
        <v>12</v>
      </c>
      <c r="Q234" s="51" t="str">
        <f>RIGHT(MCC_Table6[[#This Row],[BUCKET]],1)</f>
        <v>E</v>
      </c>
      <c r="R234" s="51">
        <f>VLOOKUP(MCC_Table6[[#This Row],[START UNIT]],UnitMap[],2,FALSE)</f>
        <v>5</v>
      </c>
      <c r="S234" s="51" cm="1">
        <f t="array" ref="S23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34" s="51">
        <f>IF(ISNUMBER(MCC_Table6[[#This Row],[SIZE]]), MCC_Table6[[#This Row],[SIZE]]/6, 0)</f>
        <v>4</v>
      </c>
      <c r="U234" s="51">
        <f>MCC_Table6[[#This Row],[START INDEX]]+MCC_Table6[[#This Row],[UNITS USED]]-1</f>
        <v>8</v>
      </c>
      <c r="V234" s="12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</row>
    <row r="235" spans="1:52" x14ac:dyDescent="0.3">
      <c r="A235" s="67" t="s">
        <v>1253</v>
      </c>
      <c r="B235" s="51" t="s">
        <v>1047</v>
      </c>
      <c r="C235" s="129" t="s">
        <v>1304</v>
      </c>
      <c r="D235" s="135" t="s">
        <v>1305</v>
      </c>
      <c r="E235" s="130" t="s">
        <v>904</v>
      </c>
      <c r="F235" s="86">
        <f>IF(ISNUMBER(MCC_Table6[[#This Row],[SIZE]]), MCC_Table6[[#This Row],[SIZE]]/12, 0)</f>
        <v>2</v>
      </c>
      <c r="G235" s="10">
        <v>2</v>
      </c>
      <c r="H235" s="10">
        <v>2</v>
      </c>
      <c r="I235" s="10"/>
      <c r="J235" s="10"/>
      <c r="K235" s="54">
        <v>15</v>
      </c>
      <c r="L235" s="54">
        <v>125</v>
      </c>
      <c r="M235" s="54">
        <v>10</v>
      </c>
      <c r="N235" s="54" t="s">
        <v>911</v>
      </c>
      <c r="O235" s="53"/>
      <c r="P235" s="51">
        <f>_xlfn.NUMBERVALUE(LEFT(MCC_Table6[[#This Row],[BUCKET]],LEN(MCC_Table6[[#This Row],[BUCKET]])-1))</f>
        <v>12</v>
      </c>
      <c r="Q235" s="51" t="str">
        <f>RIGHT(MCC_Table6[[#This Row],[BUCKET]],1)</f>
        <v>J</v>
      </c>
      <c r="R235" s="51">
        <f>VLOOKUP(MCC_Table6[[#This Row],[START UNIT]],UnitMap[],2,FALSE)</f>
        <v>9</v>
      </c>
      <c r="S235" s="51" cm="1">
        <f t="array" ref="S23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35" s="51">
        <f>IF(ISNUMBER(MCC_Table6[[#This Row],[SIZE]]), MCC_Table6[[#This Row],[SIZE]]/6, 0)</f>
        <v>4</v>
      </c>
      <c r="U235" s="51">
        <f>MCC_Table6[[#This Row],[START INDEX]]+MCC_Table6[[#This Row],[UNITS USED]]-1</f>
        <v>12</v>
      </c>
      <c r="V235" s="12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</row>
    <row r="236" spans="1:52" x14ac:dyDescent="0.3">
      <c r="A236" s="67" t="s">
        <v>1253</v>
      </c>
      <c r="B236" s="51" t="s">
        <v>953</v>
      </c>
      <c r="C236" s="129" t="s">
        <v>53</v>
      </c>
      <c r="D236" s="135" t="s">
        <v>1306</v>
      </c>
      <c r="E236" s="130" t="s">
        <v>904</v>
      </c>
      <c r="F236" s="86">
        <f>IF(ISNUMBER(MCC_Table6[[#This Row],[SIZE]]), MCC_Table6[[#This Row],[SIZE]]/12, 0)</f>
        <v>2</v>
      </c>
      <c r="G236" s="10">
        <v>1</v>
      </c>
      <c r="H236" s="10">
        <v>1</v>
      </c>
      <c r="I236" s="10"/>
      <c r="J236" s="10"/>
      <c r="K236" s="54">
        <v>15</v>
      </c>
      <c r="L236" s="54">
        <v>125</v>
      </c>
      <c r="M236" s="54">
        <v>6</v>
      </c>
      <c r="N236" s="54" t="s">
        <v>911</v>
      </c>
      <c r="O236" s="53"/>
      <c r="P236" s="51">
        <f>_xlfn.NUMBERVALUE(LEFT(MCC_Table6[[#This Row],[BUCKET]],LEN(MCC_Table6[[#This Row],[BUCKET]])-1))</f>
        <v>13</v>
      </c>
      <c r="Q236" s="51" t="str">
        <f>RIGHT(MCC_Table6[[#This Row],[BUCKET]],1)</f>
        <v>A</v>
      </c>
      <c r="R236" s="51">
        <f>VLOOKUP(MCC_Table6[[#This Row],[START UNIT]],UnitMap[],2,FALSE)</f>
        <v>1</v>
      </c>
      <c r="S236" s="51" cm="1">
        <f t="array" ref="S23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36" s="51">
        <f>IF(ISNUMBER(MCC_Table6[[#This Row],[SIZE]]), MCC_Table6[[#This Row],[SIZE]]/6, 0)</f>
        <v>4</v>
      </c>
      <c r="U236" s="51">
        <f>MCC_Table6[[#This Row],[START INDEX]]+MCC_Table6[[#This Row],[UNITS USED]]-1</f>
        <v>4</v>
      </c>
      <c r="V236" s="12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</row>
    <row r="237" spans="1:52" x14ac:dyDescent="0.3">
      <c r="A237" s="67" t="s">
        <v>1253</v>
      </c>
      <c r="B237" s="51" t="s">
        <v>1216</v>
      </c>
      <c r="C237" s="129" t="s">
        <v>1307</v>
      </c>
      <c r="D237" s="135" t="s">
        <v>1308</v>
      </c>
      <c r="E237" s="130" t="s">
        <v>904</v>
      </c>
      <c r="F237" s="86">
        <f>IF(ISNUMBER(MCC_Table6[[#This Row],[SIZE]]), MCC_Table6[[#This Row],[SIZE]]/12, 0)</f>
        <v>3</v>
      </c>
      <c r="G237" s="10">
        <v>15</v>
      </c>
      <c r="H237" s="10">
        <v>15</v>
      </c>
      <c r="I237" s="10"/>
      <c r="J237" s="10"/>
      <c r="K237" s="54">
        <v>60</v>
      </c>
      <c r="L237" s="54">
        <v>125</v>
      </c>
      <c r="M237" s="54">
        <v>40</v>
      </c>
      <c r="N237" s="54" t="s">
        <v>1024</v>
      </c>
      <c r="O237" s="53"/>
      <c r="P237" s="51">
        <f>_xlfn.NUMBERVALUE(LEFT(MCC_Table6[[#This Row],[BUCKET]],LEN(MCC_Table6[[#This Row],[BUCKET]])-1))</f>
        <v>13</v>
      </c>
      <c r="Q237" s="51" t="str">
        <f>RIGHT(MCC_Table6[[#This Row],[BUCKET]],1)</f>
        <v>E</v>
      </c>
      <c r="R237" s="51">
        <f>VLOOKUP(MCC_Table6[[#This Row],[START UNIT]],UnitMap[],2,FALSE)</f>
        <v>5</v>
      </c>
      <c r="S237" s="51" cm="1">
        <f t="array" ref="S23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37" s="51">
        <f>IF(ISNUMBER(MCC_Table6[[#This Row],[SIZE]]), MCC_Table6[[#This Row],[SIZE]]/6, 0)</f>
        <v>6</v>
      </c>
      <c r="U237" s="51">
        <f>MCC_Table6[[#This Row],[START INDEX]]+MCC_Table6[[#This Row],[UNITS USED]]-1</f>
        <v>10</v>
      </c>
      <c r="V237" s="12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</row>
    <row r="238" spans="1:52" x14ac:dyDescent="0.3">
      <c r="A238" s="67" t="s">
        <v>1253</v>
      </c>
      <c r="B238" s="51" t="s">
        <v>1309</v>
      </c>
      <c r="C238" s="39" t="s">
        <v>1310</v>
      </c>
      <c r="D238" s="136" t="s">
        <v>992</v>
      </c>
      <c r="E238" s="39" t="s">
        <v>993</v>
      </c>
      <c r="F238" s="86">
        <f>IF(ISNUMBER(MCC_Table6[[#This Row],[SIZE]]), MCC_Table6[[#This Row],[SIZE]]/12, 0)</f>
        <v>1</v>
      </c>
      <c r="G238" s="10"/>
      <c r="H238" s="10"/>
      <c r="I238" s="10"/>
      <c r="J238" s="10"/>
      <c r="K238" s="54"/>
      <c r="L238" s="54"/>
      <c r="M238" s="54"/>
      <c r="N238" s="54"/>
      <c r="O238" s="53"/>
      <c r="P238" s="51">
        <f>_xlfn.NUMBERVALUE(LEFT(MCC_Table6[[#This Row],[BUCKET]],LEN(MCC_Table6[[#This Row],[BUCKET]])-1))</f>
        <v>13</v>
      </c>
      <c r="Q238" s="51" t="str">
        <f>RIGHT(MCC_Table6[[#This Row],[BUCKET]],1)</f>
        <v>L</v>
      </c>
      <c r="R238" s="51">
        <f>VLOOKUP(MCC_Table6[[#This Row],[START UNIT]],UnitMap[],2,FALSE)</f>
        <v>11</v>
      </c>
      <c r="S238" s="51" cm="1">
        <f t="array" ref="S23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38" s="51">
        <f>IF(ISNUMBER(MCC_Table6[[#This Row],[SIZE]]), MCC_Table6[[#This Row],[SIZE]]/6, 0)</f>
        <v>2</v>
      </c>
      <c r="U238" s="51">
        <f>MCC_Table6[[#This Row],[START INDEX]]+MCC_Table6[[#This Row],[UNITS USED]]-1</f>
        <v>12</v>
      </c>
      <c r="V238" s="12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</row>
    <row r="239" spans="1:52" x14ac:dyDescent="0.3">
      <c r="A239" s="67" t="s">
        <v>1253</v>
      </c>
      <c r="B239" s="51" t="s">
        <v>963</v>
      </c>
      <c r="C239" s="129" t="s">
        <v>1311</v>
      </c>
      <c r="D239" s="135" t="s">
        <v>1312</v>
      </c>
      <c r="E239" s="130" t="s">
        <v>904</v>
      </c>
      <c r="F239" s="86">
        <f>IF(ISNUMBER(MCC_Table6[[#This Row],[SIZE]]), MCC_Table6[[#This Row],[SIZE]]/12, 0)</f>
        <v>2</v>
      </c>
      <c r="G239" s="10">
        <v>3</v>
      </c>
      <c r="H239" s="10">
        <v>5</v>
      </c>
      <c r="I239" s="10"/>
      <c r="J239" s="10"/>
      <c r="K239" s="54">
        <v>15</v>
      </c>
      <c r="L239" s="54">
        <v>125</v>
      </c>
      <c r="M239" s="54">
        <v>15</v>
      </c>
      <c r="N239" s="54" t="s">
        <v>911</v>
      </c>
      <c r="O239" s="53"/>
      <c r="P239" s="51">
        <f>_xlfn.NUMBERVALUE(LEFT(MCC_Table6[[#This Row],[BUCKET]],LEN(MCC_Table6[[#This Row],[BUCKET]])-1))</f>
        <v>14</v>
      </c>
      <c r="Q239" s="51" t="str">
        <f>RIGHT(MCC_Table6[[#This Row],[BUCKET]],1)</f>
        <v>A</v>
      </c>
      <c r="R239" s="51">
        <f>VLOOKUP(MCC_Table6[[#This Row],[START UNIT]],UnitMap[],2,FALSE)</f>
        <v>1</v>
      </c>
      <c r="S239" s="51" cm="1">
        <f t="array" ref="S23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39" s="51">
        <f>IF(ISNUMBER(MCC_Table6[[#This Row],[SIZE]]), MCC_Table6[[#This Row],[SIZE]]/6, 0)</f>
        <v>4</v>
      </c>
      <c r="U239" s="51">
        <f>MCC_Table6[[#This Row],[START INDEX]]+MCC_Table6[[#This Row],[UNITS USED]]-1</f>
        <v>4</v>
      </c>
      <c r="V239" s="12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</row>
    <row r="240" spans="1:52" x14ac:dyDescent="0.3">
      <c r="A240" s="67" t="s">
        <v>1253</v>
      </c>
      <c r="B240" s="51" t="s">
        <v>966</v>
      </c>
      <c r="C240" s="129" t="s">
        <v>1313</v>
      </c>
      <c r="D240" s="135" t="s">
        <v>1314</v>
      </c>
      <c r="E240" s="130" t="s">
        <v>904</v>
      </c>
      <c r="F240" s="86">
        <f>IF(ISNUMBER(MCC_Table6[[#This Row],[SIZE]]), MCC_Table6[[#This Row],[SIZE]]/12, 0)</f>
        <v>2</v>
      </c>
      <c r="G240" s="10">
        <v>2</v>
      </c>
      <c r="H240" s="10">
        <v>2</v>
      </c>
      <c r="I240" s="10"/>
      <c r="J240" s="10"/>
      <c r="K240" s="54">
        <v>15</v>
      </c>
      <c r="L240" s="54">
        <v>125</v>
      </c>
      <c r="M240" s="54">
        <v>10</v>
      </c>
      <c r="N240" s="54" t="s">
        <v>911</v>
      </c>
      <c r="O240" s="53"/>
      <c r="P240" s="51">
        <f>_xlfn.NUMBERVALUE(LEFT(MCC_Table6[[#This Row],[BUCKET]],LEN(MCC_Table6[[#This Row],[BUCKET]])-1))</f>
        <v>14</v>
      </c>
      <c r="Q240" s="51" t="str">
        <f>RIGHT(MCC_Table6[[#This Row],[BUCKET]],1)</f>
        <v>E</v>
      </c>
      <c r="R240" s="51">
        <f>VLOOKUP(MCC_Table6[[#This Row],[START UNIT]],UnitMap[],2,FALSE)</f>
        <v>5</v>
      </c>
      <c r="S240" s="51" cm="1">
        <f t="array" ref="S24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40" s="51">
        <f>IF(ISNUMBER(MCC_Table6[[#This Row],[SIZE]]), MCC_Table6[[#This Row],[SIZE]]/6, 0)</f>
        <v>4</v>
      </c>
      <c r="U240" s="51">
        <f>MCC_Table6[[#This Row],[START INDEX]]+MCC_Table6[[#This Row],[UNITS USED]]-1</f>
        <v>8</v>
      </c>
      <c r="V240" s="12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</row>
    <row r="241" spans="1:52" x14ac:dyDescent="0.3">
      <c r="A241" s="67" t="s">
        <v>1253</v>
      </c>
      <c r="B241" s="51" t="s">
        <v>969</v>
      </c>
      <c r="C241" s="129" t="s">
        <v>1315</v>
      </c>
      <c r="D241" s="135" t="s">
        <v>1316</v>
      </c>
      <c r="E241" s="130" t="s">
        <v>904</v>
      </c>
      <c r="F241" s="86">
        <f>IF(ISNUMBER(MCC_Table6[[#This Row],[SIZE]]), MCC_Table6[[#This Row],[SIZE]]/12, 0)</f>
        <v>2</v>
      </c>
      <c r="G241" s="10">
        <v>3</v>
      </c>
      <c r="H241" s="10">
        <v>5</v>
      </c>
      <c r="I241" s="10"/>
      <c r="J241" s="10"/>
      <c r="K241" s="54">
        <v>15</v>
      </c>
      <c r="L241" s="54">
        <v>125</v>
      </c>
      <c r="M241" s="54">
        <v>15</v>
      </c>
      <c r="N241" s="54" t="s">
        <v>911</v>
      </c>
      <c r="O241" s="53"/>
      <c r="P241" s="51">
        <f>_xlfn.NUMBERVALUE(LEFT(MCC_Table6[[#This Row],[BUCKET]],LEN(MCC_Table6[[#This Row],[BUCKET]])-1))</f>
        <v>14</v>
      </c>
      <c r="Q241" s="51" t="str">
        <f>RIGHT(MCC_Table6[[#This Row],[BUCKET]],1)</f>
        <v>J</v>
      </c>
      <c r="R241" s="51">
        <f>VLOOKUP(MCC_Table6[[#This Row],[START UNIT]],UnitMap[],2,FALSE)</f>
        <v>9</v>
      </c>
      <c r="S241" s="51" cm="1">
        <f t="array" ref="S24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41" s="51">
        <f>IF(ISNUMBER(MCC_Table6[[#This Row],[SIZE]]), MCC_Table6[[#This Row],[SIZE]]/6, 0)</f>
        <v>4</v>
      </c>
      <c r="U241" s="51">
        <f>MCC_Table6[[#This Row],[START INDEX]]+MCC_Table6[[#This Row],[UNITS USED]]-1</f>
        <v>12</v>
      </c>
      <c r="V241" s="12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</row>
    <row r="242" spans="1:52" x14ac:dyDescent="0.3">
      <c r="A242" s="67" t="s">
        <v>1253</v>
      </c>
      <c r="B242" s="51" t="s">
        <v>972</v>
      </c>
      <c r="C242" s="129" t="s">
        <v>1317</v>
      </c>
      <c r="D242" s="135" t="s">
        <v>1318</v>
      </c>
      <c r="E242" s="130" t="s">
        <v>904</v>
      </c>
      <c r="F242" s="86">
        <f>IF(ISNUMBER(MCC_Table6[[#This Row],[SIZE]]), MCC_Table6[[#This Row],[SIZE]]/12, 0)</f>
        <v>2</v>
      </c>
      <c r="G242" s="10">
        <v>2</v>
      </c>
      <c r="H242" s="10">
        <v>2</v>
      </c>
      <c r="I242" s="10"/>
      <c r="J242" s="10"/>
      <c r="K242" s="54">
        <v>15</v>
      </c>
      <c r="L242" s="54">
        <v>125</v>
      </c>
      <c r="M242" s="54">
        <v>10</v>
      </c>
      <c r="N242" s="54" t="s">
        <v>911</v>
      </c>
      <c r="O242" s="53"/>
      <c r="P242" s="51">
        <f>_xlfn.NUMBERVALUE(LEFT(MCC_Table6[[#This Row],[BUCKET]],LEN(MCC_Table6[[#This Row],[BUCKET]])-1))</f>
        <v>15</v>
      </c>
      <c r="Q242" s="51" t="str">
        <f>RIGHT(MCC_Table6[[#This Row],[BUCKET]],1)</f>
        <v>A</v>
      </c>
      <c r="R242" s="51">
        <f>VLOOKUP(MCC_Table6[[#This Row],[START UNIT]],UnitMap[],2,FALSE)</f>
        <v>1</v>
      </c>
      <c r="S242" s="51" cm="1">
        <f t="array" ref="S24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42" s="51">
        <f>IF(ISNUMBER(MCC_Table6[[#This Row],[SIZE]]), MCC_Table6[[#This Row],[SIZE]]/6, 0)</f>
        <v>4</v>
      </c>
      <c r="U242" s="51">
        <f>MCC_Table6[[#This Row],[START INDEX]]+MCC_Table6[[#This Row],[UNITS USED]]-1</f>
        <v>4</v>
      </c>
      <c r="V242" s="12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</row>
    <row r="243" spans="1:52" x14ac:dyDescent="0.3">
      <c r="A243" s="67" t="s">
        <v>1253</v>
      </c>
      <c r="B243" s="51" t="s">
        <v>1143</v>
      </c>
      <c r="C243" s="129" t="s">
        <v>1319</v>
      </c>
      <c r="D243" s="135" t="s">
        <v>1320</v>
      </c>
      <c r="E243" s="130" t="s">
        <v>904</v>
      </c>
      <c r="F243" s="86">
        <f>IF(ISNUMBER(MCC_Table6[[#This Row],[SIZE]]), MCC_Table6[[#This Row],[SIZE]]/12, 0)</f>
        <v>2</v>
      </c>
      <c r="G243" s="10">
        <v>3</v>
      </c>
      <c r="H243" s="10">
        <v>5</v>
      </c>
      <c r="I243" s="10"/>
      <c r="J243" s="10"/>
      <c r="K243" s="54">
        <v>15</v>
      </c>
      <c r="L243" s="54">
        <v>125</v>
      </c>
      <c r="M243" s="54">
        <v>15</v>
      </c>
      <c r="N243" s="54" t="s">
        <v>911</v>
      </c>
      <c r="O243" s="53"/>
      <c r="P243" s="51">
        <f>_xlfn.NUMBERVALUE(LEFT(MCC_Table6[[#This Row],[BUCKET]],LEN(MCC_Table6[[#This Row],[BUCKET]])-1))</f>
        <v>15</v>
      </c>
      <c r="Q243" s="51" t="str">
        <f>RIGHT(MCC_Table6[[#This Row],[BUCKET]],1)</f>
        <v>E</v>
      </c>
      <c r="R243" s="51">
        <f>VLOOKUP(MCC_Table6[[#This Row],[START UNIT]],UnitMap[],2,FALSE)</f>
        <v>5</v>
      </c>
      <c r="S243" s="51" cm="1">
        <f t="array" ref="S24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43" s="51">
        <f>IF(ISNUMBER(MCC_Table6[[#This Row],[SIZE]]), MCC_Table6[[#This Row],[SIZE]]/6, 0)</f>
        <v>4</v>
      </c>
      <c r="U243" s="51">
        <f>MCC_Table6[[#This Row],[START INDEX]]+MCC_Table6[[#This Row],[UNITS USED]]-1</f>
        <v>8</v>
      </c>
      <c r="V243" s="12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</row>
    <row r="244" spans="1:52" x14ac:dyDescent="0.3">
      <c r="A244" s="67" t="s">
        <v>1253</v>
      </c>
      <c r="B244" s="51" t="s">
        <v>1144</v>
      </c>
      <c r="C244" s="129" t="s">
        <v>1321</v>
      </c>
      <c r="D244" s="135" t="s">
        <v>1322</v>
      </c>
      <c r="E244" s="130" t="s">
        <v>904</v>
      </c>
      <c r="F244" s="86">
        <f>IF(ISNUMBER(MCC_Table6[[#This Row],[SIZE]]), MCC_Table6[[#This Row],[SIZE]]/12, 0)</f>
        <v>2</v>
      </c>
      <c r="G244" s="10">
        <v>2</v>
      </c>
      <c r="H244" s="10">
        <v>2</v>
      </c>
      <c r="I244" s="10"/>
      <c r="J244" s="10"/>
      <c r="K244" s="54">
        <v>15</v>
      </c>
      <c r="L244" s="54">
        <v>125</v>
      </c>
      <c r="M244" s="54">
        <v>15</v>
      </c>
      <c r="N244" s="54" t="s">
        <v>911</v>
      </c>
      <c r="O244" s="53"/>
      <c r="P244" s="51">
        <f>_xlfn.NUMBERVALUE(LEFT(MCC_Table6[[#This Row],[BUCKET]],LEN(MCC_Table6[[#This Row],[BUCKET]])-1))</f>
        <v>15</v>
      </c>
      <c r="Q244" s="51" t="str">
        <f>RIGHT(MCC_Table6[[#This Row],[BUCKET]],1)</f>
        <v>J</v>
      </c>
      <c r="R244" s="51">
        <f>VLOOKUP(MCC_Table6[[#This Row],[START UNIT]],UnitMap[],2,FALSE)</f>
        <v>9</v>
      </c>
      <c r="S244" s="51" cm="1">
        <f t="array" ref="S24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44" s="51">
        <f>IF(ISNUMBER(MCC_Table6[[#This Row],[SIZE]]), MCC_Table6[[#This Row],[SIZE]]/6, 0)</f>
        <v>4</v>
      </c>
      <c r="U244" s="51">
        <f>MCC_Table6[[#This Row],[START INDEX]]+MCC_Table6[[#This Row],[UNITS USED]]-1</f>
        <v>12</v>
      </c>
      <c r="V244" s="12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</row>
    <row r="245" spans="1:52" x14ac:dyDescent="0.3">
      <c r="A245" s="67" t="s">
        <v>1253</v>
      </c>
      <c r="B245" s="51" t="s">
        <v>974</v>
      </c>
      <c r="C245" s="129" t="s">
        <v>1323</v>
      </c>
      <c r="D245" s="135" t="s">
        <v>1324</v>
      </c>
      <c r="E245" s="130" t="s">
        <v>904</v>
      </c>
      <c r="F245" s="86">
        <f>IF(ISNUMBER(MCC_Table6[[#This Row],[SIZE]]), MCC_Table6[[#This Row],[SIZE]]/12, 0)</f>
        <v>3</v>
      </c>
      <c r="G245" s="10">
        <v>15</v>
      </c>
      <c r="H245" s="10">
        <v>15</v>
      </c>
      <c r="I245" s="10"/>
      <c r="J245" s="10"/>
      <c r="K245" s="54">
        <v>60</v>
      </c>
      <c r="L245" s="54">
        <v>125</v>
      </c>
      <c r="M245" s="54">
        <v>40</v>
      </c>
      <c r="N245" s="54" t="s">
        <v>1024</v>
      </c>
      <c r="O245" s="53"/>
      <c r="P245" s="51">
        <f>_xlfn.NUMBERVALUE(LEFT(MCC_Table6[[#This Row],[BUCKET]],LEN(MCC_Table6[[#This Row],[BUCKET]])-1))</f>
        <v>16</v>
      </c>
      <c r="Q245" s="51" t="str">
        <f>RIGHT(MCC_Table6[[#This Row],[BUCKET]],1)</f>
        <v>A</v>
      </c>
      <c r="R245" s="51">
        <f>VLOOKUP(MCC_Table6[[#This Row],[START UNIT]],UnitMap[],2,FALSE)</f>
        <v>1</v>
      </c>
      <c r="S245" s="51" cm="1">
        <f t="array" ref="S24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45" s="51">
        <f>IF(ISNUMBER(MCC_Table6[[#This Row],[SIZE]]), MCC_Table6[[#This Row],[SIZE]]/6, 0)</f>
        <v>6</v>
      </c>
      <c r="U245" s="51">
        <f>MCC_Table6[[#This Row],[START INDEX]]+MCC_Table6[[#This Row],[UNITS USED]]-1</f>
        <v>6</v>
      </c>
      <c r="V245" s="12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</row>
    <row r="246" spans="1:52" x14ac:dyDescent="0.3">
      <c r="A246" s="67" t="s">
        <v>1253</v>
      </c>
      <c r="B246" s="51" t="s">
        <v>1150</v>
      </c>
      <c r="C246" s="129" t="s">
        <v>1325</v>
      </c>
      <c r="D246" s="135" t="s">
        <v>1326</v>
      </c>
      <c r="E246" s="130" t="s">
        <v>904</v>
      </c>
      <c r="F246" s="86">
        <f>IF(ISNUMBER(MCC_Table6[[#This Row],[SIZE]]), MCC_Table6[[#This Row],[SIZE]]/12, 0)</f>
        <v>3</v>
      </c>
      <c r="G246" s="10">
        <v>15</v>
      </c>
      <c r="H246" s="10">
        <v>15</v>
      </c>
      <c r="I246" s="10"/>
      <c r="J246" s="10"/>
      <c r="K246" s="54">
        <v>60</v>
      </c>
      <c r="L246" s="54">
        <v>125</v>
      </c>
      <c r="M246" s="54">
        <v>40</v>
      </c>
      <c r="N246" s="54" t="s">
        <v>1024</v>
      </c>
      <c r="O246" s="53"/>
      <c r="P246" s="51">
        <f>_xlfn.NUMBERVALUE(LEFT(MCC_Table6[[#This Row],[BUCKET]],LEN(MCC_Table6[[#This Row],[BUCKET]])-1))</f>
        <v>16</v>
      </c>
      <c r="Q246" s="51" t="str">
        <f>RIGHT(MCC_Table6[[#This Row],[BUCKET]],1)</f>
        <v>G</v>
      </c>
      <c r="R246" s="51">
        <f>VLOOKUP(MCC_Table6[[#This Row],[START UNIT]],UnitMap[],2,FALSE)</f>
        <v>7</v>
      </c>
      <c r="S246" s="51" cm="1">
        <f t="array" ref="S24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46" s="51">
        <f>IF(ISNUMBER(MCC_Table6[[#This Row],[SIZE]]), MCC_Table6[[#This Row],[SIZE]]/6, 0)</f>
        <v>6</v>
      </c>
      <c r="U246" s="51">
        <f>MCC_Table6[[#This Row],[START INDEX]]+MCC_Table6[[#This Row],[UNITS USED]]-1</f>
        <v>12</v>
      </c>
      <c r="V246" s="12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</row>
    <row r="247" spans="1:52" x14ac:dyDescent="0.3">
      <c r="A247" s="67" t="s">
        <v>1253</v>
      </c>
      <c r="B247" s="51" t="s">
        <v>982</v>
      </c>
      <c r="C247" s="129" t="s">
        <v>1327</v>
      </c>
      <c r="D247" s="135" t="s">
        <v>1328</v>
      </c>
      <c r="E247" s="130" t="s">
        <v>904</v>
      </c>
      <c r="F247" s="86">
        <f>IF(ISNUMBER(MCC_Table6[[#This Row],[SIZE]]), MCC_Table6[[#This Row],[SIZE]]/12, 0)</f>
        <v>3</v>
      </c>
      <c r="G247" s="10">
        <v>15</v>
      </c>
      <c r="H247" s="10">
        <v>15</v>
      </c>
      <c r="I247" s="10"/>
      <c r="J247" s="10"/>
      <c r="K247" s="54">
        <v>60</v>
      </c>
      <c r="L247" s="54">
        <v>125</v>
      </c>
      <c r="M247" s="54">
        <v>40</v>
      </c>
      <c r="N247" s="54" t="s">
        <v>1024</v>
      </c>
      <c r="O247" s="53"/>
      <c r="P247" s="51">
        <f>_xlfn.NUMBERVALUE(LEFT(MCC_Table6[[#This Row],[BUCKET]],LEN(MCC_Table6[[#This Row],[BUCKET]])-1))</f>
        <v>17</v>
      </c>
      <c r="Q247" s="51" t="str">
        <f>RIGHT(MCC_Table6[[#This Row],[BUCKET]],1)</f>
        <v>A</v>
      </c>
      <c r="R247" s="51">
        <f>VLOOKUP(MCC_Table6[[#This Row],[START UNIT]],UnitMap[],2,FALSE)</f>
        <v>1</v>
      </c>
      <c r="S247" s="51" cm="1">
        <f t="array" ref="S24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47" s="51">
        <f>IF(ISNUMBER(MCC_Table6[[#This Row],[SIZE]]), MCC_Table6[[#This Row],[SIZE]]/6, 0)</f>
        <v>6</v>
      </c>
      <c r="U247" s="51">
        <f>MCC_Table6[[#This Row],[START INDEX]]+MCC_Table6[[#This Row],[UNITS USED]]-1</f>
        <v>6</v>
      </c>
      <c r="V247" s="12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</row>
    <row r="248" spans="1:52" x14ac:dyDescent="0.3">
      <c r="A248" s="67" t="s">
        <v>1253</v>
      </c>
      <c r="B248" s="51" t="s">
        <v>1074</v>
      </c>
      <c r="C248" s="129" t="s">
        <v>1329</v>
      </c>
      <c r="D248" s="135" t="s">
        <v>1330</v>
      </c>
      <c r="E248" s="130" t="s">
        <v>904</v>
      </c>
      <c r="F248" s="86">
        <f>IF(ISNUMBER(MCC_Table6[[#This Row],[SIZE]]), MCC_Table6[[#This Row],[SIZE]]/12, 0)</f>
        <v>3</v>
      </c>
      <c r="G248" s="10">
        <v>15</v>
      </c>
      <c r="H248" s="10">
        <v>15</v>
      </c>
      <c r="I248" s="10"/>
      <c r="J248" s="10"/>
      <c r="K248" s="54">
        <v>60</v>
      </c>
      <c r="L248" s="54">
        <v>125</v>
      </c>
      <c r="M248" s="54">
        <v>40</v>
      </c>
      <c r="N248" s="54" t="s">
        <v>1024</v>
      </c>
      <c r="O248" s="53"/>
      <c r="P248" s="51">
        <f>_xlfn.NUMBERVALUE(LEFT(MCC_Table6[[#This Row],[BUCKET]],LEN(MCC_Table6[[#This Row],[BUCKET]])-1))</f>
        <v>17</v>
      </c>
      <c r="Q248" s="51" t="str">
        <f>RIGHT(MCC_Table6[[#This Row],[BUCKET]],1)</f>
        <v>G</v>
      </c>
      <c r="R248" s="51">
        <f>VLOOKUP(MCC_Table6[[#This Row],[START UNIT]],UnitMap[],2,FALSE)</f>
        <v>7</v>
      </c>
      <c r="S248" s="51" cm="1">
        <f t="array" ref="S24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36</v>
      </c>
      <c r="T248" s="51">
        <f>IF(ISNUMBER(MCC_Table6[[#This Row],[SIZE]]), MCC_Table6[[#This Row],[SIZE]]/6, 0)</f>
        <v>6</v>
      </c>
      <c r="U248" s="51">
        <f>MCC_Table6[[#This Row],[START INDEX]]+MCC_Table6[[#This Row],[UNITS USED]]-1</f>
        <v>12</v>
      </c>
      <c r="V248" s="12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</row>
    <row r="249" spans="1:52" x14ac:dyDescent="0.3">
      <c r="A249" s="67" t="s">
        <v>1253</v>
      </c>
      <c r="B249" s="51" t="s">
        <v>986</v>
      </c>
      <c r="C249" s="129" t="s">
        <v>462</v>
      </c>
      <c r="D249" s="135"/>
      <c r="E249" s="130"/>
      <c r="F249" s="86">
        <f>IF(ISNUMBER(MCC_Table6[[#This Row],[SIZE]]), MCC_Table6[[#This Row],[SIZE]]/12, 0)</f>
        <v>1</v>
      </c>
      <c r="G249" s="10"/>
      <c r="H249" s="10"/>
      <c r="I249" s="10"/>
      <c r="J249" s="10"/>
      <c r="K249" s="54"/>
      <c r="L249" s="54"/>
      <c r="M249" s="54"/>
      <c r="N249" s="54"/>
      <c r="O249" s="53"/>
      <c r="P249" s="51">
        <f>_xlfn.NUMBERVALUE(LEFT(MCC_Table6[[#This Row],[BUCKET]],LEN(MCC_Table6[[#This Row],[BUCKET]])-1))</f>
        <v>18</v>
      </c>
      <c r="Q249" s="51" t="str">
        <f>RIGHT(MCC_Table6[[#This Row],[BUCKET]],1)</f>
        <v>A</v>
      </c>
      <c r="R249" s="51">
        <f>VLOOKUP(MCC_Table6[[#This Row],[START UNIT]],UnitMap[],2,FALSE)</f>
        <v>1</v>
      </c>
      <c r="S249" s="51" cm="1">
        <f t="array" ref="S24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49" s="51">
        <f>IF(ISNUMBER(MCC_Table6[[#This Row],[SIZE]]), MCC_Table6[[#This Row],[SIZE]]/6, 0)</f>
        <v>2</v>
      </c>
      <c r="U249" s="51">
        <f>MCC_Table6[[#This Row],[START INDEX]]+MCC_Table6[[#This Row],[UNITS USED]]-1</f>
        <v>2</v>
      </c>
      <c r="V249" s="12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</row>
    <row r="250" spans="1:52" x14ac:dyDescent="0.3">
      <c r="A250" s="67" t="s">
        <v>1253</v>
      </c>
      <c r="B250" s="51" t="s">
        <v>1077</v>
      </c>
      <c r="C250" s="129" t="s">
        <v>1331</v>
      </c>
      <c r="D250" s="135" t="s">
        <v>1332</v>
      </c>
      <c r="E250" s="130" t="s">
        <v>904</v>
      </c>
      <c r="F250" s="86">
        <f>IF(ISNUMBER(MCC_Table6[[#This Row],[SIZE]]), MCC_Table6[[#This Row],[SIZE]]/12, 0)</f>
        <v>2.5</v>
      </c>
      <c r="G250" s="10">
        <v>7.5</v>
      </c>
      <c r="H250" s="10">
        <v>10</v>
      </c>
      <c r="I250" s="10"/>
      <c r="J250" s="10"/>
      <c r="K250" s="54">
        <v>30</v>
      </c>
      <c r="L250" s="54">
        <v>125</v>
      </c>
      <c r="M250" s="54">
        <v>25</v>
      </c>
      <c r="N250" s="54" t="s">
        <v>911</v>
      </c>
      <c r="O250" s="53"/>
      <c r="P250" s="51">
        <f>_xlfn.NUMBERVALUE(LEFT(MCC_Table6[[#This Row],[BUCKET]],LEN(MCC_Table6[[#This Row],[BUCKET]])-1))</f>
        <v>18</v>
      </c>
      <c r="Q250" s="51" t="str">
        <f>RIGHT(MCC_Table6[[#This Row],[BUCKET]],1)</f>
        <v>C</v>
      </c>
      <c r="R250" s="51">
        <f>VLOOKUP(MCC_Table6[[#This Row],[START UNIT]],UnitMap[],2,FALSE)</f>
        <v>3</v>
      </c>
      <c r="S250" s="51" cm="1">
        <f t="array" ref="S25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50" s="51">
        <f>IF(ISNUMBER(MCC_Table6[[#This Row],[SIZE]]), MCC_Table6[[#This Row],[SIZE]]/6, 0)</f>
        <v>5</v>
      </c>
      <c r="U250" s="51">
        <f>MCC_Table6[[#This Row],[START INDEX]]+MCC_Table6[[#This Row],[UNITS USED]]-1</f>
        <v>7</v>
      </c>
      <c r="V250" s="12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</row>
    <row r="251" spans="1:52" x14ac:dyDescent="0.3">
      <c r="A251" s="67" t="s">
        <v>1253</v>
      </c>
      <c r="B251" s="51" t="s">
        <v>1244</v>
      </c>
      <c r="C251" s="129" t="s">
        <v>1333</v>
      </c>
      <c r="D251" s="135" t="s">
        <v>1334</v>
      </c>
      <c r="E251" s="130" t="s">
        <v>904</v>
      </c>
      <c r="F251" s="86">
        <f>IF(ISNUMBER(MCC_Table6[[#This Row],[SIZE]]), MCC_Table6[[#This Row],[SIZE]]/12, 0)</f>
        <v>2.5</v>
      </c>
      <c r="G251" s="10">
        <v>7.5</v>
      </c>
      <c r="H251" s="10">
        <v>10</v>
      </c>
      <c r="I251" s="10"/>
      <c r="J251" s="10"/>
      <c r="K251" s="54">
        <v>30</v>
      </c>
      <c r="L251" s="54">
        <v>125</v>
      </c>
      <c r="M251" s="54">
        <v>25</v>
      </c>
      <c r="N251" s="54" t="s">
        <v>911</v>
      </c>
      <c r="O251" s="53"/>
      <c r="P251" s="51">
        <f>_xlfn.NUMBERVALUE(LEFT(MCC_Table6[[#This Row],[BUCKET]],LEN(MCC_Table6[[#This Row],[BUCKET]])-1))</f>
        <v>18</v>
      </c>
      <c r="Q251" s="51" t="str">
        <f>RIGHT(MCC_Table6[[#This Row],[BUCKET]],1)</f>
        <v>H</v>
      </c>
      <c r="R251" s="51">
        <f>VLOOKUP(MCC_Table6[[#This Row],[START UNIT]],UnitMap[],2,FALSE)</f>
        <v>8</v>
      </c>
      <c r="S251" s="51" cm="1">
        <f t="array" ref="S25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51" s="51">
        <f>IF(ISNUMBER(MCC_Table6[[#This Row],[SIZE]]), MCC_Table6[[#This Row],[SIZE]]/6, 0)</f>
        <v>5</v>
      </c>
      <c r="U251" s="51">
        <f>MCC_Table6[[#This Row],[START INDEX]]+MCC_Table6[[#This Row],[UNITS USED]]-1</f>
        <v>12</v>
      </c>
      <c r="V251" s="12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</row>
    <row r="252" spans="1:52" x14ac:dyDescent="0.3">
      <c r="A252" s="67"/>
      <c r="B252" s="51"/>
      <c r="C252" s="129"/>
      <c r="D252" s="135"/>
      <c r="E252" s="130"/>
      <c r="F252" s="86">
        <f>IF(ISNUMBER(MCC_Table6[[#This Row],[SIZE]]), MCC_Table6[[#This Row],[SIZE]]/12, 0)</f>
        <v>0</v>
      </c>
      <c r="G252" s="10"/>
      <c r="H252" s="10"/>
      <c r="I252" s="10"/>
      <c r="J252" s="10"/>
      <c r="K252" s="54"/>
      <c r="L252" s="54"/>
      <c r="M252" s="54"/>
      <c r="N252" s="54"/>
      <c r="O252" s="53"/>
      <c r="P252" s="51" t="e">
        <f>_xlfn.NUMBERVALUE(LEFT(MCC_Table6[[#This Row],[BUCKET]],LEN(MCC_Table6[[#This Row],[BUCKET]])-1))</f>
        <v>#VALUE!</v>
      </c>
      <c r="Q252" s="51" t="str">
        <f>RIGHT(MCC_Table6[[#This Row],[BUCKET]],1)</f>
        <v/>
      </c>
      <c r="R252" s="51" t="e">
        <f>VLOOKUP(MCC_Table6[[#This Row],[START UNIT]],UnitMap[],2,FALSE)</f>
        <v>#N/A</v>
      </c>
      <c r="S252" s="51" t="e" cm="1">
        <f t="array" ref="S25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2" s="51">
        <f>IF(ISNUMBER(MCC_Table6[[#This Row],[SIZE]]), MCC_Table6[[#This Row],[SIZE]]/6, 0)</f>
        <v>0</v>
      </c>
      <c r="U252" s="51" t="e">
        <f>MCC_Table6[[#This Row],[START INDEX]]+MCC_Table6[[#This Row],[UNITS USED]]-1</f>
        <v>#N/A</v>
      </c>
      <c r="V252" s="12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</row>
    <row r="253" spans="1:52" x14ac:dyDescent="0.3">
      <c r="A253" s="67"/>
      <c r="B253" s="51"/>
      <c r="C253" s="129"/>
      <c r="D253" s="135"/>
      <c r="E253" s="130"/>
      <c r="F253" s="86">
        <f>IF(ISNUMBER(MCC_Table6[[#This Row],[SIZE]]), MCC_Table6[[#This Row],[SIZE]]/12, 0)</f>
        <v>0</v>
      </c>
      <c r="G253" s="10"/>
      <c r="H253" s="10"/>
      <c r="I253" s="10"/>
      <c r="J253" s="10"/>
      <c r="K253" s="54"/>
      <c r="L253" s="54"/>
      <c r="M253" s="54"/>
      <c r="N253" s="54"/>
      <c r="O253" s="53"/>
      <c r="P253" s="51" t="e">
        <f>_xlfn.NUMBERVALUE(LEFT(MCC_Table6[[#This Row],[BUCKET]],LEN(MCC_Table6[[#This Row],[BUCKET]])-1))</f>
        <v>#VALUE!</v>
      </c>
      <c r="Q253" s="51" t="str">
        <f>RIGHT(MCC_Table6[[#This Row],[BUCKET]],1)</f>
        <v/>
      </c>
      <c r="R253" s="51" t="e">
        <f>VLOOKUP(MCC_Table6[[#This Row],[START UNIT]],UnitMap[],2,FALSE)</f>
        <v>#N/A</v>
      </c>
      <c r="S253" s="51" t="e" cm="1">
        <f t="array" ref="S25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3" s="51">
        <f>IF(ISNUMBER(MCC_Table6[[#This Row],[SIZE]]), MCC_Table6[[#This Row],[SIZE]]/6, 0)</f>
        <v>0</v>
      </c>
      <c r="U253" s="51" t="e">
        <f>MCC_Table6[[#This Row],[START INDEX]]+MCC_Table6[[#This Row],[UNITS USED]]-1</f>
        <v>#N/A</v>
      </c>
      <c r="V253" s="12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</row>
    <row r="254" spans="1:52" x14ac:dyDescent="0.3">
      <c r="A254" s="67"/>
      <c r="B254" s="51"/>
      <c r="C254" s="129"/>
      <c r="D254" s="135"/>
      <c r="E254" s="130"/>
      <c r="F254" s="86">
        <f>IF(ISNUMBER(MCC_Table6[[#This Row],[SIZE]]), MCC_Table6[[#This Row],[SIZE]]/12, 0)</f>
        <v>0</v>
      </c>
      <c r="G254" s="10"/>
      <c r="H254" s="10"/>
      <c r="I254" s="10"/>
      <c r="J254" s="10"/>
      <c r="K254" s="54"/>
      <c r="L254" s="54"/>
      <c r="M254" s="54"/>
      <c r="N254" s="54"/>
      <c r="O254" s="53"/>
      <c r="P254" s="51" t="e">
        <f>_xlfn.NUMBERVALUE(LEFT(MCC_Table6[[#This Row],[BUCKET]],LEN(MCC_Table6[[#This Row],[BUCKET]])-1))</f>
        <v>#VALUE!</v>
      </c>
      <c r="Q254" s="51" t="str">
        <f>RIGHT(MCC_Table6[[#This Row],[BUCKET]],1)</f>
        <v/>
      </c>
      <c r="R254" s="51" t="e">
        <f>VLOOKUP(MCC_Table6[[#This Row],[START UNIT]],UnitMap[],2,FALSE)</f>
        <v>#N/A</v>
      </c>
      <c r="S254" s="51" t="e" cm="1">
        <f t="array" ref="S25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4" s="51">
        <f>IF(ISNUMBER(MCC_Table6[[#This Row],[SIZE]]), MCC_Table6[[#This Row],[SIZE]]/6, 0)</f>
        <v>0</v>
      </c>
      <c r="U254" s="51" t="e">
        <f>MCC_Table6[[#This Row],[START INDEX]]+MCC_Table6[[#This Row],[UNITS USED]]-1</f>
        <v>#N/A</v>
      </c>
      <c r="V254" s="12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</row>
    <row r="255" spans="1:52" x14ac:dyDescent="0.3">
      <c r="A255" s="97"/>
      <c r="B255" s="51"/>
      <c r="C255" s="129"/>
      <c r="D255" s="135"/>
      <c r="E255" s="130"/>
      <c r="F255" s="86">
        <f>IF(ISNUMBER(MCC_Table6[[#This Row],[SIZE]]), MCC_Table6[[#This Row],[SIZE]]/12, 0)</f>
        <v>0</v>
      </c>
      <c r="G255" s="10"/>
      <c r="H255" s="10"/>
      <c r="I255" s="10"/>
      <c r="J255" s="10"/>
      <c r="K255" s="54"/>
      <c r="L255" s="54"/>
      <c r="M255" s="54"/>
      <c r="N255" s="54"/>
      <c r="O255" s="53"/>
      <c r="P255" s="51" t="e">
        <f>_xlfn.NUMBERVALUE(LEFT(MCC_Table6[[#This Row],[BUCKET]],LEN(MCC_Table6[[#This Row],[BUCKET]])-1))</f>
        <v>#VALUE!</v>
      </c>
      <c r="Q255" s="51" t="str">
        <f>RIGHT(MCC_Table6[[#This Row],[BUCKET]],1)</f>
        <v/>
      </c>
      <c r="R255" s="51" t="e">
        <f>VLOOKUP(MCC_Table6[[#This Row],[START UNIT]],UnitMap[],2,FALSE)</f>
        <v>#N/A</v>
      </c>
      <c r="S255" s="51" t="e" cm="1">
        <f t="array" ref="S25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5" s="51">
        <f>IF(ISNUMBER(MCC_Table6[[#This Row],[SIZE]]), MCC_Table6[[#This Row],[SIZE]]/6, 0)</f>
        <v>0</v>
      </c>
      <c r="U255" s="51" t="e">
        <f>MCC_Table6[[#This Row],[START INDEX]]+MCC_Table6[[#This Row],[UNITS USED]]-1</f>
        <v>#N/A</v>
      </c>
      <c r="V255" s="12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</row>
    <row r="256" spans="1:52" x14ac:dyDescent="0.3">
      <c r="A256" s="97"/>
      <c r="B256" s="51"/>
      <c r="C256" s="129"/>
      <c r="D256" s="135"/>
      <c r="E256" s="130"/>
      <c r="F256" s="86">
        <f>IF(ISNUMBER(MCC_Table6[[#This Row],[SIZE]]), MCC_Table6[[#This Row],[SIZE]]/12, 0)</f>
        <v>0</v>
      </c>
      <c r="G256" s="10"/>
      <c r="H256" s="10"/>
      <c r="I256" s="10"/>
      <c r="J256" s="10"/>
      <c r="K256" s="54"/>
      <c r="L256" s="54"/>
      <c r="M256" s="54"/>
      <c r="N256" s="54"/>
      <c r="O256" s="53"/>
      <c r="P256" s="51" t="e">
        <f>_xlfn.NUMBERVALUE(LEFT(MCC_Table6[[#This Row],[BUCKET]],LEN(MCC_Table6[[#This Row],[BUCKET]])-1))</f>
        <v>#VALUE!</v>
      </c>
      <c r="Q256" s="51" t="str">
        <f>RIGHT(MCC_Table6[[#This Row],[BUCKET]],1)</f>
        <v/>
      </c>
      <c r="R256" s="51" t="e">
        <f>VLOOKUP(MCC_Table6[[#This Row],[START UNIT]],UnitMap[],2,FALSE)</f>
        <v>#N/A</v>
      </c>
      <c r="S256" s="51" t="e" cm="1">
        <f t="array" ref="S25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6" s="51">
        <f>IF(ISNUMBER(MCC_Table6[[#This Row],[SIZE]]), MCC_Table6[[#This Row],[SIZE]]/6, 0)</f>
        <v>0</v>
      </c>
      <c r="U256" s="51" t="e">
        <f>MCC_Table6[[#This Row],[START INDEX]]+MCC_Table6[[#This Row],[UNITS USED]]-1</f>
        <v>#N/A</v>
      </c>
      <c r="V256" s="12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</row>
    <row r="257" spans="1:52" x14ac:dyDescent="0.3">
      <c r="A257" s="97"/>
      <c r="B257" s="51"/>
      <c r="C257" s="129"/>
      <c r="D257" s="135"/>
      <c r="E257" s="130"/>
      <c r="F257" s="86">
        <f>IF(ISNUMBER(MCC_Table6[[#This Row],[SIZE]]), MCC_Table6[[#This Row],[SIZE]]/12, 0)</f>
        <v>0</v>
      </c>
      <c r="G257" s="10"/>
      <c r="H257" s="10"/>
      <c r="I257" s="10"/>
      <c r="J257" s="10"/>
      <c r="K257" s="54"/>
      <c r="L257" s="54"/>
      <c r="M257" s="54"/>
      <c r="N257" s="54"/>
      <c r="O257" s="53"/>
      <c r="P257" s="51" t="e">
        <f>_xlfn.NUMBERVALUE(LEFT(MCC_Table6[[#This Row],[BUCKET]],LEN(MCC_Table6[[#This Row],[BUCKET]])-1))</f>
        <v>#VALUE!</v>
      </c>
      <c r="Q257" s="51" t="str">
        <f>RIGHT(MCC_Table6[[#This Row],[BUCKET]],1)</f>
        <v/>
      </c>
      <c r="R257" s="51" t="e">
        <f>VLOOKUP(MCC_Table6[[#This Row],[START UNIT]],UnitMap[],2,FALSE)</f>
        <v>#N/A</v>
      </c>
      <c r="S257" s="51" t="e" cm="1">
        <f t="array" ref="S25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7" s="51">
        <f>IF(ISNUMBER(MCC_Table6[[#This Row],[SIZE]]), MCC_Table6[[#This Row],[SIZE]]/6, 0)</f>
        <v>0</v>
      </c>
      <c r="U257" s="51" t="e">
        <f>MCC_Table6[[#This Row],[START INDEX]]+MCC_Table6[[#This Row],[UNITS USED]]-1</f>
        <v>#N/A</v>
      </c>
      <c r="V257" s="12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</row>
    <row r="258" spans="1:52" x14ac:dyDescent="0.3">
      <c r="A258" s="97"/>
      <c r="B258" s="51"/>
      <c r="C258" s="129"/>
      <c r="D258" s="135"/>
      <c r="E258" s="130"/>
      <c r="F258" s="86">
        <f>IF(ISNUMBER(MCC_Table6[[#This Row],[SIZE]]), MCC_Table6[[#This Row],[SIZE]]/12, 0)</f>
        <v>0</v>
      </c>
      <c r="G258" s="10"/>
      <c r="H258" s="10"/>
      <c r="I258" s="10"/>
      <c r="J258" s="10"/>
      <c r="K258" s="54"/>
      <c r="L258" s="54"/>
      <c r="M258" s="54"/>
      <c r="N258" s="54"/>
      <c r="O258" s="53"/>
      <c r="P258" s="51" t="e">
        <f>_xlfn.NUMBERVALUE(LEFT(MCC_Table6[[#This Row],[BUCKET]],LEN(MCC_Table6[[#This Row],[BUCKET]])-1))</f>
        <v>#VALUE!</v>
      </c>
      <c r="Q258" s="51" t="str">
        <f>RIGHT(MCC_Table6[[#This Row],[BUCKET]],1)</f>
        <v/>
      </c>
      <c r="R258" s="51" t="e">
        <f>VLOOKUP(MCC_Table6[[#This Row],[START UNIT]],UnitMap[],2,FALSE)</f>
        <v>#N/A</v>
      </c>
      <c r="S258" s="51" t="e" cm="1">
        <f t="array" ref="S25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8" s="51">
        <f>IF(ISNUMBER(MCC_Table6[[#This Row],[SIZE]]), MCC_Table6[[#This Row],[SIZE]]/6, 0)</f>
        <v>0</v>
      </c>
      <c r="U258" s="51" t="e">
        <f>MCC_Table6[[#This Row],[START INDEX]]+MCC_Table6[[#This Row],[UNITS USED]]-1</f>
        <v>#N/A</v>
      </c>
      <c r="V258" s="12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</row>
    <row r="259" spans="1:52" x14ac:dyDescent="0.3">
      <c r="A259" s="97"/>
      <c r="B259" s="51"/>
      <c r="C259" s="129"/>
      <c r="D259" s="135"/>
      <c r="E259" s="130"/>
      <c r="F259" s="86">
        <f>IF(ISNUMBER(MCC_Table6[[#This Row],[SIZE]]), MCC_Table6[[#This Row],[SIZE]]/12, 0)</f>
        <v>0</v>
      </c>
      <c r="G259" s="10"/>
      <c r="H259" s="10"/>
      <c r="I259" s="10"/>
      <c r="J259" s="10"/>
      <c r="K259" s="54"/>
      <c r="L259" s="54"/>
      <c r="M259" s="54"/>
      <c r="N259" s="54"/>
      <c r="O259" s="53"/>
      <c r="P259" s="51" t="e">
        <f>_xlfn.NUMBERVALUE(LEFT(MCC_Table6[[#This Row],[BUCKET]],LEN(MCC_Table6[[#This Row],[BUCKET]])-1))</f>
        <v>#VALUE!</v>
      </c>
      <c r="Q259" s="51" t="str">
        <f>RIGHT(MCC_Table6[[#This Row],[BUCKET]],1)</f>
        <v/>
      </c>
      <c r="R259" s="51" t="e">
        <f>VLOOKUP(MCC_Table6[[#This Row],[START UNIT]],UnitMap[],2,FALSE)</f>
        <v>#N/A</v>
      </c>
      <c r="S259" s="51" t="e" cm="1">
        <f t="array" ref="S25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59" s="51">
        <f>IF(ISNUMBER(MCC_Table6[[#This Row],[SIZE]]), MCC_Table6[[#This Row],[SIZE]]/6, 0)</f>
        <v>0</v>
      </c>
      <c r="U259" s="51" t="e">
        <f>MCC_Table6[[#This Row],[START INDEX]]+MCC_Table6[[#This Row],[UNITS USED]]-1</f>
        <v>#N/A</v>
      </c>
      <c r="V259" s="12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</row>
    <row r="260" spans="1:52" x14ac:dyDescent="0.3">
      <c r="A260" s="97"/>
      <c r="B260" s="51"/>
      <c r="C260" s="129"/>
      <c r="D260" s="135"/>
      <c r="E260" s="130"/>
      <c r="F260" s="86">
        <f>IF(ISNUMBER(MCC_Table6[[#This Row],[SIZE]]), MCC_Table6[[#This Row],[SIZE]]/12, 0)</f>
        <v>0</v>
      </c>
      <c r="G260" s="10"/>
      <c r="H260" s="10"/>
      <c r="I260" s="10"/>
      <c r="J260" s="10"/>
      <c r="K260" s="54"/>
      <c r="L260" s="54"/>
      <c r="M260" s="54"/>
      <c r="N260" s="54"/>
      <c r="O260" s="53"/>
      <c r="P260" s="51" t="e">
        <f>_xlfn.NUMBERVALUE(LEFT(MCC_Table6[[#This Row],[BUCKET]],LEN(MCC_Table6[[#This Row],[BUCKET]])-1))</f>
        <v>#VALUE!</v>
      </c>
      <c r="Q260" s="51" t="str">
        <f>RIGHT(MCC_Table6[[#This Row],[BUCKET]],1)</f>
        <v/>
      </c>
      <c r="R260" s="51" t="e">
        <f>VLOOKUP(MCC_Table6[[#This Row],[START UNIT]],UnitMap[],2,FALSE)</f>
        <v>#N/A</v>
      </c>
      <c r="S260" s="51" t="e" cm="1">
        <f t="array" ref="S26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0" s="51">
        <f>IF(ISNUMBER(MCC_Table6[[#This Row],[SIZE]]), MCC_Table6[[#This Row],[SIZE]]/6, 0)</f>
        <v>0</v>
      </c>
      <c r="U260" s="51" t="e">
        <f>MCC_Table6[[#This Row],[START INDEX]]+MCC_Table6[[#This Row],[UNITS USED]]-1</f>
        <v>#N/A</v>
      </c>
      <c r="V260" s="12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</row>
    <row r="261" spans="1:52" x14ac:dyDescent="0.3">
      <c r="A261" s="97"/>
      <c r="B261" s="51"/>
      <c r="C261" s="129"/>
      <c r="D261" s="135"/>
      <c r="E261" s="130"/>
      <c r="F261" s="86">
        <f>IF(ISNUMBER(MCC_Table6[[#This Row],[SIZE]]), MCC_Table6[[#This Row],[SIZE]]/12, 0)</f>
        <v>0</v>
      </c>
      <c r="G261" s="10"/>
      <c r="H261" s="10"/>
      <c r="I261" s="10"/>
      <c r="J261" s="10"/>
      <c r="K261" s="54"/>
      <c r="L261" s="54"/>
      <c r="M261" s="54"/>
      <c r="N261" s="54"/>
      <c r="O261" s="53"/>
      <c r="P261" s="51" t="e">
        <f>_xlfn.NUMBERVALUE(LEFT(MCC_Table6[[#This Row],[BUCKET]],LEN(MCC_Table6[[#This Row],[BUCKET]])-1))</f>
        <v>#VALUE!</v>
      </c>
      <c r="Q261" s="51" t="str">
        <f>RIGHT(MCC_Table6[[#This Row],[BUCKET]],1)</f>
        <v/>
      </c>
      <c r="R261" s="51" t="e">
        <f>VLOOKUP(MCC_Table6[[#This Row],[START UNIT]],UnitMap[],2,FALSE)</f>
        <v>#N/A</v>
      </c>
      <c r="S261" s="51" t="e" cm="1">
        <f t="array" ref="S26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1" s="51">
        <f>IF(ISNUMBER(MCC_Table6[[#This Row],[SIZE]]), MCC_Table6[[#This Row],[SIZE]]/6, 0)</f>
        <v>0</v>
      </c>
      <c r="U261" s="51" t="e">
        <f>MCC_Table6[[#This Row],[START INDEX]]+MCC_Table6[[#This Row],[UNITS USED]]-1</f>
        <v>#N/A</v>
      </c>
      <c r="V261" s="12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</row>
    <row r="262" spans="1:52" x14ac:dyDescent="0.3">
      <c r="A262" s="97"/>
      <c r="B262" s="51"/>
      <c r="C262" s="129"/>
      <c r="D262" s="135"/>
      <c r="E262" s="130"/>
      <c r="F262" s="86">
        <f>IF(ISNUMBER(MCC_Table6[[#This Row],[SIZE]]), MCC_Table6[[#This Row],[SIZE]]/12, 0)</f>
        <v>0</v>
      </c>
      <c r="G262" s="10"/>
      <c r="H262" s="10"/>
      <c r="I262" s="10"/>
      <c r="J262" s="10"/>
      <c r="K262" s="54"/>
      <c r="L262" s="54"/>
      <c r="M262" s="54"/>
      <c r="N262" s="54"/>
      <c r="O262" s="53"/>
      <c r="P262" s="51" t="e">
        <f>_xlfn.NUMBERVALUE(LEFT(MCC_Table6[[#This Row],[BUCKET]],LEN(MCC_Table6[[#This Row],[BUCKET]])-1))</f>
        <v>#VALUE!</v>
      </c>
      <c r="Q262" s="51" t="str">
        <f>RIGHT(MCC_Table6[[#This Row],[BUCKET]],1)</f>
        <v/>
      </c>
      <c r="R262" s="51" t="e">
        <f>VLOOKUP(MCC_Table6[[#This Row],[START UNIT]],UnitMap[],2,FALSE)</f>
        <v>#N/A</v>
      </c>
      <c r="S262" s="51" t="e" cm="1">
        <f t="array" ref="S26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2" s="51">
        <f>IF(ISNUMBER(MCC_Table6[[#This Row],[SIZE]]), MCC_Table6[[#This Row],[SIZE]]/6, 0)</f>
        <v>0</v>
      </c>
      <c r="U262" s="51" t="e">
        <f>MCC_Table6[[#This Row],[START INDEX]]+MCC_Table6[[#This Row],[UNITS USED]]-1</f>
        <v>#N/A</v>
      </c>
      <c r="V262" s="12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</row>
    <row r="263" spans="1:52" x14ac:dyDescent="0.3">
      <c r="A263" s="97"/>
      <c r="B263" s="51"/>
      <c r="C263" s="129"/>
      <c r="D263" s="135"/>
      <c r="E263" s="130"/>
      <c r="F263" s="86">
        <f>IF(ISNUMBER(MCC_Table6[[#This Row],[SIZE]]), MCC_Table6[[#This Row],[SIZE]]/12, 0)</f>
        <v>0</v>
      </c>
      <c r="G263" s="10"/>
      <c r="H263" s="10"/>
      <c r="I263" s="10"/>
      <c r="J263" s="10"/>
      <c r="K263" s="54"/>
      <c r="L263" s="54"/>
      <c r="M263" s="54"/>
      <c r="N263" s="54"/>
      <c r="O263" s="53"/>
      <c r="P263" s="51" t="e">
        <f>_xlfn.NUMBERVALUE(LEFT(MCC_Table6[[#This Row],[BUCKET]],LEN(MCC_Table6[[#This Row],[BUCKET]])-1))</f>
        <v>#VALUE!</v>
      </c>
      <c r="Q263" s="51" t="str">
        <f>RIGHT(MCC_Table6[[#This Row],[BUCKET]],1)</f>
        <v/>
      </c>
      <c r="R263" s="51" t="e">
        <f>VLOOKUP(MCC_Table6[[#This Row],[START UNIT]],UnitMap[],2,FALSE)</f>
        <v>#N/A</v>
      </c>
      <c r="S263" s="51" t="e" cm="1">
        <f t="array" ref="S26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3" s="51">
        <f>IF(ISNUMBER(MCC_Table6[[#This Row],[SIZE]]), MCC_Table6[[#This Row],[SIZE]]/6, 0)</f>
        <v>0</v>
      </c>
      <c r="U263" s="51" t="e">
        <f>MCC_Table6[[#This Row],[START INDEX]]+MCC_Table6[[#This Row],[UNITS USED]]-1</f>
        <v>#N/A</v>
      </c>
      <c r="V263" s="12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</row>
    <row r="264" spans="1:52" x14ac:dyDescent="0.3">
      <c r="A264" s="97"/>
      <c r="B264" s="51"/>
      <c r="C264" s="129"/>
      <c r="D264" s="135"/>
      <c r="E264" s="130"/>
      <c r="F264" s="86">
        <f>IF(ISNUMBER(MCC_Table6[[#This Row],[SIZE]]), MCC_Table6[[#This Row],[SIZE]]/12, 0)</f>
        <v>0</v>
      </c>
      <c r="G264" s="10"/>
      <c r="H264" s="10"/>
      <c r="I264" s="10"/>
      <c r="J264" s="10"/>
      <c r="K264" s="54"/>
      <c r="L264" s="54"/>
      <c r="M264" s="54"/>
      <c r="N264" s="54"/>
      <c r="O264" s="53"/>
      <c r="P264" s="51" t="e">
        <f>_xlfn.NUMBERVALUE(LEFT(MCC_Table6[[#This Row],[BUCKET]],LEN(MCC_Table6[[#This Row],[BUCKET]])-1))</f>
        <v>#VALUE!</v>
      </c>
      <c r="Q264" s="51" t="str">
        <f>RIGHT(MCC_Table6[[#This Row],[BUCKET]],1)</f>
        <v/>
      </c>
      <c r="R264" s="51" t="e">
        <f>VLOOKUP(MCC_Table6[[#This Row],[START UNIT]],UnitMap[],2,FALSE)</f>
        <v>#N/A</v>
      </c>
      <c r="S264" s="51" t="e" cm="1">
        <f t="array" ref="S26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4" s="51">
        <f>IF(ISNUMBER(MCC_Table6[[#This Row],[SIZE]]), MCC_Table6[[#This Row],[SIZE]]/6, 0)</f>
        <v>0</v>
      </c>
      <c r="U264" s="51" t="e">
        <f>MCC_Table6[[#This Row],[START INDEX]]+MCC_Table6[[#This Row],[UNITS USED]]-1</f>
        <v>#N/A</v>
      </c>
      <c r="V264" s="12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</row>
    <row r="265" spans="1:52" x14ac:dyDescent="0.3">
      <c r="A265" s="97"/>
      <c r="B265" s="51"/>
      <c r="C265" s="129"/>
      <c r="D265" s="135"/>
      <c r="E265" s="130"/>
      <c r="F265" s="86">
        <f>IF(ISNUMBER(MCC_Table6[[#This Row],[SIZE]]), MCC_Table6[[#This Row],[SIZE]]/12, 0)</f>
        <v>0</v>
      </c>
      <c r="G265" s="10"/>
      <c r="H265" s="10"/>
      <c r="I265" s="10"/>
      <c r="J265" s="10"/>
      <c r="K265" s="54"/>
      <c r="L265" s="54"/>
      <c r="M265" s="54"/>
      <c r="N265" s="54"/>
      <c r="O265" s="53"/>
      <c r="P265" s="51" t="e">
        <f>_xlfn.NUMBERVALUE(LEFT(MCC_Table6[[#This Row],[BUCKET]],LEN(MCC_Table6[[#This Row],[BUCKET]])-1))</f>
        <v>#VALUE!</v>
      </c>
      <c r="Q265" s="51" t="str">
        <f>RIGHT(MCC_Table6[[#This Row],[BUCKET]],1)</f>
        <v/>
      </c>
      <c r="R265" s="51" t="e">
        <f>VLOOKUP(MCC_Table6[[#This Row],[START UNIT]],UnitMap[],2,FALSE)</f>
        <v>#N/A</v>
      </c>
      <c r="S265" s="51" t="e" cm="1">
        <f t="array" ref="S26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5" s="51">
        <f>IF(ISNUMBER(MCC_Table6[[#This Row],[SIZE]]), MCC_Table6[[#This Row],[SIZE]]/6, 0)</f>
        <v>0</v>
      </c>
      <c r="U265" s="51" t="e">
        <f>MCC_Table6[[#This Row],[START INDEX]]+MCC_Table6[[#This Row],[UNITS USED]]-1</f>
        <v>#N/A</v>
      </c>
      <c r="V265" s="12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</row>
    <row r="266" spans="1:52" x14ac:dyDescent="0.3">
      <c r="A266" s="97"/>
      <c r="B266" s="51"/>
      <c r="C266" s="129"/>
      <c r="D266" s="135"/>
      <c r="E266" s="130"/>
      <c r="F266" s="86">
        <f>IF(ISNUMBER(MCC_Table6[[#This Row],[SIZE]]), MCC_Table6[[#This Row],[SIZE]]/12, 0)</f>
        <v>0</v>
      </c>
      <c r="G266" s="10"/>
      <c r="H266" s="10"/>
      <c r="I266" s="10"/>
      <c r="J266" s="10"/>
      <c r="K266" s="54"/>
      <c r="L266" s="54"/>
      <c r="M266" s="54"/>
      <c r="N266" s="54"/>
      <c r="O266" s="53"/>
      <c r="P266" s="51" t="e">
        <f>_xlfn.NUMBERVALUE(LEFT(MCC_Table6[[#This Row],[BUCKET]],LEN(MCC_Table6[[#This Row],[BUCKET]])-1))</f>
        <v>#VALUE!</v>
      </c>
      <c r="Q266" s="51" t="str">
        <f>RIGHT(MCC_Table6[[#This Row],[BUCKET]],1)</f>
        <v/>
      </c>
      <c r="R266" s="51" t="e">
        <f>VLOOKUP(MCC_Table6[[#This Row],[START UNIT]],UnitMap[],2,FALSE)</f>
        <v>#N/A</v>
      </c>
      <c r="S266" s="51" t="e" cm="1">
        <f t="array" ref="S26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6" s="51">
        <f>IF(ISNUMBER(MCC_Table6[[#This Row],[SIZE]]), MCC_Table6[[#This Row],[SIZE]]/6, 0)</f>
        <v>0</v>
      </c>
      <c r="U266" s="51" t="e">
        <f>MCC_Table6[[#This Row],[START INDEX]]+MCC_Table6[[#This Row],[UNITS USED]]-1</f>
        <v>#N/A</v>
      </c>
      <c r="V266" s="12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</row>
    <row r="267" spans="1:52" x14ac:dyDescent="0.3">
      <c r="A267" s="97"/>
      <c r="B267" s="51"/>
      <c r="C267" s="129"/>
      <c r="D267" s="135"/>
      <c r="E267" s="130"/>
      <c r="F267" s="86">
        <f>IF(ISNUMBER(MCC_Table6[[#This Row],[SIZE]]), MCC_Table6[[#This Row],[SIZE]]/12, 0)</f>
        <v>0</v>
      </c>
      <c r="G267" s="10"/>
      <c r="H267" s="10"/>
      <c r="I267" s="10"/>
      <c r="J267" s="10"/>
      <c r="K267" s="54"/>
      <c r="L267" s="54"/>
      <c r="M267" s="54"/>
      <c r="N267" s="54"/>
      <c r="O267" s="53"/>
      <c r="P267" s="51" t="e">
        <f>_xlfn.NUMBERVALUE(LEFT(MCC_Table6[[#This Row],[BUCKET]],LEN(MCC_Table6[[#This Row],[BUCKET]])-1))</f>
        <v>#VALUE!</v>
      </c>
      <c r="Q267" s="51" t="str">
        <f>RIGHT(MCC_Table6[[#This Row],[BUCKET]],1)</f>
        <v/>
      </c>
      <c r="R267" s="51" t="e">
        <f>VLOOKUP(MCC_Table6[[#This Row],[START UNIT]],UnitMap[],2,FALSE)</f>
        <v>#N/A</v>
      </c>
      <c r="S267" s="51" t="e" cm="1">
        <f t="array" ref="S26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7" s="51">
        <f>IF(ISNUMBER(MCC_Table6[[#This Row],[SIZE]]), MCC_Table6[[#This Row],[SIZE]]/6, 0)</f>
        <v>0</v>
      </c>
      <c r="U267" s="51" t="e">
        <f>MCC_Table6[[#This Row],[START INDEX]]+MCC_Table6[[#This Row],[UNITS USED]]-1</f>
        <v>#N/A</v>
      </c>
      <c r="V267" s="12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</row>
    <row r="268" spans="1:52" x14ac:dyDescent="0.3">
      <c r="A268" s="97"/>
      <c r="B268" s="51"/>
      <c r="C268" s="129"/>
      <c r="D268" s="135"/>
      <c r="E268" s="130"/>
      <c r="F268" s="86">
        <f>IF(ISNUMBER(MCC_Table6[[#This Row],[SIZE]]), MCC_Table6[[#This Row],[SIZE]]/12, 0)</f>
        <v>0</v>
      </c>
      <c r="G268" s="10"/>
      <c r="H268" s="10"/>
      <c r="I268" s="10"/>
      <c r="J268" s="10"/>
      <c r="K268" s="54"/>
      <c r="L268" s="54"/>
      <c r="M268" s="54"/>
      <c r="N268" s="54"/>
      <c r="O268" s="53"/>
      <c r="P268" s="51" t="e">
        <f>_xlfn.NUMBERVALUE(LEFT(MCC_Table6[[#This Row],[BUCKET]],LEN(MCC_Table6[[#This Row],[BUCKET]])-1))</f>
        <v>#VALUE!</v>
      </c>
      <c r="Q268" s="51" t="str">
        <f>RIGHT(MCC_Table6[[#This Row],[BUCKET]],1)</f>
        <v/>
      </c>
      <c r="R268" s="51" t="e">
        <f>VLOOKUP(MCC_Table6[[#This Row],[START UNIT]],UnitMap[],2,FALSE)</f>
        <v>#N/A</v>
      </c>
      <c r="S268" s="51" t="e" cm="1">
        <f t="array" ref="S26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8" s="51">
        <f>IF(ISNUMBER(MCC_Table6[[#This Row],[SIZE]]), MCC_Table6[[#This Row],[SIZE]]/6, 0)</f>
        <v>0</v>
      </c>
      <c r="U268" s="51" t="e">
        <f>MCC_Table6[[#This Row],[START INDEX]]+MCC_Table6[[#This Row],[UNITS USED]]-1</f>
        <v>#N/A</v>
      </c>
      <c r="V268" s="12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</row>
    <row r="269" spans="1:52" x14ac:dyDescent="0.3">
      <c r="A269" s="97"/>
      <c r="B269" s="51"/>
      <c r="C269" s="129"/>
      <c r="D269" s="135"/>
      <c r="E269" s="130"/>
      <c r="F269" s="86">
        <f>IF(ISNUMBER(MCC_Table6[[#This Row],[SIZE]]), MCC_Table6[[#This Row],[SIZE]]/12, 0)</f>
        <v>0</v>
      </c>
      <c r="G269" s="10"/>
      <c r="H269" s="10"/>
      <c r="I269" s="10"/>
      <c r="J269" s="10"/>
      <c r="K269" s="54"/>
      <c r="L269" s="54"/>
      <c r="M269" s="54"/>
      <c r="N269" s="54"/>
      <c r="O269" s="53"/>
      <c r="P269" s="51" t="e">
        <f>_xlfn.NUMBERVALUE(LEFT(MCC_Table6[[#This Row],[BUCKET]],LEN(MCC_Table6[[#This Row],[BUCKET]])-1))</f>
        <v>#VALUE!</v>
      </c>
      <c r="Q269" s="51" t="str">
        <f>RIGHT(MCC_Table6[[#This Row],[BUCKET]],1)</f>
        <v/>
      </c>
      <c r="R269" s="51" t="e">
        <f>VLOOKUP(MCC_Table6[[#This Row],[START UNIT]],UnitMap[],2,FALSE)</f>
        <v>#N/A</v>
      </c>
      <c r="S269" s="51" t="e" cm="1">
        <f t="array" ref="S26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69" s="51">
        <f>IF(ISNUMBER(MCC_Table6[[#This Row],[SIZE]]), MCC_Table6[[#This Row],[SIZE]]/6, 0)</f>
        <v>0</v>
      </c>
      <c r="U269" s="51" t="e">
        <f>MCC_Table6[[#This Row],[START INDEX]]+MCC_Table6[[#This Row],[UNITS USED]]-1</f>
        <v>#N/A</v>
      </c>
      <c r="V269" s="12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</row>
    <row r="270" spans="1:52" x14ac:dyDescent="0.3">
      <c r="A270" s="97"/>
      <c r="B270" s="51"/>
      <c r="C270" s="129"/>
      <c r="D270" s="135"/>
      <c r="E270" s="130"/>
      <c r="F270" s="86">
        <f>IF(ISNUMBER(MCC_Table6[[#This Row],[SIZE]]), MCC_Table6[[#This Row],[SIZE]]/12, 0)</f>
        <v>0</v>
      </c>
      <c r="G270" s="10"/>
      <c r="H270" s="10"/>
      <c r="I270" s="10"/>
      <c r="J270" s="10"/>
      <c r="K270" s="54"/>
      <c r="L270" s="54"/>
      <c r="M270" s="54"/>
      <c r="N270" s="54"/>
      <c r="O270" s="53"/>
      <c r="P270" s="51" t="e">
        <f>_xlfn.NUMBERVALUE(LEFT(MCC_Table6[[#This Row],[BUCKET]],LEN(MCC_Table6[[#This Row],[BUCKET]])-1))</f>
        <v>#VALUE!</v>
      </c>
      <c r="Q270" s="51" t="str">
        <f>RIGHT(MCC_Table6[[#This Row],[BUCKET]],1)</f>
        <v/>
      </c>
      <c r="R270" s="51" t="e">
        <f>VLOOKUP(MCC_Table6[[#This Row],[START UNIT]],UnitMap[],2,FALSE)</f>
        <v>#N/A</v>
      </c>
      <c r="S270" s="51" t="e" cm="1">
        <f t="array" ref="S27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70" s="51">
        <f>IF(ISNUMBER(MCC_Table6[[#This Row],[SIZE]]), MCC_Table6[[#This Row],[SIZE]]/6, 0)</f>
        <v>0</v>
      </c>
      <c r="U270" s="51" t="e">
        <f>MCC_Table6[[#This Row],[START INDEX]]+MCC_Table6[[#This Row],[UNITS USED]]-1</f>
        <v>#N/A</v>
      </c>
      <c r="V270" s="12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</row>
    <row r="271" spans="1:52" x14ac:dyDescent="0.3">
      <c r="A271" s="97"/>
      <c r="B271" s="51"/>
      <c r="C271" s="129"/>
      <c r="D271" s="135"/>
      <c r="E271" s="130"/>
      <c r="F271" s="86">
        <f>IF(ISNUMBER(MCC_Table6[[#This Row],[SIZE]]), MCC_Table6[[#This Row],[SIZE]]/12, 0)</f>
        <v>0</v>
      </c>
      <c r="G271" s="10"/>
      <c r="H271" s="10"/>
      <c r="I271" s="10"/>
      <c r="J271" s="10"/>
      <c r="K271" s="54"/>
      <c r="L271" s="54"/>
      <c r="M271" s="54"/>
      <c r="N271" s="54"/>
      <c r="O271" s="53"/>
      <c r="P271" s="51" t="e">
        <f>_xlfn.NUMBERVALUE(LEFT(MCC_Table6[[#This Row],[BUCKET]],LEN(MCC_Table6[[#This Row],[BUCKET]])-1))</f>
        <v>#VALUE!</v>
      </c>
      <c r="Q271" s="51" t="str">
        <f>RIGHT(MCC_Table6[[#This Row],[BUCKET]],1)</f>
        <v/>
      </c>
      <c r="R271" s="51" t="e">
        <f>VLOOKUP(MCC_Table6[[#This Row],[START UNIT]],UnitMap[],2,FALSE)</f>
        <v>#N/A</v>
      </c>
      <c r="S271" s="51" t="e" cm="1">
        <f t="array" ref="S27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71" s="51">
        <f>IF(ISNUMBER(MCC_Table6[[#This Row],[SIZE]]), MCC_Table6[[#This Row],[SIZE]]/6, 0)</f>
        <v>0</v>
      </c>
      <c r="U271" s="51" t="e">
        <f>MCC_Table6[[#This Row],[START INDEX]]+MCC_Table6[[#This Row],[UNITS USED]]-1</f>
        <v>#N/A</v>
      </c>
      <c r="V271" s="12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</row>
    <row r="272" spans="1:52" x14ac:dyDescent="0.3">
      <c r="A272" s="97"/>
      <c r="B272" s="51"/>
      <c r="C272" s="129"/>
      <c r="D272" s="135"/>
      <c r="E272" s="130"/>
      <c r="F272" s="86">
        <f>IF(ISNUMBER(MCC_Table6[[#This Row],[SIZE]]), MCC_Table6[[#This Row],[SIZE]]/12, 0)</f>
        <v>0</v>
      </c>
      <c r="G272" s="10"/>
      <c r="H272" s="10"/>
      <c r="I272" s="10"/>
      <c r="J272" s="10"/>
      <c r="K272" s="54"/>
      <c r="L272" s="54"/>
      <c r="M272" s="54"/>
      <c r="N272" s="54"/>
      <c r="O272" s="53"/>
      <c r="P272" s="51" t="e">
        <f>_xlfn.NUMBERVALUE(LEFT(MCC_Table6[[#This Row],[BUCKET]],LEN(MCC_Table6[[#This Row],[BUCKET]])-1))</f>
        <v>#VALUE!</v>
      </c>
      <c r="Q272" s="51" t="str">
        <f>RIGHT(MCC_Table6[[#This Row],[BUCKET]],1)</f>
        <v/>
      </c>
      <c r="R272" s="51" t="e">
        <f>VLOOKUP(MCC_Table6[[#This Row],[START UNIT]],UnitMap[],2,FALSE)</f>
        <v>#N/A</v>
      </c>
      <c r="S272" s="51" t="e" cm="1">
        <f t="array" ref="S27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72" s="51">
        <f>IF(ISNUMBER(MCC_Table6[[#This Row],[SIZE]]), MCC_Table6[[#This Row],[SIZE]]/6, 0)</f>
        <v>0</v>
      </c>
      <c r="U272" s="51" t="e">
        <f>MCC_Table6[[#This Row],[START INDEX]]+MCC_Table6[[#This Row],[UNITS USED]]-1</f>
        <v>#N/A</v>
      </c>
      <c r="V272" s="12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</row>
    <row r="273" spans="1:52" x14ac:dyDescent="0.3">
      <c r="A273" s="97"/>
      <c r="B273" s="51"/>
      <c r="C273" s="129"/>
      <c r="D273" s="135"/>
      <c r="E273" s="130"/>
      <c r="F273" s="86">
        <f>IF(ISNUMBER(MCC_Table6[[#This Row],[SIZE]]), MCC_Table6[[#This Row],[SIZE]]/12, 0)</f>
        <v>0</v>
      </c>
      <c r="G273" s="10"/>
      <c r="H273" s="10"/>
      <c r="I273" s="10"/>
      <c r="J273" s="10"/>
      <c r="K273" s="54"/>
      <c r="L273" s="54"/>
      <c r="M273" s="54"/>
      <c r="N273" s="54"/>
      <c r="O273" s="53"/>
      <c r="P273" s="51" t="e">
        <f>_xlfn.NUMBERVALUE(LEFT(MCC_Table6[[#This Row],[BUCKET]],LEN(MCC_Table6[[#This Row],[BUCKET]])-1))</f>
        <v>#VALUE!</v>
      </c>
      <c r="Q273" s="51" t="str">
        <f>RIGHT(MCC_Table6[[#This Row],[BUCKET]],1)</f>
        <v/>
      </c>
      <c r="R273" s="51" t="e">
        <f>VLOOKUP(MCC_Table6[[#This Row],[START UNIT]],UnitMap[],2,FALSE)</f>
        <v>#N/A</v>
      </c>
      <c r="S273" s="51" t="e" cm="1">
        <f t="array" ref="S27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73" s="51">
        <f>IF(ISNUMBER(MCC_Table6[[#This Row],[SIZE]]), MCC_Table6[[#This Row],[SIZE]]/6, 0)</f>
        <v>0</v>
      </c>
      <c r="U273" s="51" t="e">
        <f>MCC_Table6[[#This Row],[START INDEX]]+MCC_Table6[[#This Row],[UNITS USED]]-1</f>
        <v>#N/A</v>
      </c>
      <c r="V273" s="12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</row>
    <row r="274" spans="1:52" x14ac:dyDescent="0.3">
      <c r="A274" s="97"/>
      <c r="B274" s="51"/>
      <c r="C274" s="129"/>
      <c r="D274" s="135"/>
      <c r="E274" s="130"/>
      <c r="F274" s="86">
        <f>IF(ISNUMBER(MCC_Table6[[#This Row],[SIZE]]), MCC_Table6[[#This Row],[SIZE]]/12, 0)</f>
        <v>0</v>
      </c>
      <c r="G274" s="10"/>
      <c r="H274" s="10"/>
      <c r="I274" s="10"/>
      <c r="J274" s="10"/>
      <c r="K274" s="54"/>
      <c r="L274" s="54"/>
      <c r="M274" s="54"/>
      <c r="N274" s="54"/>
      <c r="O274" s="53"/>
      <c r="P274" s="51" t="e">
        <f>_xlfn.NUMBERVALUE(LEFT(MCC_Table6[[#This Row],[BUCKET]],LEN(MCC_Table6[[#This Row],[BUCKET]])-1))</f>
        <v>#VALUE!</v>
      </c>
      <c r="Q274" s="51" t="str">
        <f>RIGHT(MCC_Table6[[#This Row],[BUCKET]],1)</f>
        <v/>
      </c>
      <c r="R274" s="51" t="e">
        <f>VLOOKUP(MCC_Table6[[#This Row],[START UNIT]],UnitMap[],2,FALSE)</f>
        <v>#N/A</v>
      </c>
      <c r="S274" s="51" t="e" cm="1">
        <f t="array" ref="S27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274" s="51">
        <f>IF(ISNUMBER(MCC_Table6[[#This Row],[SIZE]]), MCC_Table6[[#This Row],[SIZE]]/6, 0)</f>
        <v>0</v>
      </c>
      <c r="U274" s="51" t="e">
        <f>MCC_Table6[[#This Row],[START INDEX]]+MCC_Table6[[#This Row],[UNITS USED]]-1</f>
        <v>#N/A</v>
      </c>
      <c r="V274" s="12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</row>
    <row r="275" spans="1:52" x14ac:dyDescent="0.3">
      <c r="A275" s="121" t="s">
        <v>1335</v>
      </c>
      <c r="B275" s="85" t="s">
        <v>450</v>
      </c>
      <c r="C275" s="55" t="s">
        <v>451</v>
      </c>
      <c r="D275" s="139" t="s">
        <v>452</v>
      </c>
      <c r="E275" s="55" t="s">
        <v>451</v>
      </c>
      <c r="F275" s="88">
        <f>IF(ISNUMBER(MCC_Table6[[#This Row],[SIZE]]), MCC_Table6[[#This Row],[SIZE]]/12, 0)</f>
        <v>3.5</v>
      </c>
      <c r="G275" s="14"/>
      <c r="H275" s="14"/>
      <c r="I275" s="14"/>
      <c r="J275" s="14"/>
      <c r="K275" s="105">
        <v>1200</v>
      </c>
      <c r="L275" s="105">
        <v>1200</v>
      </c>
      <c r="M275" s="105" t="s">
        <v>303</v>
      </c>
      <c r="N275" s="105"/>
      <c r="O275" s="57"/>
      <c r="P275" s="85">
        <f>_xlfn.NUMBERVALUE(LEFT(MCC_Table6[[#This Row],[BUCKET]],LEN(MCC_Table6[[#This Row],[BUCKET]])-1))</f>
        <v>1</v>
      </c>
      <c r="Q275" s="85" t="str">
        <f>RIGHT(MCC_Table6[[#This Row],[BUCKET]],1)</f>
        <v>A</v>
      </c>
      <c r="R275" s="85">
        <f>VLOOKUP(MCC_Table6[[#This Row],[START UNIT]],UnitMap[],2,FALSE)</f>
        <v>1</v>
      </c>
      <c r="S275" s="85" cm="1">
        <f t="array" ref="S27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75" s="85">
        <f>IF(ISNUMBER(MCC_Table6[[#This Row],[SIZE]]), MCC_Table6[[#This Row],[SIZE]]/6, 0)</f>
        <v>7</v>
      </c>
      <c r="U275" s="85">
        <f>MCC_Table6[[#This Row],[START INDEX]]+MCC_Table6[[#This Row],[UNITS USED]]-1</f>
        <v>7</v>
      </c>
      <c r="V275" s="12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</row>
    <row r="276" spans="1:52" x14ac:dyDescent="0.3">
      <c r="A276" s="97" t="s">
        <v>1335</v>
      </c>
      <c r="B276" s="51" t="s">
        <v>460</v>
      </c>
      <c r="C276" s="39" t="s">
        <v>462</v>
      </c>
      <c r="D276" s="136" t="s">
        <v>461</v>
      </c>
      <c r="E276" s="51" t="s">
        <v>462</v>
      </c>
      <c r="F276" s="86">
        <f>IF(ISNUMBER(MCC_Table6[[#This Row],[SIZE]]), MCC_Table6[[#This Row],[SIZE]]/12, 0)</f>
        <v>0.5</v>
      </c>
      <c r="G276" s="10"/>
      <c r="H276" s="10"/>
      <c r="I276" s="10"/>
      <c r="J276" s="10"/>
      <c r="K276" s="54"/>
      <c r="L276" s="54"/>
      <c r="M276" s="54"/>
      <c r="N276" s="54"/>
      <c r="O276" s="53"/>
      <c r="P276" s="51">
        <f>_xlfn.NUMBERVALUE(LEFT(MCC_Table6[[#This Row],[BUCKET]],LEN(MCC_Table6[[#This Row],[BUCKET]])-1))</f>
        <v>1</v>
      </c>
      <c r="Q276" s="51" t="str">
        <f>RIGHT(MCC_Table6[[#This Row],[BUCKET]],1)</f>
        <v>H</v>
      </c>
      <c r="R276" s="51">
        <f>VLOOKUP(MCC_Table6[[#This Row],[START UNIT]],UnitMap[],2,FALSE)</f>
        <v>8</v>
      </c>
      <c r="S276" s="51" cm="1">
        <f t="array" ref="S27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276" s="51">
        <f>IF(ISNUMBER(MCC_Table6[[#This Row],[SIZE]]), MCC_Table6[[#This Row],[SIZE]]/6, 0)</f>
        <v>1</v>
      </c>
      <c r="U276" s="51">
        <f>MCC_Table6[[#This Row],[START INDEX]]+MCC_Table6[[#This Row],[UNITS USED]]-1</f>
        <v>8</v>
      </c>
      <c r="V276" s="12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</row>
    <row r="277" spans="1:52" x14ac:dyDescent="0.3">
      <c r="A277" s="97" t="s">
        <v>1335</v>
      </c>
      <c r="B277" s="51" t="s">
        <v>465</v>
      </c>
      <c r="C277" s="39" t="s">
        <v>462</v>
      </c>
      <c r="D277" s="136" t="s">
        <v>496</v>
      </c>
      <c r="E277" s="51" t="s">
        <v>462</v>
      </c>
      <c r="F277" s="86">
        <f>IF(ISNUMBER(MCC_Table6[[#This Row],[SIZE]]), MCC_Table6[[#This Row],[SIZE]]/12, 0)</f>
        <v>1</v>
      </c>
      <c r="G277" s="10"/>
      <c r="H277" s="10"/>
      <c r="I277" s="10"/>
      <c r="J277" s="10"/>
      <c r="K277" s="54"/>
      <c r="L277" s="54"/>
      <c r="M277" s="54"/>
      <c r="N277" s="54"/>
      <c r="O277" s="53"/>
      <c r="P277" s="51">
        <f>_xlfn.NUMBERVALUE(LEFT(MCC_Table6[[#This Row],[BUCKET]],LEN(MCC_Table6[[#This Row],[BUCKET]])-1))</f>
        <v>1</v>
      </c>
      <c r="Q277" s="51" t="str">
        <f>RIGHT(MCC_Table6[[#This Row],[BUCKET]],1)</f>
        <v>J</v>
      </c>
      <c r="R277" s="51">
        <f>VLOOKUP(MCC_Table6[[#This Row],[START UNIT]],UnitMap[],2,FALSE)</f>
        <v>9</v>
      </c>
      <c r="S277" s="51" cm="1">
        <f t="array" ref="S27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77" s="51">
        <f>IF(ISNUMBER(MCC_Table6[[#This Row],[SIZE]]), MCC_Table6[[#This Row],[SIZE]]/6, 0)</f>
        <v>2</v>
      </c>
      <c r="U277" s="51">
        <f>MCC_Table6[[#This Row],[START INDEX]]+MCC_Table6[[#This Row],[UNITS USED]]-1</f>
        <v>10</v>
      </c>
      <c r="V277" s="12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</row>
    <row r="278" spans="1:52" x14ac:dyDescent="0.3">
      <c r="A278" s="97" t="s">
        <v>1335</v>
      </c>
      <c r="B278" s="51" t="s">
        <v>471</v>
      </c>
      <c r="C278" s="39" t="s">
        <v>462</v>
      </c>
      <c r="D278" s="136" t="s">
        <v>496</v>
      </c>
      <c r="E278" s="51" t="s">
        <v>462</v>
      </c>
      <c r="F278" s="86">
        <f>IF(ISNUMBER(MCC_Table6[[#This Row],[SIZE]]), MCC_Table6[[#This Row],[SIZE]]/12, 0)</f>
        <v>1</v>
      </c>
      <c r="G278" s="10"/>
      <c r="H278" s="10"/>
      <c r="I278" s="10"/>
      <c r="J278" s="10"/>
      <c r="K278" s="54"/>
      <c r="L278" s="54"/>
      <c r="M278" s="54"/>
      <c r="N278" s="54"/>
      <c r="O278" s="53"/>
      <c r="P278" s="51">
        <f>_xlfn.NUMBERVALUE(LEFT(MCC_Table6[[#This Row],[BUCKET]],LEN(MCC_Table6[[#This Row],[BUCKET]])-1))</f>
        <v>1</v>
      </c>
      <c r="Q278" s="51" t="str">
        <f>RIGHT(MCC_Table6[[#This Row],[BUCKET]],1)</f>
        <v>L</v>
      </c>
      <c r="R278" s="51">
        <f>VLOOKUP(MCC_Table6[[#This Row],[START UNIT]],UnitMap[],2,FALSE)</f>
        <v>11</v>
      </c>
      <c r="S278" s="51" cm="1">
        <f t="array" ref="S27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78" s="51">
        <f>IF(ISNUMBER(MCC_Table6[[#This Row],[SIZE]]), MCC_Table6[[#This Row],[SIZE]]/6, 0)</f>
        <v>2</v>
      </c>
      <c r="U278" s="51">
        <f>MCC_Table6[[#This Row],[START INDEX]]+MCC_Table6[[#This Row],[UNITS USED]]-1</f>
        <v>12</v>
      </c>
      <c r="V278" s="12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</row>
    <row r="279" spans="1:52" x14ac:dyDescent="0.3">
      <c r="A279" s="97" t="s">
        <v>1335</v>
      </c>
      <c r="B279" s="51" t="s">
        <v>477</v>
      </c>
      <c r="C279" s="39" t="s">
        <v>462</v>
      </c>
      <c r="D279" s="136" t="s">
        <v>496</v>
      </c>
      <c r="E279" s="51" t="s">
        <v>462</v>
      </c>
      <c r="F279" s="86">
        <f>IF(ISNUMBER(MCC_Table6[[#This Row],[SIZE]]), MCC_Table6[[#This Row],[SIZE]]/12, 0)</f>
        <v>1</v>
      </c>
      <c r="G279" s="10"/>
      <c r="H279" s="10"/>
      <c r="I279" s="10"/>
      <c r="J279" s="10"/>
      <c r="K279" s="54"/>
      <c r="L279" s="54"/>
      <c r="M279" s="54"/>
      <c r="N279" s="54"/>
      <c r="O279" s="53"/>
      <c r="P279" s="51">
        <f>_xlfn.NUMBERVALUE(LEFT(MCC_Table6[[#This Row],[BUCKET]],LEN(MCC_Table6[[#This Row],[BUCKET]])-1))</f>
        <v>2</v>
      </c>
      <c r="Q279" s="51" t="str">
        <f>RIGHT(MCC_Table6[[#This Row],[BUCKET]],1)</f>
        <v>A</v>
      </c>
      <c r="R279" s="51">
        <f>VLOOKUP(MCC_Table6[[#This Row],[START UNIT]],UnitMap[],2,FALSE)</f>
        <v>1</v>
      </c>
      <c r="S279" s="51" cm="1">
        <f t="array" ref="S27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79" s="51">
        <f>IF(ISNUMBER(MCC_Table6[[#This Row],[SIZE]]), MCC_Table6[[#This Row],[SIZE]]/6, 0)</f>
        <v>2</v>
      </c>
      <c r="U279" s="51">
        <f>MCC_Table6[[#This Row],[START INDEX]]+MCC_Table6[[#This Row],[UNITS USED]]-1</f>
        <v>2</v>
      </c>
      <c r="V279" s="12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</row>
    <row r="280" spans="1:52" x14ac:dyDescent="0.3">
      <c r="A280" s="97" t="s">
        <v>1335</v>
      </c>
      <c r="B280" s="51" t="s">
        <v>897</v>
      </c>
      <c r="C280" s="39" t="s">
        <v>890</v>
      </c>
      <c r="D280" s="136" t="s">
        <v>457</v>
      </c>
      <c r="E280" s="39" t="s">
        <v>458</v>
      </c>
      <c r="F280" s="86">
        <f>IF(ISNUMBER(MCC_Table6[[#This Row],[SIZE]]), MCC_Table6[[#This Row],[SIZE]]/12, 0)</f>
        <v>1.5</v>
      </c>
      <c r="G280" s="10"/>
      <c r="H280" s="10"/>
      <c r="I280" s="10"/>
      <c r="J280" s="10"/>
      <c r="K280" s="106" t="s">
        <v>303</v>
      </c>
      <c r="L280" s="54" t="s">
        <v>303</v>
      </c>
      <c r="M280" s="106">
        <v>0.75</v>
      </c>
      <c r="N280" s="106"/>
      <c r="O280" s="53"/>
      <c r="P280" s="51">
        <f>_xlfn.NUMBERVALUE(LEFT(MCC_Table6[[#This Row],[BUCKET]],LEN(MCC_Table6[[#This Row],[BUCKET]])-1))</f>
        <v>2</v>
      </c>
      <c r="Q280" s="51" t="str">
        <f>RIGHT(MCC_Table6[[#This Row],[BUCKET]],1)</f>
        <v>C</v>
      </c>
      <c r="R280" s="51">
        <f>VLOOKUP(MCC_Table6[[#This Row],[START UNIT]],UnitMap[],2,FALSE)</f>
        <v>3</v>
      </c>
      <c r="S280" s="51" cm="1">
        <f t="array" ref="S28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280" s="51">
        <f>IF(ISNUMBER(MCC_Table6[[#This Row],[SIZE]]), MCC_Table6[[#This Row],[SIZE]]/6, 0)</f>
        <v>3</v>
      </c>
      <c r="U280" s="51">
        <f>MCC_Table6[[#This Row],[START INDEX]]+MCC_Table6[[#This Row],[UNITS USED]]-1</f>
        <v>5</v>
      </c>
      <c r="V280" s="12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</row>
    <row r="281" spans="1:52" x14ac:dyDescent="0.3">
      <c r="A281" s="97" t="s">
        <v>1335</v>
      </c>
      <c r="B281" s="51" t="s">
        <v>899</v>
      </c>
      <c r="C281" s="39" t="s">
        <v>1336</v>
      </c>
      <c r="D281" s="135" t="s">
        <v>1337</v>
      </c>
      <c r="E281" s="51" t="s">
        <v>904</v>
      </c>
      <c r="F281" s="86">
        <f>IF(ISNUMBER(MCC_Table6[[#This Row],[SIZE]]), MCC_Table6[[#This Row],[SIZE]]/12, 0)</f>
        <v>3.5</v>
      </c>
      <c r="G281" s="10">
        <v>30</v>
      </c>
      <c r="H281" s="10">
        <v>30</v>
      </c>
      <c r="I281" s="10"/>
      <c r="J281" s="10"/>
      <c r="K281" s="54">
        <v>100</v>
      </c>
      <c r="L281" s="54">
        <v>125</v>
      </c>
      <c r="M281" s="54" t="s">
        <v>303</v>
      </c>
      <c r="N281" s="54" t="s">
        <v>1053</v>
      </c>
      <c r="O281" s="53"/>
      <c r="P281" s="51">
        <f>_xlfn.NUMBERVALUE(LEFT(MCC_Table6[[#This Row],[BUCKET]],LEN(MCC_Table6[[#This Row],[BUCKET]])-1))</f>
        <v>2</v>
      </c>
      <c r="Q281" s="51" t="str">
        <f>RIGHT(MCC_Table6[[#This Row],[BUCKET]],1)</f>
        <v>F</v>
      </c>
      <c r="R281" s="51">
        <f>VLOOKUP(MCC_Table6[[#This Row],[START UNIT]],UnitMap[],2,FALSE)</f>
        <v>6</v>
      </c>
      <c r="S281" s="51" cm="1">
        <f t="array" ref="S28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81" s="51">
        <f>IF(ISNUMBER(MCC_Table6[[#This Row],[SIZE]]), MCC_Table6[[#This Row],[SIZE]]/6, 0)</f>
        <v>7</v>
      </c>
      <c r="U281" s="51">
        <f>MCC_Table6[[#This Row],[START INDEX]]+MCC_Table6[[#This Row],[UNITS USED]]-1</f>
        <v>12</v>
      </c>
      <c r="V281" s="12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</row>
    <row r="282" spans="1:52" x14ac:dyDescent="0.3">
      <c r="A282" s="97" t="s">
        <v>1335</v>
      </c>
      <c r="B282" s="51" t="s">
        <v>489</v>
      </c>
      <c r="C282" s="39" t="s">
        <v>1338</v>
      </c>
      <c r="D282" s="135" t="s">
        <v>1339</v>
      </c>
      <c r="E282" s="51" t="s">
        <v>904</v>
      </c>
      <c r="F282" s="86">
        <f>IF(ISNUMBER(MCC_Table6[[#This Row],[SIZE]]), MCC_Table6[[#This Row],[SIZE]]/12, 0)</f>
        <v>2.5</v>
      </c>
      <c r="G282" s="10">
        <v>15</v>
      </c>
      <c r="H282" s="10">
        <v>15</v>
      </c>
      <c r="I282" s="10"/>
      <c r="J282" s="10"/>
      <c r="K282" s="54">
        <v>60</v>
      </c>
      <c r="L282" s="54">
        <v>125</v>
      </c>
      <c r="M282" s="54">
        <v>40</v>
      </c>
      <c r="N282" s="54" t="s">
        <v>1024</v>
      </c>
      <c r="O282" s="53"/>
      <c r="P282" s="51">
        <f>_xlfn.NUMBERVALUE(LEFT(MCC_Table6[[#This Row],[BUCKET]],LEN(MCC_Table6[[#This Row],[BUCKET]])-1))</f>
        <v>3</v>
      </c>
      <c r="Q282" s="51" t="str">
        <f>RIGHT(MCC_Table6[[#This Row],[BUCKET]],1)</f>
        <v>A</v>
      </c>
      <c r="R282" s="51">
        <f>VLOOKUP(MCC_Table6[[#This Row],[START UNIT]],UnitMap[],2,FALSE)</f>
        <v>1</v>
      </c>
      <c r="S282" s="51" cm="1">
        <f t="array" ref="S28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82" s="51">
        <f>IF(ISNUMBER(MCC_Table6[[#This Row],[SIZE]]), MCC_Table6[[#This Row],[SIZE]]/6, 0)</f>
        <v>5</v>
      </c>
      <c r="U282" s="51">
        <f>MCC_Table6[[#This Row],[START INDEX]]+MCC_Table6[[#This Row],[UNITS USED]]-1</f>
        <v>5</v>
      </c>
      <c r="V282" s="12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</row>
    <row r="283" spans="1:52" x14ac:dyDescent="0.3">
      <c r="A283" s="97" t="s">
        <v>1335</v>
      </c>
      <c r="B283" s="51" t="s">
        <v>492</v>
      </c>
      <c r="C283" s="39" t="s">
        <v>1340</v>
      </c>
      <c r="D283" s="135" t="s">
        <v>1341</v>
      </c>
      <c r="E283" s="51" t="s">
        <v>904</v>
      </c>
      <c r="F283" s="86">
        <f>IF(ISNUMBER(MCC_Table6[[#This Row],[SIZE]]), MCC_Table6[[#This Row],[SIZE]]/12, 0)</f>
        <v>3.5</v>
      </c>
      <c r="G283" s="10">
        <v>30</v>
      </c>
      <c r="H283" s="10">
        <v>30</v>
      </c>
      <c r="I283" s="10"/>
      <c r="J283" s="10"/>
      <c r="K283" s="54">
        <v>100</v>
      </c>
      <c r="L283" s="54">
        <v>125</v>
      </c>
      <c r="M283" s="54" t="s">
        <v>303</v>
      </c>
      <c r="N283" s="54" t="s">
        <v>1053</v>
      </c>
      <c r="O283" s="53"/>
      <c r="P283" s="51">
        <f>_xlfn.NUMBERVALUE(LEFT(MCC_Table6[[#This Row],[BUCKET]],LEN(MCC_Table6[[#This Row],[BUCKET]])-1))</f>
        <v>3</v>
      </c>
      <c r="Q283" s="51" t="str">
        <f>RIGHT(MCC_Table6[[#This Row],[BUCKET]],1)</f>
        <v>F</v>
      </c>
      <c r="R283" s="51">
        <f>VLOOKUP(MCC_Table6[[#This Row],[START UNIT]],UnitMap[],2,FALSE)</f>
        <v>6</v>
      </c>
      <c r="S283" s="51" cm="1">
        <f t="array" ref="S28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83" s="51">
        <f>IF(ISNUMBER(MCC_Table6[[#This Row],[SIZE]]), MCC_Table6[[#This Row],[SIZE]]/6, 0)</f>
        <v>7</v>
      </c>
      <c r="U283" s="51">
        <f>MCC_Table6[[#This Row],[START INDEX]]+MCC_Table6[[#This Row],[UNITS USED]]-1</f>
        <v>12</v>
      </c>
      <c r="V283" s="12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</row>
    <row r="284" spans="1:52" x14ac:dyDescent="0.3">
      <c r="A284" s="97" t="s">
        <v>1335</v>
      </c>
      <c r="B284" s="51" t="s">
        <v>497</v>
      </c>
      <c r="C284" s="39" t="s">
        <v>1342</v>
      </c>
      <c r="D284" s="135" t="s">
        <v>1343</v>
      </c>
      <c r="E284" s="51" t="s">
        <v>904</v>
      </c>
      <c r="F284" s="86">
        <f>IF(ISNUMBER(MCC_Table6[[#This Row],[SIZE]]), MCC_Table6[[#This Row],[SIZE]]/12, 0)</f>
        <v>2.5</v>
      </c>
      <c r="G284" s="10">
        <v>15</v>
      </c>
      <c r="H284" s="10">
        <v>15</v>
      </c>
      <c r="I284" s="10"/>
      <c r="J284" s="10"/>
      <c r="K284" s="54">
        <v>60</v>
      </c>
      <c r="L284" s="54">
        <v>125</v>
      </c>
      <c r="M284" s="54">
        <v>40</v>
      </c>
      <c r="N284" s="54" t="s">
        <v>1024</v>
      </c>
      <c r="O284" s="53"/>
      <c r="P284" s="51">
        <f>_xlfn.NUMBERVALUE(LEFT(MCC_Table6[[#This Row],[BUCKET]],LEN(MCC_Table6[[#This Row],[BUCKET]])-1))</f>
        <v>4</v>
      </c>
      <c r="Q284" s="51" t="str">
        <f>RIGHT(MCC_Table6[[#This Row],[BUCKET]],1)</f>
        <v>A</v>
      </c>
      <c r="R284" s="51">
        <f>VLOOKUP(MCC_Table6[[#This Row],[START UNIT]],UnitMap[],2,FALSE)</f>
        <v>1</v>
      </c>
      <c r="S284" s="51" cm="1">
        <f t="array" ref="S28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84" s="51">
        <f>IF(ISNUMBER(MCC_Table6[[#This Row],[SIZE]]), MCC_Table6[[#This Row],[SIZE]]/6, 0)</f>
        <v>5</v>
      </c>
      <c r="U284" s="51">
        <f>MCC_Table6[[#This Row],[START INDEX]]+MCC_Table6[[#This Row],[UNITS USED]]-1</f>
        <v>5</v>
      </c>
      <c r="V284" s="12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</row>
    <row r="285" spans="1:52" x14ac:dyDescent="0.3">
      <c r="A285" s="97" t="s">
        <v>1335</v>
      </c>
      <c r="B285" s="51" t="s">
        <v>500</v>
      </c>
      <c r="C285" s="39" t="s">
        <v>1344</v>
      </c>
      <c r="D285" s="135" t="s">
        <v>1345</v>
      </c>
      <c r="E285" s="51" t="s">
        <v>904</v>
      </c>
      <c r="F285" s="86">
        <f>IF(ISNUMBER(MCC_Table6[[#This Row],[SIZE]]), MCC_Table6[[#This Row],[SIZE]]/12, 0)</f>
        <v>3.5</v>
      </c>
      <c r="G285" s="10">
        <v>30</v>
      </c>
      <c r="H285" s="10">
        <v>30</v>
      </c>
      <c r="I285" s="10"/>
      <c r="J285" s="10"/>
      <c r="K285" s="54">
        <v>100</v>
      </c>
      <c r="L285" s="54">
        <v>125</v>
      </c>
      <c r="M285" s="54" t="s">
        <v>303</v>
      </c>
      <c r="N285" s="54" t="s">
        <v>1053</v>
      </c>
      <c r="O285" s="53"/>
      <c r="P285" s="51">
        <f>_xlfn.NUMBERVALUE(LEFT(MCC_Table6[[#This Row],[BUCKET]],LEN(MCC_Table6[[#This Row],[BUCKET]])-1))</f>
        <v>4</v>
      </c>
      <c r="Q285" s="51" t="str">
        <f>RIGHT(MCC_Table6[[#This Row],[BUCKET]],1)</f>
        <v>F</v>
      </c>
      <c r="R285" s="51">
        <f>VLOOKUP(MCC_Table6[[#This Row],[START UNIT]],UnitMap[],2,FALSE)</f>
        <v>6</v>
      </c>
      <c r="S285" s="51" cm="1">
        <f t="array" ref="S28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85" s="51">
        <f>IF(ISNUMBER(MCC_Table6[[#This Row],[SIZE]]), MCC_Table6[[#This Row],[SIZE]]/6, 0)</f>
        <v>7</v>
      </c>
      <c r="U285" s="51">
        <f>MCC_Table6[[#This Row],[START INDEX]]+MCC_Table6[[#This Row],[UNITS USED]]-1</f>
        <v>12</v>
      </c>
      <c r="V285" s="12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</row>
    <row r="286" spans="1:52" x14ac:dyDescent="0.3">
      <c r="A286" s="97" t="s">
        <v>1335</v>
      </c>
      <c r="B286" s="51" t="s">
        <v>508</v>
      </c>
      <c r="C286" s="39" t="s">
        <v>1346</v>
      </c>
      <c r="D286" s="136" t="s">
        <v>992</v>
      </c>
      <c r="E286" s="39" t="s">
        <v>993</v>
      </c>
      <c r="F286" s="86">
        <f>IF(ISNUMBER(MCC_Table6[[#This Row],[SIZE]]), MCC_Table6[[#This Row],[SIZE]]/12, 0)</f>
        <v>1</v>
      </c>
      <c r="G286" s="10"/>
      <c r="H286" s="10"/>
      <c r="I286" s="10"/>
      <c r="J286" s="10"/>
      <c r="K286" s="96"/>
      <c r="L286" s="54"/>
      <c r="M286" s="96"/>
      <c r="N286" s="96"/>
      <c r="O286" s="53"/>
      <c r="P286" s="51">
        <f>_xlfn.NUMBERVALUE(LEFT(MCC_Table6[[#This Row],[BUCKET]],LEN(MCC_Table6[[#This Row],[BUCKET]])-1))</f>
        <v>5</v>
      </c>
      <c r="Q286" s="51" t="str">
        <f>RIGHT(MCC_Table6[[#This Row],[BUCKET]],1)</f>
        <v>A</v>
      </c>
      <c r="R286" s="51">
        <f>VLOOKUP(MCC_Table6[[#This Row],[START UNIT]],UnitMap[],2,FALSE)</f>
        <v>1</v>
      </c>
      <c r="S286" s="51" cm="1">
        <f t="array" ref="S28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86" s="51">
        <f>IF(ISNUMBER(MCC_Table6[[#This Row],[SIZE]]), MCC_Table6[[#This Row],[SIZE]]/6, 0)</f>
        <v>2</v>
      </c>
      <c r="U286" s="51">
        <f>MCC_Table6[[#This Row],[START INDEX]]+MCC_Table6[[#This Row],[UNITS USED]]-1</f>
        <v>2</v>
      </c>
      <c r="V286" s="115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</row>
    <row r="287" spans="1:52" x14ac:dyDescent="0.3">
      <c r="A287" s="97" t="s">
        <v>1335</v>
      </c>
      <c r="B287" s="51" t="s">
        <v>1107</v>
      </c>
      <c r="C287" s="39" t="s">
        <v>462</v>
      </c>
      <c r="D287" s="136" t="s">
        <v>496</v>
      </c>
      <c r="E287" s="51" t="s">
        <v>462</v>
      </c>
      <c r="F287" s="86">
        <f>IF(ISNUMBER(MCC_Table6[[#This Row],[SIZE]]), MCC_Table6[[#This Row],[SIZE]]/12, 0)</f>
        <v>1</v>
      </c>
      <c r="G287" s="10"/>
      <c r="H287" s="10"/>
      <c r="I287" s="10"/>
      <c r="J287" s="10"/>
      <c r="K287" s="54"/>
      <c r="L287" s="54"/>
      <c r="M287" s="54"/>
      <c r="N287" s="54"/>
      <c r="O287" s="53"/>
      <c r="P287" s="51">
        <f>_xlfn.NUMBERVALUE(LEFT(MCC_Table6[[#This Row],[BUCKET]],LEN(MCC_Table6[[#This Row],[BUCKET]])-1))</f>
        <v>5</v>
      </c>
      <c r="Q287" s="51" t="str">
        <f>RIGHT(MCC_Table6[[#This Row],[BUCKET]],1)</f>
        <v>C</v>
      </c>
      <c r="R287" s="51">
        <f>VLOOKUP(MCC_Table6[[#This Row],[START UNIT]],UnitMap[],2,FALSE)</f>
        <v>3</v>
      </c>
      <c r="S287" s="51" cm="1">
        <f t="array" ref="S28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87" s="51">
        <f>IF(ISNUMBER(MCC_Table6[[#This Row],[SIZE]]), MCC_Table6[[#This Row],[SIZE]]/6, 0)</f>
        <v>2</v>
      </c>
      <c r="U287" s="51">
        <f>MCC_Table6[[#This Row],[START INDEX]]+MCC_Table6[[#This Row],[UNITS USED]]-1</f>
        <v>4</v>
      </c>
      <c r="V287" s="12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</row>
    <row r="288" spans="1:52" x14ac:dyDescent="0.3">
      <c r="A288" s="97" t="s">
        <v>1335</v>
      </c>
      <c r="B288" s="51" t="s">
        <v>511</v>
      </c>
      <c r="C288" s="39" t="s">
        <v>462</v>
      </c>
      <c r="D288" s="136" t="s">
        <v>496</v>
      </c>
      <c r="E288" s="51" t="s">
        <v>462</v>
      </c>
      <c r="F288" s="86">
        <f>IF(ISNUMBER(MCC_Table6[[#This Row],[SIZE]]), MCC_Table6[[#This Row],[SIZE]]/12, 0)</f>
        <v>1</v>
      </c>
      <c r="G288" s="10"/>
      <c r="H288" s="10"/>
      <c r="I288" s="10"/>
      <c r="J288" s="10"/>
      <c r="K288" s="54"/>
      <c r="L288" s="54"/>
      <c r="M288" s="54"/>
      <c r="N288" s="54"/>
      <c r="O288" s="53"/>
      <c r="P288" s="51">
        <f>_xlfn.NUMBERVALUE(LEFT(MCC_Table6[[#This Row],[BUCKET]],LEN(MCC_Table6[[#This Row],[BUCKET]])-1))</f>
        <v>5</v>
      </c>
      <c r="Q288" s="51" t="str">
        <f>RIGHT(MCC_Table6[[#This Row],[BUCKET]],1)</f>
        <v>E</v>
      </c>
      <c r="R288" s="51">
        <f>VLOOKUP(MCC_Table6[[#This Row],[START UNIT]],UnitMap[],2,FALSE)</f>
        <v>5</v>
      </c>
      <c r="S288" s="51" cm="1">
        <f t="array" ref="S28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88" s="51">
        <f>IF(ISNUMBER(MCC_Table6[[#This Row],[SIZE]]), MCC_Table6[[#This Row],[SIZE]]/6, 0)</f>
        <v>2</v>
      </c>
      <c r="U288" s="51">
        <f>MCC_Table6[[#This Row],[START INDEX]]+MCC_Table6[[#This Row],[UNITS USED]]-1</f>
        <v>6</v>
      </c>
      <c r="V288" s="12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</row>
    <row r="289" spans="1:52" x14ac:dyDescent="0.3">
      <c r="A289" s="97" t="s">
        <v>1335</v>
      </c>
      <c r="B289" s="51" t="s">
        <v>1275</v>
      </c>
      <c r="C289" s="39" t="s">
        <v>462</v>
      </c>
      <c r="D289" s="136" t="s">
        <v>496</v>
      </c>
      <c r="E289" s="51" t="s">
        <v>462</v>
      </c>
      <c r="F289" s="86">
        <f>IF(ISNUMBER(MCC_Table6[[#This Row],[SIZE]]), MCC_Table6[[#This Row],[SIZE]]/12, 0)</f>
        <v>1</v>
      </c>
      <c r="G289" s="10"/>
      <c r="H289" s="10"/>
      <c r="I289" s="10"/>
      <c r="J289" s="10"/>
      <c r="K289" s="54"/>
      <c r="L289" s="54"/>
      <c r="M289" s="54"/>
      <c r="N289" s="54"/>
      <c r="O289" s="53"/>
      <c r="P289" s="51">
        <f>_xlfn.NUMBERVALUE(LEFT(MCC_Table6[[#This Row],[BUCKET]],LEN(MCC_Table6[[#This Row],[BUCKET]])-1))</f>
        <v>5</v>
      </c>
      <c r="Q289" s="51" t="str">
        <f>RIGHT(MCC_Table6[[#This Row],[BUCKET]],1)</f>
        <v>G</v>
      </c>
      <c r="R289" s="51">
        <f>VLOOKUP(MCC_Table6[[#This Row],[START UNIT]],UnitMap[],2,FALSE)</f>
        <v>7</v>
      </c>
      <c r="S289" s="51" cm="1">
        <f t="array" ref="S28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89" s="51">
        <f>IF(ISNUMBER(MCC_Table6[[#This Row],[SIZE]]), MCC_Table6[[#This Row],[SIZE]]/6, 0)</f>
        <v>2</v>
      </c>
      <c r="U289" s="51">
        <f>MCC_Table6[[#This Row],[START INDEX]]+MCC_Table6[[#This Row],[UNITS USED]]-1</f>
        <v>8</v>
      </c>
      <c r="V289" s="12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</row>
    <row r="290" spans="1:52" x14ac:dyDescent="0.3">
      <c r="A290" s="97" t="s">
        <v>1335</v>
      </c>
      <c r="B290" s="51" t="s">
        <v>514</v>
      </c>
      <c r="C290" s="39" t="s">
        <v>462</v>
      </c>
      <c r="D290" s="136" t="s">
        <v>496</v>
      </c>
      <c r="E290" s="51" t="s">
        <v>462</v>
      </c>
      <c r="F290" s="86">
        <f>IF(ISNUMBER(MCC_Table6[[#This Row],[SIZE]]), MCC_Table6[[#This Row],[SIZE]]/12, 0)</f>
        <v>1</v>
      </c>
      <c r="G290" s="10"/>
      <c r="H290" s="10"/>
      <c r="I290" s="10"/>
      <c r="J290" s="10"/>
      <c r="K290" s="54"/>
      <c r="L290" s="54"/>
      <c r="M290" s="54"/>
      <c r="N290" s="54"/>
      <c r="O290" s="53"/>
      <c r="P290" s="51">
        <f>_xlfn.NUMBERVALUE(LEFT(MCC_Table6[[#This Row],[BUCKET]],LEN(MCC_Table6[[#This Row],[BUCKET]])-1))</f>
        <v>5</v>
      </c>
      <c r="Q290" s="51" t="str">
        <f>RIGHT(MCC_Table6[[#This Row],[BUCKET]],1)</f>
        <v>J</v>
      </c>
      <c r="R290" s="51">
        <f>VLOOKUP(MCC_Table6[[#This Row],[START UNIT]],UnitMap[],2,FALSE)</f>
        <v>9</v>
      </c>
      <c r="S290" s="51" cm="1">
        <f t="array" ref="S29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90" s="51">
        <f>IF(ISNUMBER(MCC_Table6[[#This Row],[SIZE]]), MCC_Table6[[#This Row],[SIZE]]/6, 0)</f>
        <v>2</v>
      </c>
      <c r="U290" s="51">
        <f>MCC_Table6[[#This Row],[START INDEX]]+MCC_Table6[[#This Row],[UNITS USED]]-1</f>
        <v>10</v>
      </c>
      <c r="V290" s="12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</row>
    <row r="291" spans="1:52" x14ac:dyDescent="0.3">
      <c r="A291" s="97" t="s">
        <v>1335</v>
      </c>
      <c r="B291" s="51" t="s">
        <v>1347</v>
      </c>
      <c r="C291" s="39" t="s">
        <v>1348</v>
      </c>
      <c r="D291" s="136" t="s">
        <v>467</v>
      </c>
      <c r="E291" s="39" t="s">
        <v>468</v>
      </c>
      <c r="F291" s="86">
        <f>IF(ISNUMBER(MCC_Table6[[#This Row],[SIZE]]), MCC_Table6[[#This Row],[SIZE]]/12, 0)</f>
        <v>1</v>
      </c>
      <c r="G291" s="10"/>
      <c r="H291" s="10"/>
      <c r="I291" s="10"/>
      <c r="J291" s="10"/>
      <c r="K291" s="54"/>
      <c r="L291" s="54"/>
      <c r="M291" s="54"/>
      <c r="N291" s="54"/>
      <c r="O291" s="53"/>
      <c r="P291" s="51">
        <f>_xlfn.NUMBERVALUE(LEFT(MCC_Table6[[#This Row],[BUCKET]],LEN(MCC_Table6[[#This Row],[BUCKET]])-1))</f>
        <v>5</v>
      </c>
      <c r="Q291" s="51" t="str">
        <f>RIGHT(MCC_Table6[[#This Row],[BUCKET]],1)</f>
        <v>L</v>
      </c>
      <c r="R291" s="51">
        <f>VLOOKUP(MCC_Table6[[#This Row],[START UNIT]],UnitMap[],2,FALSE)</f>
        <v>11</v>
      </c>
      <c r="S291" s="51" cm="1">
        <f t="array" ref="S29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291" s="51">
        <f>IF(ISNUMBER(MCC_Table6[[#This Row],[SIZE]]), MCC_Table6[[#This Row],[SIZE]]/6, 0)</f>
        <v>2</v>
      </c>
      <c r="U291" s="51">
        <f>MCC_Table6[[#This Row],[START INDEX]]+MCC_Table6[[#This Row],[UNITS USED]]-1</f>
        <v>12</v>
      </c>
      <c r="V291" s="109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</row>
    <row r="292" spans="1:52" x14ac:dyDescent="0.3">
      <c r="A292" s="97" t="s">
        <v>1335</v>
      </c>
      <c r="B292" s="51" t="s">
        <v>517</v>
      </c>
      <c r="C292" s="39" t="s">
        <v>1349</v>
      </c>
      <c r="D292" s="135" t="s">
        <v>1350</v>
      </c>
      <c r="E292" s="51" t="s">
        <v>904</v>
      </c>
      <c r="F292" s="86">
        <f>IF(ISNUMBER(MCC_Table6[[#This Row],[SIZE]]), MCC_Table6[[#This Row],[SIZE]]/12, 0)</f>
        <v>2.5</v>
      </c>
      <c r="G292" s="10">
        <v>15</v>
      </c>
      <c r="H292" s="10">
        <v>15</v>
      </c>
      <c r="I292" s="10"/>
      <c r="J292" s="10"/>
      <c r="K292" s="54">
        <v>60</v>
      </c>
      <c r="L292" s="54">
        <v>125</v>
      </c>
      <c r="M292" s="54">
        <v>40</v>
      </c>
      <c r="N292" s="54" t="s">
        <v>1024</v>
      </c>
      <c r="O292" s="53"/>
      <c r="P292" s="51">
        <f>_xlfn.NUMBERVALUE(LEFT(MCC_Table6[[#This Row],[BUCKET]],LEN(MCC_Table6[[#This Row],[BUCKET]])-1))</f>
        <v>6</v>
      </c>
      <c r="Q292" s="51" t="str">
        <f>RIGHT(MCC_Table6[[#This Row],[BUCKET]],1)</f>
        <v>A</v>
      </c>
      <c r="R292" s="51">
        <f>VLOOKUP(MCC_Table6[[#This Row],[START UNIT]],UnitMap[],2,FALSE)</f>
        <v>1</v>
      </c>
      <c r="S292" s="51" cm="1">
        <f t="array" ref="S29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92" s="51">
        <f>IF(ISNUMBER(MCC_Table6[[#This Row],[SIZE]]), MCC_Table6[[#This Row],[SIZE]]/6, 0)</f>
        <v>5</v>
      </c>
      <c r="U292" s="51">
        <f>MCC_Table6[[#This Row],[START INDEX]]+MCC_Table6[[#This Row],[UNITS USED]]-1</f>
        <v>5</v>
      </c>
      <c r="V292" s="12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</row>
    <row r="293" spans="1:52" x14ac:dyDescent="0.3">
      <c r="A293" s="97" t="s">
        <v>1335</v>
      </c>
      <c r="B293" s="51" t="s">
        <v>520</v>
      </c>
      <c r="C293" s="39" t="s">
        <v>1351</v>
      </c>
      <c r="D293" s="135" t="s">
        <v>1352</v>
      </c>
      <c r="E293" s="51" t="s">
        <v>904</v>
      </c>
      <c r="F293" s="86">
        <f>IF(ISNUMBER(MCC_Table6[[#This Row],[SIZE]]), MCC_Table6[[#This Row],[SIZE]]/12, 0)</f>
        <v>3.5</v>
      </c>
      <c r="G293" s="10">
        <v>30</v>
      </c>
      <c r="H293" s="10">
        <v>30</v>
      </c>
      <c r="I293" s="10"/>
      <c r="J293" s="10"/>
      <c r="K293" s="54">
        <v>100</v>
      </c>
      <c r="L293" s="54">
        <v>125</v>
      </c>
      <c r="M293" s="54" t="s">
        <v>303</v>
      </c>
      <c r="N293" s="54" t="s">
        <v>1053</v>
      </c>
      <c r="O293" s="53"/>
      <c r="P293" s="51">
        <f>_xlfn.NUMBERVALUE(LEFT(MCC_Table6[[#This Row],[BUCKET]],LEN(MCC_Table6[[#This Row],[BUCKET]])-1))</f>
        <v>6</v>
      </c>
      <c r="Q293" s="51" t="str">
        <f>RIGHT(MCC_Table6[[#This Row],[BUCKET]],1)</f>
        <v>F</v>
      </c>
      <c r="R293" s="51">
        <f>VLOOKUP(MCC_Table6[[#This Row],[START UNIT]],UnitMap[],2,FALSE)</f>
        <v>6</v>
      </c>
      <c r="S293" s="51" cm="1">
        <f t="array" ref="S29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93" s="51">
        <f>IF(ISNUMBER(MCC_Table6[[#This Row],[SIZE]]), MCC_Table6[[#This Row],[SIZE]]/6, 0)</f>
        <v>7</v>
      </c>
      <c r="U293" s="51">
        <f>MCC_Table6[[#This Row],[START INDEX]]+MCC_Table6[[#This Row],[UNITS USED]]-1</f>
        <v>12</v>
      </c>
      <c r="V293" s="12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</row>
    <row r="294" spans="1:52" x14ac:dyDescent="0.3">
      <c r="A294" s="97" t="s">
        <v>1335</v>
      </c>
      <c r="B294" s="51" t="s">
        <v>526</v>
      </c>
      <c r="C294" s="39" t="s">
        <v>1353</v>
      </c>
      <c r="D294" s="135" t="s">
        <v>1354</v>
      </c>
      <c r="E294" s="51" t="s">
        <v>904</v>
      </c>
      <c r="F294" s="86">
        <f>IF(ISNUMBER(MCC_Table6[[#This Row],[SIZE]]), MCC_Table6[[#This Row],[SIZE]]/12, 0)</f>
        <v>2.5</v>
      </c>
      <c r="G294" s="10">
        <v>15</v>
      </c>
      <c r="H294" s="10">
        <v>15</v>
      </c>
      <c r="I294" s="10"/>
      <c r="J294" s="10"/>
      <c r="K294" s="54">
        <v>60</v>
      </c>
      <c r="L294" s="54">
        <v>125</v>
      </c>
      <c r="M294" s="54">
        <v>40</v>
      </c>
      <c r="N294" s="54" t="s">
        <v>1024</v>
      </c>
      <c r="O294" s="53"/>
      <c r="P294" s="51">
        <f>_xlfn.NUMBERVALUE(LEFT(MCC_Table6[[#This Row],[BUCKET]],LEN(MCC_Table6[[#This Row],[BUCKET]])-1))</f>
        <v>7</v>
      </c>
      <c r="Q294" s="51" t="str">
        <f>RIGHT(MCC_Table6[[#This Row],[BUCKET]],1)</f>
        <v>A</v>
      </c>
      <c r="R294" s="51">
        <f>VLOOKUP(MCC_Table6[[#This Row],[START UNIT]],UnitMap[],2,FALSE)</f>
        <v>1</v>
      </c>
      <c r="S294" s="51" cm="1">
        <f t="array" ref="S29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294" s="51">
        <f>IF(ISNUMBER(MCC_Table6[[#This Row],[SIZE]]), MCC_Table6[[#This Row],[SIZE]]/6, 0)</f>
        <v>5</v>
      </c>
      <c r="U294" s="51">
        <f>MCC_Table6[[#This Row],[START INDEX]]+MCC_Table6[[#This Row],[UNITS USED]]-1</f>
        <v>5</v>
      </c>
      <c r="V294" s="12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</row>
    <row r="295" spans="1:52" x14ac:dyDescent="0.3">
      <c r="A295" s="97" t="s">
        <v>1335</v>
      </c>
      <c r="B295" s="51" t="s">
        <v>529</v>
      </c>
      <c r="C295" s="39" t="s">
        <v>1355</v>
      </c>
      <c r="D295" s="135" t="s">
        <v>1356</v>
      </c>
      <c r="E295" s="51" t="s">
        <v>904</v>
      </c>
      <c r="F295" s="86">
        <f>IF(ISNUMBER(MCC_Table6[[#This Row],[SIZE]]), MCC_Table6[[#This Row],[SIZE]]/12, 0)</f>
        <v>3.5</v>
      </c>
      <c r="G295" s="10">
        <v>30</v>
      </c>
      <c r="H295" s="10">
        <v>30</v>
      </c>
      <c r="I295" s="10"/>
      <c r="J295" s="10"/>
      <c r="K295" s="54">
        <v>100</v>
      </c>
      <c r="L295" s="54">
        <v>125</v>
      </c>
      <c r="M295" s="54" t="s">
        <v>303</v>
      </c>
      <c r="N295" s="54" t="s">
        <v>1053</v>
      </c>
      <c r="O295" s="53"/>
      <c r="P295" s="51">
        <f>_xlfn.NUMBERVALUE(LEFT(MCC_Table6[[#This Row],[BUCKET]],LEN(MCC_Table6[[#This Row],[BUCKET]])-1))</f>
        <v>7</v>
      </c>
      <c r="Q295" s="51" t="str">
        <f>RIGHT(MCC_Table6[[#This Row],[BUCKET]],1)</f>
        <v>F</v>
      </c>
      <c r="R295" s="51">
        <f>VLOOKUP(MCC_Table6[[#This Row],[START UNIT]],UnitMap[],2,FALSE)</f>
        <v>6</v>
      </c>
      <c r="S295" s="51" cm="1">
        <f t="array" ref="S29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95" s="51">
        <f>IF(ISNUMBER(MCC_Table6[[#This Row],[SIZE]]), MCC_Table6[[#This Row],[SIZE]]/6, 0)</f>
        <v>7</v>
      </c>
      <c r="U295" s="51">
        <f>MCC_Table6[[#This Row],[START INDEX]]+MCC_Table6[[#This Row],[UNITS USED]]-1</f>
        <v>12</v>
      </c>
      <c r="V295" s="12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</row>
    <row r="296" spans="1:52" x14ac:dyDescent="0.3">
      <c r="A296" s="97" t="s">
        <v>1335</v>
      </c>
      <c r="B296" s="51" t="s">
        <v>534</v>
      </c>
      <c r="C296" s="39" t="s">
        <v>462</v>
      </c>
      <c r="D296" s="136" t="s">
        <v>461</v>
      </c>
      <c r="E296" s="51" t="s">
        <v>462</v>
      </c>
      <c r="F296" s="86">
        <f>IF(ISNUMBER(MCC_Table6[[#This Row],[SIZE]]), MCC_Table6[[#This Row],[SIZE]]/12, 0)</f>
        <v>0.5</v>
      </c>
      <c r="G296" s="10"/>
      <c r="H296" s="10"/>
      <c r="I296" s="10"/>
      <c r="J296" s="10"/>
      <c r="K296" s="54"/>
      <c r="L296" s="54"/>
      <c r="M296" s="54"/>
      <c r="N296" s="54"/>
      <c r="O296" s="53"/>
      <c r="P296" s="51">
        <f>_xlfn.NUMBERVALUE(LEFT(MCC_Table6[[#This Row],[BUCKET]],LEN(MCC_Table6[[#This Row],[BUCKET]])-1))</f>
        <v>8</v>
      </c>
      <c r="Q296" s="51" t="str">
        <f>RIGHT(MCC_Table6[[#This Row],[BUCKET]],1)</f>
        <v>A</v>
      </c>
      <c r="R296" s="51">
        <f>VLOOKUP(MCC_Table6[[#This Row],[START UNIT]],UnitMap[],2,FALSE)</f>
        <v>1</v>
      </c>
      <c r="S296" s="51" cm="1">
        <f t="array" ref="S29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296" s="51">
        <f>IF(ISNUMBER(MCC_Table6[[#This Row],[SIZE]]), MCC_Table6[[#This Row],[SIZE]]/6, 0)</f>
        <v>1</v>
      </c>
      <c r="U296" s="51">
        <f>MCC_Table6[[#This Row],[START INDEX]]+MCC_Table6[[#This Row],[UNITS USED]]-1</f>
        <v>1</v>
      </c>
      <c r="V296" s="12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</row>
    <row r="297" spans="1:52" x14ac:dyDescent="0.3">
      <c r="A297" s="97" t="s">
        <v>1335</v>
      </c>
      <c r="B297" s="10" t="s">
        <v>1357</v>
      </c>
      <c r="C297" s="39" t="s">
        <v>53</v>
      </c>
      <c r="D297" s="135" t="s">
        <v>530</v>
      </c>
      <c r="E297" s="51" t="s">
        <v>904</v>
      </c>
      <c r="F297" s="87">
        <f>IF(ISNUMBER(MCC_Table6[[#This Row],[SIZE]]), MCC_Table6[[#This Row],[SIZE]]/12, 0)</f>
        <v>2</v>
      </c>
      <c r="G297" s="51"/>
      <c r="H297" s="10">
        <v>10</v>
      </c>
      <c r="I297" s="10"/>
      <c r="J297" s="10"/>
      <c r="K297" s="54">
        <v>30</v>
      </c>
      <c r="L297" s="54">
        <v>125</v>
      </c>
      <c r="M297" s="54">
        <v>25</v>
      </c>
      <c r="N297" s="54"/>
      <c r="O297" s="53"/>
      <c r="P297" s="10">
        <f>_xlfn.NUMBERVALUE(LEFT(MCC_Table6[[#This Row],[BUCKET]],LEN(MCC_Table6[[#This Row],[BUCKET]])-1))</f>
        <v>8</v>
      </c>
      <c r="Q297" s="10" t="str">
        <f>RIGHT(MCC_Table6[[#This Row],[BUCKET]],1)</f>
        <v>B</v>
      </c>
      <c r="R297" s="10">
        <f>VLOOKUP(MCC_Table6[[#This Row],[START UNIT]],UnitMap[],2,FALSE)</f>
        <v>2</v>
      </c>
      <c r="S297" s="10" cm="1">
        <f t="array" ref="S29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297" s="10">
        <f>IF(ISNUMBER(MCC_Table6[[#This Row],[SIZE]]), MCC_Table6[[#This Row],[SIZE]]/6, 0)</f>
        <v>4</v>
      </c>
      <c r="U297" s="10">
        <f>MCC_Table6[[#This Row],[START INDEX]]+MCC_Table6[[#This Row],[UNITS USED]]-1</f>
        <v>5</v>
      </c>
      <c r="V297" s="111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</row>
    <row r="298" spans="1:52" x14ac:dyDescent="0.3">
      <c r="A298" s="97" t="s">
        <v>1335</v>
      </c>
      <c r="B298" s="51" t="s">
        <v>537</v>
      </c>
      <c r="C298" s="39" t="s">
        <v>1358</v>
      </c>
      <c r="D298" s="135" t="s">
        <v>1359</v>
      </c>
      <c r="E298" s="51" t="s">
        <v>904</v>
      </c>
      <c r="F298" s="86">
        <f>IF(ISNUMBER(MCC_Table6[[#This Row],[SIZE]]), MCC_Table6[[#This Row],[SIZE]]/12, 0)</f>
        <v>3.5</v>
      </c>
      <c r="G298" s="10">
        <v>30</v>
      </c>
      <c r="H298" s="10">
        <v>30</v>
      </c>
      <c r="I298" s="10"/>
      <c r="J298" s="10"/>
      <c r="K298" s="54">
        <v>100</v>
      </c>
      <c r="L298" s="54">
        <v>125</v>
      </c>
      <c r="M298" s="54" t="s">
        <v>303</v>
      </c>
      <c r="N298" s="54" t="s">
        <v>1053</v>
      </c>
      <c r="O298" s="53"/>
      <c r="P298" s="51">
        <f>_xlfn.NUMBERVALUE(LEFT(MCC_Table6[[#This Row],[BUCKET]],LEN(MCC_Table6[[#This Row],[BUCKET]])-1))</f>
        <v>8</v>
      </c>
      <c r="Q298" s="51" t="str">
        <f>RIGHT(MCC_Table6[[#This Row],[BUCKET]],1)</f>
        <v>F</v>
      </c>
      <c r="R298" s="51">
        <f>VLOOKUP(MCC_Table6[[#This Row],[START UNIT]],UnitMap[],2,FALSE)</f>
        <v>6</v>
      </c>
      <c r="S298" s="51" cm="1">
        <f t="array" ref="S29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298" s="51">
        <f>IF(ISNUMBER(MCC_Table6[[#This Row],[SIZE]]), MCC_Table6[[#This Row],[SIZE]]/6, 0)</f>
        <v>7</v>
      </c>
      <c r="U298" s="51">
        <f>MCC_Table6[[#This Row],[START INDEX]]+MCC_Table6[[#This Row],[UNITS USED]]-1</f>
        <v>12</v>
      </c>
      <c r="V298" s="12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</row>
    <row r="299" spans="1:52" x14ac:dyDescent="0.3">
      <c r="A299" s="97" t="s">
        <v>1335</v>
      </c>
      <c r="B299" s="51" t="s">
        <v>541</v>
      </c>
      <c r="C299" s="39" t="s">
        <v>462</v>
      </c>
      <c r="D299" s="136" t="s">
        <v>461</v>
      </c>
      <c r="E299" s="51" t="s">
        <v>462</v>
      </c>
      <c r="F299" s="86">
        <f>IF(ISNUMBER(MCC_Table6[[#This Row],[SIZE]]), MCC_Table6[[#This Row],[SIZE]]/12, 0)</f>
        <v>0.5</v>
      </c>
      <c r="G299" s="10"/>
      <c r="H299" s="10"/>
      <c r="I299" s="10"/>
      <c r="J299" s="10"/>
      <c r="K299" s="54"/>
      <c r="L299" s="54"/>
      <c r="M299" s="54"/>
      <c r="N299" s="54"/>
      <c r="O299" s="53"/>
      <c r="P299" s="51">
        <f>_xlfn.NUMBERVALUE(LEFT(MCC_Table6[[#This Row],[BUCKET]],LEN(MCC_Table6[[#This Row],[BUCKET]])-1))</f>
        <v>9</v>
      </c>
      <c r="Q299" s="51" t="str">
        <f>RIGHT(MCC_Table6[[#This Row],[BUCKET]],1)</f>
        <v>A</v>
      </c>
      <c r="R299" s="51">
        <f>VLOOKUP(MCC_Table6[[#This Row],[START UNIT]],UnitMap[],2,FALSE)</f>
        <v>1</v>
      </c>
      <c r="S299" s="51" cm="1">
        <f t="array" ref="S29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299" s="51">
        <f>IF(ISNUMBER(MCC_Table6[[#This Row],[SIZE]]), MCC_Table6[[#This Row],[SIZE]]/6, 0)</f>
        <v>1</v>
      </c>
      <c r="U299" s="51">
        <f>MCC_Table6[[#This Row],[START INDEX]]+MCC_Table6[[#This Row],[UNITS USED]]-1</f>
        <v>1</v>
      </c>
      <c r="V299" s="12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</row>
    <row r="300" spans="1:52" x14ac:dyDescent="0.3">
      <c r="A300" s="97" t="s">
        <v>1335</v>
      </c>
      <c r="B300" s="51" t="s">
        <v>1360</v>
      </c>
      <c r="C300" s="39" t="s">
        <v>1361</v>
      </c>
      <c r="D300" s="135" t="s">
        <v>1362</v>
      </c>
      <c r="E300" s="51" t="s">
        <v>904</v>
      </c>
      <c r="F300" s="86">
        <f>IF(ISNUMBER(MCC_Table6[[#This Row],[SIZE]]), MCC_Table6[[#This Row],[SIZE]]/12, 0)</f>
        <v>2</v>
      </c>
      <c r="G300" s="10">
        <v>7.5</v>
      </c>
      <c r="H300" s="10">
        <v>7.5</v>
      </c>
      <c r="I300" s="10"/>
      <c r="J300" s="10"/>
      <c r="K300" s="54">
        <v>30</v>
      </c>
      <c r="L300" s="54">
        <v>125</v>
      </c>
      <c r="M300" s="54">
        <v>25</v>
      </c>
      <c r="N300" s="54" t="s">
        <v>911</v>
      </c>
      <c r="O300" s="53"/>
      <c r="P300" s="51">
        <f>_xlfn.NUMBERVALUE(LEFT(MCC_Table6[[#This Row],[BUCKET]],LEN(MCC_Table6[[#This Row],[BUCKET]])-1))</f>
        <v>9</v>
      </c>
      <c r="Q300" s="51" t="str">
        <f>RIGHT(MCC_Table6[[#This Row],[BUCKET]],1)</f>
        <v>B</v>
      </c>
      <c r="R300" s="51">
        <f>VLOOKUP(MCC_Table6[[#This Row],[START UNIT]],UnitMap[],2,FALSE)</f>
        <v>2</v>
      </c>
      <c r="S300" s="51" cm="1">
        <f t="array" ref="S30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00" s="51">
        <f>IF(ISNUMBER(MCC_Table6[[#This Row],[SIZE]]), MCC_Table6[[#This Row],[SIZE]]/6, 0)</f>
        <v>4</v>
      </c>
      <c r="U300" s="51">
        <f>MCC_Table6[[#This Row],[START INDEX]]+MCC_Table6[[#This Row],[UNITS USED]]-1</f>
        <v>5</v>
      </c>
      <c r="V300" s="12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</row>
    <row r="301" spans="1:52" x14ac:dyDescent="0.3">
      <c r="A301" s="97" t="s">
        <v>1335</v>
      </c>
      <c r="B301" s="51" t="s">
        <v>931</v>
      </c>
      <c r="C301" s="39" t="s">
        <v>1363</v>
      </c>
      <c r="D301" s="135" t="s">
        <v>1364</v>
      </c>
      <c r="E301" s="51" t="s">
        <v>904</v>
      </c>
      <c r="F301" s="86">
        <f>IF(ISNUMBER(MCC_Table6[[#This Row],[SIZE]]), MCC_Table6[[#This Row],[SIZE]]/12, 0)</f>
        <v>3.5</v>
      </c>
      <c r="G301" s="10">
        <v>30</v>
      </c>
      <c r="H301" s="10">
        <v>30</v>
      </c>
      <c r="I301" s="10"/>
      <c r="J301" s="10"/>
      <c r="K301" s="54">
        <v>100</v>
      </c>
      <c r="L301" s="54">
        <v>125</v>
      </c>
      <c r="M301" s="54" t="s">
        <v>303</v>
      </c>
      <c r="N301" s="54" t="s">
        <v>1053</v>
      </c>
      <c r="O301" s="53"/>
      <c r="P301" s="51">
        <f>_xlfn.NUMBERVALUE(LEFT(MCC_Table6[[#This Row],[BUCKET]],LEN(MCC_Table6[[#This Row],[BUCKET]])-1))</f>
        <v>9</v>
      </c>
      <c r="Q301" s="51" t="str">
        <f>RIGHT(MCC_Table6[[#This Row],[BUCKET]],1)</f>
        <v>F</v>
      </c>
      <c r="R301" s="51">
        <f>VLOOKUP(MCC_Table6[[#This Row],[START UNIT]],UnitMap[],2,FALSE)</f>
        <v>6</v>
      </c>
      <c r="S301" s="51" cm="1">
        <f t="array" ref="S30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01" s="51">
        <f>IF(ISNUMBER(MCC_Table6[[#This Row],[SIZE]]), MCC_Table6[[#This Row],[SIZE]]/6, 0)</f>
        <v>7</v>
      </c>
      <c r="U301" s="51">
        <f>MCC_Table6[[#This Row],[START INDEX]]+MCC_Table6[[#This Row],[UNITS USED]]-1</f>
        <v>12</v>
      </c>
      <c r="V301" s="12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</row>
    <row r="302" spans="1:52" x14ac:dyDescent="0.3">
      <c r="A302" s="97" t="s">
        <v>1335</v>
      </c>
      <c r="B302" s="51" t="s">
        <v>550</v>
      </c>
      <c r="C302" s="39" t="s">
        <v>462</v>
      </c>
      <c r="D302" s="136" t="s">
        <v>461</v>
      </c>
      <c r="E302" s="51" t="s">
        <v>462</v>
      </c>
      <c r="F302" s="86">
        <f>IF(ISNUMBER(MCC_Table6[[#This Row],[SIZE]]), MCC_Table6[[#This Row],[SIZE]]/12, 0)</f>
        <v>0.5</v>
      </c>
      <c r="G302" s="10"/>
      <c r="H302" s="10"/>
      <c r="I302" s="10"/>
      <c r="J302" s="10"/>
      <c r="K302" s="54"/>
      <c r="L302" s="54"/>
      <c r="M302" s="54"/>
      <c r="N302" s="54"/>
      <c r="O302" s="53"/>
      <c r="P302" s="51">
        <f>_xlfn.NUMBERVALUE(LEFT(MCC_Table6[[#This Row],[BUCKET]],LEN(MCC_Table6[[#This Row],[BUCKET]])-1))</f>
        <v>10</v>
      </c>
      <c r="Q302" s="51" t="str">
        <f>RIGHT(MCC_Table6[[#This Row],[BUCKET]],1)</f>
        <v>A</v>
      </c>
      <c r="R302" s="51">
        <f>VLOOKUP(MCC_Table6[[#This Row],[START UNIT]],UnitMap[],2,FALSE)</f>
        <v>1</v>
      </c>
      <c r="S302" s="51" cm="1">
        <f t="array" ref="S30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302" s="51">
        <f>IF(ISNUMBER(MCC_Table6[[#This Row],[SIZE]]), MCC_Table6[[#This Row],[SIZE]]/6, 0)</f>
        <v>1</v>
      </c>
      <c r="U302" s="51">
        <f>MCC_Table6[[#This Row],[START INDEX]]+MCC_Table6[[#This Row],[UNITS USED]]-1</f>
        <v>1</v>
      </c>
      <c r="V302" s="12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</row>
    <row r="303" spans="1:52" x14ac:dyDescent="0.3">
      <c r="A303" s="97" t="s">
        <v>1335</v>
      </c>
      <c r="B303" s="51" t="s">
        <v>1365</v>
      </c>
      <c r="C303" s="39" t="s">
        <v>1366</v>
      </c>
      <c r="D303" s="135" t="s">
        <v>1367</v>
      </c>
      <c r="E303" s="51" t="s">
        <v>904</v>
      </c>
      <c r="F303" s="86">
        <f>IF(ISNUMBER(MCC_Table6[[#This Row],[SIZE]]), MCC_Table6[[#This Row],[SIZE]]/12, 0)</f>
        <v>2</v>
      </c>
      <c r="G303" s="10"/>
      <c r="H303" s="10"/>
      <c r="I303" s="10"/>
      <c r="J303" s="10"/>
      <c r="K303" s="54"/>
      <c r="L303" s="54"/>
      <c r="M303" s="54"/>
      <c r="N303" s="54"/>
      <c r="O303" s="53"/>
      <c r="P303" s="51">
        <f>_xlfn.NUMBERVALUE(LEFT(MCC_Table6[[#This Row],[BUCKET]],LEN(MCC_Table6[[#This Row],[BUCKET]])-1))</f>
        <v>10</v>
      </c>
      <c r="Q303" s="51" t="str">
        <f>RIGHT(MCC_Table6[[#This Row],[BUCKET]],1)</f>
        <v>B</v>
      </c>
      <c r="R303" s="51">
        <f>VLOOKUP(MCC_Table6[[#This Row],[START UNIT]],UnitMap[],2,FALSE)</f>
        <v>2</v>
      </c>
      <c r="S303" s="51" cm="1">
        <f t="array" ref="S30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03" s="51">
        <f>IF(ISNUMBER(MCC_Table6[[#This Row],[SIZE]]), MCC_Table6[[#This Row],[SIZE]]/6, 0)</f>
        <v>4</v>
      </c>
      <c r="U303" s="51">
        <f>MCC_Table6[[#This Row],[START INDEX]]+MCC_Table6[[#This Row],[UNITS USED]]-1</f>
        <v>5</v>
      </c>
      <c r="V303" s="12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</row>
    <row r="304" spans="1:52" x14ac:dyDescent="0.3">
      <c r="A304" s="97" t="s">
        <v>1335</v>
      </c>
      <c r="B304" s="51" t="s">
        <v>937</v>
      </c>
      <c r="C304" s="39" t="s">
        <v>1368</v>
      </c>
      <c r="D304" s="135" t="s">
        <v>1369</v>
      </c>
      <c r="E304" s="51" t="s">
        <v>904</v>
      </c>
      <c r="F304" s="86">
        <f>IF(ISNUMBER(MCC_Table6[[#This Row],[SIZE]]), MCC_Table6[[#This Row],[SIZE]]/12, 0)</f>
        <v>3.5</v>
      </c>
      <c r="G304" s="10">
        <v>30</v>
      </c>
      <c r="H304" s="10">
        <v>30</v>
      </c>
      <c r="I304" s="10"/>
      <c r="J304" s="10"/>
      <c r="K304" s="54">
        <v>100</v>
      </c>
      <c r="L304" s="54">
        <v>125</v>
      </c>
      <c r="M304" s="54" t="s">
        <v>303</v>
      </c>
      <c r="N304" s="54" t="s">
        <v>1053</v>
      </c>
      <c r="O304" s="53"/>
      <c r="P304" s="51">
        <f>_xlfn.NUMBERVALUE(LEFT(MCC_Table6[[#This Row],[BUCKET]],LEN(MCC_Table6[[#This Row],[BUCKET]])-1))</f>
        <v>10</v>
      </c>
      <c r="Q304" s="51" t="str">
        <f>RIGHT(MCC_Table6[[#This Row],[BUCKET]],1)</f>
        <v>F</v>
      </c>
      <c r="R304" s="51">
        <f>VLOOKUP(MCC_Table6[[#This Row],[START UNIT]],UnitMap[],2,FALSE)</f>
        <v>6</v>
      </c>
      <c r="S304" s="51" cm="1">
        <f t="array" ref="S30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04" s="51">
        <f>IF(ISNUMBER(MCC_Table6[[#This Row],[SIZE]]), MCC_Table6[[#This Row],[SIZE]]/6, 0)</f>
        <v>7</v>
      </c>
      <c r="U304" s="51">
        <f>MCC_Table6[[#This Row],[START INDEX]]+MCC_Table6[[#This Row],[UNITS USED]]-1</f>
        <v>12</v>
      </c>
      <c r="V304" s="12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</row>
    <row r="305" spans="1:52" x14ac:dyDescent="0.3">
      <c r="A305" s="97" t="s">
        <v>1335</v>
      </c>
      <c r="B305" s="51" t="s">
        <v>559</v>
      </c>
      <c r="C305" s="39" t="s">
        <v>462</v>
      </c>
      <c r="D305" s="136" t="s">
        <v>496</v>
      </c>
      <c r="E305" s="51" t="s">
        <v>462</v>
      </c>
      <c r="F305" s="86">
        <f>IF(ISNUMBER(MCC_Table6[[#This Row],[SIZE]]), MCC_Table6[[#This Row],[SIZE]]/12, 0)</f>
        <v>1</v>
      </c>
      <c r="G305" s="10"/>
      <c r="H305" s="10"/>
      <c r="I305" s="10"/>
      <c r="J305" s="10"/>
      <c r="K305" s="54"/>
      <c r="L305" s="54"/>
      <c r="M305" s="54"/>
      <c r="N305" s="54"/>
      <c r="O305" s="53"/>
      <c r="P305" s="51">
        <f>_xlfn.NUMBERVALUE(LEFT(MCC_Table6[[#This Row],[BUCKET]],LEN(MCC_Table6[[#This Row],[BUCKET]])-1))</f>
        <v>11</v>
      </c>
      <c r="Q305" s="51" t="str">
        <f>RIGHT(MCC_Table6[[#This Row],[BUCKET]],1)</f>
        <v>A</v>
      </c>
      <c r="R305" s="51">
        <f>VLOOKUP(MCC_Table6[[#This Row],[START UNIT]],UnitMap[],2,FALSE)</f>
        <v>1</v>
      </c>
      <c r="S305" s="51" cm="1">
        <f t="array" ref="S30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05" s="51">
        <f>IF(ISNUMBER(MCC_Table6[[#This Row],[SIZE]]), MCC_Table6[[#This Row],[SIZE]]/6, 0)</f>
        <v>2</v>
      </c>
      <c r="U305" s="51">
        <f>MCC_Table6[[#This Row],[START INDEX]]+MCC_Table6[[#This Row],[UNITS USED]]-1</f>
        <v>2</v>
      </c>
      <c r="V305" s="12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</row>
    <row r="306" spans="1:52" x14ac:dyDescent="0.3">
      <c r="A306" s="97" t="s">
        <v>1335</v>
      </c>
      <c r="B306" s="10" t="s">
        <v>1370</v>
      </c>
      <c r="C306" s="39" t="s">
        <v>1371</v>
      </c>
      <c r="D306" s="135" t="s">
        <v>1372</v>
      </c>
      <c r="E306" s="51" t="s">
        <v>904</v>
      </c>
      <c r="F306" s="87">
        <f>IF(ISNUMBER(MCC_Table6[[#This Row],[SIZE]]), MCC_Table6[[#This Row],[SIZE]]/12, 0)</f>
        <v>1.5</v>
      </c>
      <c r="G306" s="51">
        <v>5</v>
      </c>
      <c r="H306" s="10">
        <v>5</v>
      </c>
      <c r="I306" s="10"/>
      <c r="J306" s="10"/>
      <c r="K306" s="54">
        <v>20</v>
      </c>
      <c r="L306" s="54">
        <v>125</v>
      </c>
      <c r="M306" s="54">
        <v>12</v>
      </c>
      <c r="N306" s="54" t="s">
        <v>911</v>
      </c>
      <c r="O306" s="53"/>
      <c r="P306" s="10">
        <f>_xlfn.NUMBERVALUE(LEFT(MCC_Table6[[#This Row],[BUCKET]],LEN(MCC_Table6[[#This Row],[BUCKET]])-1))</f>
        <v>11</v>
      </c>
      <c r="Q306" s="10" t="str">
        <f>RIGHT(MCC_Table6[[#This Row],[BUCKET]],1)</f>
        <v>C</v>
      </c>
      <c r="R306" s="10">
        <f>VLOOKUP(MCC_Table6[[#This Row],[START UNIT]],UnitMap[],2,FALSE)</f>
        <v>3</v>
      </c>
      <c r="S306" s="10" cm="1">
        <f t="array" ref="S30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06" s="10">
        <f>IF(ISNUMBER(MCC_Table6[[#This Row],[SIZE]]), MCC_Table6[[#This Row],[SIZE]]/6, 0)</f>
        <v>3</v>
      </c>
      <c r="U306" s="10">
        <f>MCC_Table6[[#This Row],[START INDEX]]+MCC_Table6[[#This Row],[UNITS USED]]-1</f>
        <v>5</v>
      </c>
      <c r="V306" s="111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</row>
    <row r="307" spans="1:52" x14ac:dyDescent="0.3">
      <c r="A307" s="97" t="s">
        <v>1335</v>
      </c>
      <c r="B307" s="51" t="s">
        <v>943</v>
      </c>
      <c r="C307" s="39" t="s">
        <v>1373</v>
      </c>
      <c r="D307" s="135" t="s">
        <v>1374</v>
      </c>
      <c r="E307" s="51" t="s">
        <v>904</v>
      </c>
      <c r="F307" s="86">
        <f>IF(ISNUMBER(MCC_Table6[[#This Row],[SIZE]]), MCC_Table6[[#This Row],[SIZE]]/12, 0)</f>
        <v>3.5</v>
      </c>
      <c r="G307" s="10">
        <v>30</v>
      </c>
      <c r="H307" s="10">
        <v>30</v>
      </c>
      <c r="I307" s="10"/>
      <c r="J307" s="10"/>
      <c r="K307" s="54">
        <v>100</v>
      </c>
      <c r="L307" s="54">
        <v>125</v>
      </c>
      <c r="M307" s="54" t="s">
        <v>303</v>
      </c>
      <c r="N307" s="54" t="s">
        <v>1053</v>
      </c>
      <c r="O307" s="53"/>
      <c r="P307" s="51">
        <f>_xlfn.NUMBERVALUE(LEFT(MCC_Table6[[#This Row],[BUCKET]],LEN(MCC_Table6[[#This Row],[BUCKET]])-1))</f>
        <v>11</v>
      </c>
      <c r="Q307" s="51" t="str">
        <f>RIGHT(MCC_Table6[[#This Row],[BUCKET]],1)</f>
        <v>F</v>
      </c>
      <c r="R307" s="51">
        <f>VLOOKUP(MCC_Table6[[#This Row],[START UNIT]],UnitMap[],2,FALSE)</f>
        <v>6</v>
      </c>
      <c r="S307" s="51" cm="1">
        <f t="array" ref="S30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07" s="51">
        <f>IF(ISNUMBER(MCC_Table6[[#This Row],[SIZE]]), MCC_Table6[[#This Row],[SIZE]]/6, 0)</f>
        <v>7</v>
      </c>
      <c r="U307" s="51">
        <f>MCC_Table6[[#This Row],[START INDEX]]+MCC_Table6[[#This Row],[UNITS USED]]-1</f>
        <v>12</v>
      </c>
      <c r="V307" s="12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</row>
    <row r="308" spans="1:52" x14ac:dyDescent="0.3">
      <c r="A308" s="97" t="s">
        <v>1335</v>
      </c>
      <c r="B308" s="51" t="s">
        <v>565</v>
      </c>
      <c r="C308" s="39" t="s">
        <v>462</v>
      </c>
      <c r="D308" s="136" t="s">
        <v>496</v>
      </c>
      <c r="E308" s="51" t="s">
        <v>462</v>
      </c>
      <c r="F308" s="86">
        <f>IF(ISNUMBER(MCC_Table6[[#This Row],[SIZE]]), MCC_Table6[[#This Row],[SIZE]]/12, 0)</f>
        <v>1</v>
      </c>
      <c r="G308" s="10"/>
      <c r="H308" s="10"/>
      <c r="I308" s="10"/>
      <c r="J308" s="10"/>
      <c r="K308" s="54"/>
      <c r="L308" s="54"/>
      <c r="M308" s="54"/>
      <c r="N308" s="54"/>
      <c r="O308" s="53"/>
      <c r="P308" s="51">
        <f>_xlfn.NUMBERVALUE(LEFT(MCC_Table6[[#This Row],[BUCKET]],LEN(MCC_Table6[[#This Row],[BUCKET]])-1))</f>
        <v>12</v>
      </c>
      <c r="Q308" s="51" t="str">
        <f>RIGHT(MCC_Table6[[#This Row],[BUCKET]],1)</f>
        <v>A</v>
      </c>
      <c r="R308" s="51">
        <f>VLOOKUP(MCC_Table6[[#This Row],[START UNIT]],UnitMap[],2,FALSE)</f>
        <v>1</v>
      </c>
      <c r="S308" s="51" cm="1">
        <f t="array" ref="S30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08" s="51">
        <f>IF(ISNUMBER(MCC_Table6[[#This Row],[SIZE]]), MCC_Table6[[#This Row],[SIZE]]/6, 0)</f>
        <v>2</v>
      </c>
      <c r="U308" s="51">
        <f>MCC_Table6[[#This Row],[START INDEX]]+MCC_Table6[[#This Row],[UNITS USED]]-1</f>
        <v>2</v>
      </c>
      <c r="V308" s="12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</row>
    <row r="309" spans="1:52" x14ac:dyDescent="0.3">
      <c r="A309" s="97" t="s">
        <v>1335</v>
      </c>
      <c r="B309" s="10" t="s">
        <v>1043</v>
      </c>
      <c r="C309" s="39" t="s">
        <v>53</v>
      </c>
      <c r="D309" s="135" t="s">
        <v>560</v>
      </c>
      <c r="E309" s="51" t="s">
        <v>904</v>
      </c>
      <c r="F309" s="87">
        <f>IF(ISNUMBER(MCC_Table6[[#This Row],[SIZE]]), MCC_Table6[[#This Row],[SIZE]]/12, 0)</f>
        <v>1.5</v>
      </c>
      <c r="G309" s="51"/>
      <c r="H309" s="10">
        <v>5</v>
      </c>
      <c r="I309" s="10"/>
      <c r="J309" s="10"/>
      <c r="K309" s="54">
        <v>20</v>
      </c>
      <c r="L309" s="54">
        <v>125</v>
      </c>
      <c r="M309" s="54">
        <v>12</v>
      </c>
      <c r="N309" s="54"/>
      <c r="O309" s="53"/>
      <c r="P309" s="10">
        <f>_xlfn.NUMBERVALUE(LEFT(MCC_Table6[[#This Row],[BUCKET]],LEN(MCC_Table6[[#This Row],[BUCKET]])-1))</f>
        <v>12</v>
      </c>
      <c r="Q309" s="10" t="str">
        <f>RIGHT(MCC_Table6[[#This Row],[BUCKET]],1)</f>
        <v>C</v>
      </c>
      <c r="R309" s="10">
        <f>VLOOKUP(MCC_Table6[[#This Row],[START UNIT]],UnitMap[],2,FALSE)</f>
        <v>3</v>
      </c>
      <c r="S309" s="10" cm="1">
        <f t="array" ref="S30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09" s="10">
        <f>IF(ISNUMBER(MCC_Table6[[#This Row],[SIZE]]), MCC_Table6[[#This Row],[SIZE]]/6, 0)</f>
        <v>3</v>
      </c>
      <c r="U309" s="10">
        <f>MCC_Table6[[#This Row],[START INDEX]]+MCC_Table6[[#This Row],[UNITS USED]]-1</f>
        <v>5</v>
      </c>
      <c r="V309" s="111"/>
      <c r="W309" s="110"/>
      <c r="X309" s="110"/>
      <c r="Y309" s="110"/>
      <c r="Z309" s="110"/>
      <c r="AA309" s="110"/>
      <c r="AB309" s="110"/>
      <c r="AC309" s="110"/>
      <c r="AD309" s="110"/>
      <c r="AE309" s="110"/>
      <c r="AF309" s="110"/>
      <c r="AG309" s="11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</row>
    <row r="310" spans="1:52" x14ac:dyDescent="0.3">
      <c r="A310" s="97" t="s">
        <v>1335</v>
      </c>
      <c r="B310" s="51" t="s">
        <v>566</v>
      </c>
      <c r="C310" s="39" t="s">
        <v>1375</v>
      </c>
      <c r="D310" s="135" t="s">
        <v>1376</v>
      </c>
      <c r="E310" s="51" t="s">
        <v>904</v>
      </c>
      <c r="F310" s="86">
        <f>IF(ISNUMBER(MCC_Table6[[#This Row],[SIZE]]), MCC_Table6[[#This Row],[SIZE]]/12, 0)</f>
        <v>3.5</v>
      </c>
      <c r="G310" s="10">
        <v>30</v>
      </c>
      <c r="H310" s="10">
        <v>30</v>
      </c>
      <c r="I310" s="10"/>
      <c r="J310" s="10"/>
      <c r="K310" s="54">
        <v>100</v>
      </c>
      <c r="L310" s="54">
        <v>125</v>
      </c>
      <c r="M310" s="54" t="s">
        <v>303</v>
      </c>
      <c r="N310" s="54" t="s">
        <v>1053</v>
      </c>
      <c r="O310" s="53"/>
      <c r="P310" s="51">
        <f>_xlfn.NUMBERVALUE(LEFT(MCC_Table6[[#This Row],[BUCKET]],LEN(MCC_Table6[[#This Row],[BUCKET]])-1))</f>
        <v>12</v>
      </c>
      <c r="Q310" s="51" t="str">
        <f>RIGHT(MCC_Table6[[#This Row],[BUCKET]],1)</f>
        <v>F</v>
      </c>
      <c r="R310" s="51">
        <f>VLOOKUP(MCC_Table6[[#This Row],[START UNIT]],UnitMap[],2,FALSE)</f>
        <v>6</v>
      </c>
      <c r="S310" s="51" cm="1">
        <f t="array" ref="S31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10" s="51">
        <f>IF(ISNUMBER(MCC_Table6[[#This Row],[SIZE]]), MCC_Table6[[#This Row],[SIZE]]/6, 0)</f>
        <v>7</v>
      </c>
      <c r="U310" s="51">
        <f>MCC_Table6[[#This Row],[START INDEX]]+MCC_Table6[[#This Row],[UNITS USED]]-1</f>
        <v>12</v>
      </c>
      <c r="V310" s="12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</row>
    <row r="311" spans="1:52" x14ac:dyDescent="0.3">
      <c r="A311" s="97" t="s">
        <v>1335</v>
      </c>
      <c r="B311" s="51" t="s">
        <v>953</v>
      </c>
      <c r="C311" s="39" t="s">
        <v>1377</v>
      </c>
      <c r="D311" s="136" t="s">
        <v>467</v>
      </c>
      <c r="E311" s="39" t="s">
        <v>468</v>
      </c>
      <c r="F311" s="86">
        <f>IF(ISNUMBER(MCC_Table6[[#This Row],[SIZE]]), MCC_Table6[[#This Row],[SIZE]]/12, 0)</f>
        <v>1</v>
      </c>
      <c r="G311" s="10"/>
      <c r="H311" s="10"/>
      <c r="I311" s="10"/>
      <c r="J311" s="10"/>
      <c r="K311" s="54"/>
      <c r="L311" s="54"/>
      <c r="M311" s="54"/>
      <c r="N311" s="54"/>
      <c r="O311" s="53"/>
      <c r="P311" s="51">
        <f>_xlfn.NUMBERVALUE(LEFT(MCC_Table6[[#This Row],[BUCKET]],LEN(MCC_Table6[[#This Row],[BUCKET]])-1))</f>
        <v>13</v>
      </c>
      <c r="Q311" s="51" t="str">
        <f>RIGHT(MCC_Table6[[#This Row],[BUCKET]],1)</f>
        <v>A</v>
      </c>
      <c r="R311" s="51">
        <f>VLOOKUP(MCC_Table6[[#This Row],[START UNIT]],UnitMap[],2,FALSE)</f>
        <v>1</v>
      </c>
      <c r="S311" s="51" cm="1">
        <f t="array" ref="S31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11" s="51">
        <f>IF(ISNUMBER(MCC_Table6[[#This Row],[SIZE]]), MCC_Table6[[#This Row],[SIZE]]/6, 0)</f>
        <v>2</v>
      </c>
      <c r="U311" s="51">
        <f>MCC_Table6[[#This Row],[START INDEX]]+MCC_Table6[[#This Row],[UNITS USED]]-1</f>
        <v>2</v>
      </c>
      <c r="V311" s="109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</row>
    <row r="312" spans="1:52" x14ac:dyDescent="0.3">
      <c r="A312" s="97" t="s">
        <v>1335</v>
      </c>
      <c r="B312" s="51" t="s">
        <v>956</v>
      </c>
      <c r="C312" s="39" t="s">
        <v>462</v>
      </c>
      <c r="D312" s="136" t="s">
        <v>496</v>
      </c>
      <c r="E312" s="51" t="s">
        <v>462</v>
      </c>
      <c r="F312" s="86">
        <f>IF(ISNUMBER(MCC_Table6[[#This Row],[SIZE]]), MCC_Table6[[#This Row],[SIZE]]/12, 0)</f>
        <v>1</v>
      </c>
      <c r="G312" s="10"/>
      <c r="H312" s="10"/>
      <c r="I312" s="10"/>
      <c r="J312" s="10"/>
      <c r="K312" s="54"/>
      <c r="L312" s="54"/>
      <c r="M312" s="54"/>
      <c r="N312" s="54"/>
      <c r="O312" s="53"/>
      <c r="P312" s="51">
        <f>_xlfn.NUMBERVALUE(LEFT(MCC_Table6[[#This Row],[BUCKET]],LEN(MCC_Table6[[#This Row],[BUCKET]])-1))</f>
        <v>13</v>
      </c>
      <c r="Q312" s="51" t="str">
        <f>RIGHT(MCC_Table6[[#This Row],[BUCKET]],1)</f>
        <v>C</v>
      </c>
      <c r="R312" s="51">
        <f>VLOOKUP(MCC_Table6[[#This Row],[START UNIT]],UnitMap[],2,FALSE)</f>
        <v>3</v>
      </c>
      <c r="S312" s="51" cm="1">
        <f t="array" ref="S31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12" s="51">
        <f>IF(ISNUMBER(MCC_Table6[[#This Row],[SIZE]]), MCC_Table6[[#This Row],[SIZE]]/6, 0)</f>
        <v>2</v>
      </c>
      <c r="U312" s="51">
        <f>MCC_Table6[[#This Row],[START INDEX]]+MCC_Table6[[#This Row],[UNITS USED]]-1</f>
        <v>4</v>
      </c>
      <c r="V312" s="12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</row>
    <row r="313" spans="1:52" x14ac:dyDescent="0.3">
      <c r="A313" s="97" t="s">
        <v>1335</v>
      </c>
      <c r="B313" s="51" t="s">
        <v>1216</v>
      </c>
      <c r="C313" s="39" t="s">
        <v>462</v>
      </c>
      <c r="D313" s="136" t="s">
        <v>461</v>
      </c>
      <c r="E313" s="51" t="s">
        <v>462</v>
      </c>
      <c r="F313" s="86">
        <f>IF(ISNUMBER(MCC_Table6[[#This Row],[SIZE]]), MCC_Table6[[#This Row],[SIZE]]/12, 0)</f>
        <v>0.5</v>
      </c>
      <c r="G313" s="10"/>
      <c r="H313" s="10"/>
      <c r="I313" s="10"/>
      <c r="J313" s="10"/>
      <c r="K313" s="54"/>
      <c r="L313" s="54"/>
      <c r="M313" s="54"/>
      <c r="N313" s="54"/>
      <c r="O313" s="53"/>
      <c r="P313" s="51">
        <f>_xlfn.NUMBERVALUE(LEFT(MCC_Table6[[#This Row],[BUCKET]],LEN(MCC_Table6[[#This Row],[BUCKET]])-1))</f>
        <v>13</v>
      </c>
      <c r="Q313" s="51" t="str">
        <f>RIGHT(MCC_Table6[[#This Row],[BUCKET]],1)</f>
        <v>E</v>
      </c>
      <c r="R313" s="51">
        <f>VLOOKUP(MCC_Table6[[#This Row],[START UNIT]],UnitMap[],2,FALSE)</f>
        <v>5</v>
      </c>
      <c r="S313" s="51" cm="1">
        <f t="array" ref="S31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313" s="51">
        <f>IF(ISNUMBER(MCC_Table6[[#This Row],[SIZE]]), MCC_Table6[[#This Row],[SIZE]]/6, 0)</f>
        <v>1</v>
      </c>
      <c r="U313" s="51">
        <f>MCC_Table6[[#This Row],[START INDEX]]+MCC_Table6[[#This Row],[UNITS USED]]-1</f>
        <v>5</v>
      </c>
      <c r="V313" s="12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</row>
    <row r="314" spans="1:52" x14ac:dyDescent="0.3">
      <c r="A314" s="97" t="s">
        <v>1335</v>
      </c>
      <c r="B314" s="10" t="s">
        <v>1217</v>
      </c>
      <c r="C314" s="39" t="s">
        <v>1378</v>
      </c>
      <c r="D314" s="135" t="s">
        <v>1379</v>
      </c>
      <c r="E314" s="51" t="s">
        <v>904</v>
      </c>
      <c r="F314" s="87">
        <f>IF(ISNUMBER(MCC_Table6[[#This Row],[SIZE]]), MCC_Table6[[#This Row],[SIZE]]/12, 0)</f>
        <v>2</v>
      </c>
      <c r="G314" s="51">
        <v>5</v>
      </c>
      <c r="H314" s="10">
        <v>5</v>
      </c>
      <c r="I314" s="10"/>
      <c r="J314" s="10"/>
      <c r="K314" s="54">
        <v>20</v>
      </c>
      <c r="L314" s="54">
        <v>125</v>
      </c>
      <c r="M314" s="54">
        <v>12</v>
      </c>
      <c r="N314" s="54" t="s">
        <v>911</v>
      </c>
      <c r="O314" s="53"/>
      <c r="P314" s="10">
        <f>_xlfn.NUMBERVALUE(LEFT(MCC_Table6[[#This Row],[BUCKET]],LEN(MCC_Table6[[#This Row],[BUCKET]])-1))</f>
        <v>13</v>
      </c>
      <c r="Q314" s="10" t="str">
        <f>RIGHT(MCC_Table6[[#This Row],[BUCKET]],1)</f>
        <v>F</v>
      </c>
      <c r="R314" s="10">
        <f>VLOOKUP(MCC_Table6[[#This Row],[START UNIT]],UnitMap[],2,FALSE)</f>
        <v>6</v>
      </c>
      <c r="S314" s="10" cm="1">
        <f t="array" ref="S31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14" s="10">
        <f>IF(ISNUMBER(MCC_Table6[[#This Row],[SIZE]]), MCC_Table6[[#This Row],[SIZE]]/6, 0)</f>
        <v>4</v>
      </c>
      <c r="U314" s="10">
        <f>MCC_Table6[[#This Row],[START INDEX]]+MCC_Table6[[#This Row],[UNITS USED]]-1</f>
        <v>9</v>
      </c>
      <c r="V314" s="111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</row>
    <row r="315" spans="1:52" x14ac:dyDescent="0.3">
      <c r="A315" s="97" t="s">
        <v>1335</v>
      </c>
      <c r="B315" s="10" t="s">
        <v>1380</v>
      </c>
      <c r="C315" s="10" t="s">
        <v>1349</v>
      </c>
      <c r="D315" s="140" t="s">
        <v>1381</v>
      </c>
      <c r="E315" s="51" t="s">
        <v>904</v>
      </c>
      <c r="F315" s="87">
        <f>IF(ISNUMBER(MCC_Table6[[#This Row],[SIZE]]), MCC_Table6[[#This Row],[SIZE]]/12, 0)</f>
        <v>1.5</v>
      </c>
      <c r="G315" s="10">
        <v>1</v>
      </c>
      <c r="H315" s="10">
        <v>2</v>
      </c>
      <c r="I315" s="10"/>
      <c r="J315" s="10"/>
      <c r="K315" s="54">
        <v>15</v>
      </c>
      <c r="L315" s="54">
        <v>125</v>
      </c>
      <c r="M315" s="54">
        <v>6</v>
      </c>
      <c r="N315" s="54" t="s">
        <v>911</v>
      </c>
      <c r="O315" s="53"/>
      <c r="P315" s="10">
        <f>_xlfn.NUMBERVALUE(LEFT(MCC_Table6[[#This Row],[BUCKET]],LEN(MCC_Table6[[#This Row],[BUCKET]])-1))</f>
        <v>13</v>
      </c>
      <c r="Q315" s="10" t="str">
        <f>RIGHT(MCC_Table6[[#This Row],[BUCKET]],1)</f>
        <v>K</v>
      </c>
      <c r="R315" s="10">
        <f>VLOOKUP(MCC_Table6[[#This Row],[START UNIT]],UnitMap[],2,FALSE)</f>
        <v>10</v>
      </c>
      <c r="S315" s="10" cm="1">
        <f t="array" ref="S31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15" s="10">
        <f>IF(ISNUMBER(MCC_Table6[[#This Row],[SIZE]]), MCC_Table6[[#This Row],[SIZE]]/6, 0)</f>
        <v>3</v>
      </c>
      <c r="U315" s="10">
        <f>MCC_Table6[[#This Row],[START INDEX]]+MCC_Table6[[#This Row],[UNITS USED]]-1</f>
        <v>12</v>
      </c>
      <c r="V315" s="111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</row>
    <row r="316" spans="1:52" x14ac:dyDescent="0.3">
      <c r="A316" s="97" t="s">
        <v>1335</v>
      </c>
      <c r="B316" s="10" t="s">
        <v>963</v>
      </c>
      <c r="C316" s="10" t="s">
        <v>53</v>
      </c>
      <c r="D316" s="135" t="s">
        <v>920</v>
      </c>
      <c r="E316" s="51" t="s">
        <v>904</v>
      </c>
      <c r="F316" s="87">
        <f>IF(ISNUMBER(MCC_Table6[[#This Row],[SIZE]]), MCC_Table6[[#This Row],[SIZE]]/12, 0)</f>
        <v>1.5</v>
      </c>
      <c r="G316" s="10"/>
      <c r="H316" s="10">
        <v>2</v>
      </c>
      <c r="I316" s="10"/>
      <c r="J316" s="10"/>
      <c r="K316" s="54">
        <v>15</v>
      </c>
      <c r="L316" s="54">
        <v>125</v>
      </c>
      <c r="M316" s="54">
        <v>6</v>
      </c>
      <c r="N316" s="54"/>
      <c r="O316" s="53"/>
      <c r="P316" s="10">
        <f>_xlfn.NUMBERVALUE(LEFT(MCC_Table6[[#This Row],[BUCKET]],LEN(MCC_Table6[[#This Row],[BUCKET]])-1))</f>
        <v>14</v>
      </c>
      <c r="Q316" s="10" t="str">
        <f>RIGHT(MCC_Table6[[#This Row],[BUCKET]],1)</f>
        <v>A</v>
      </c>
      <c r="R316" s="10">
        <f>VLOOKUP(MCC_Table6[[#This Row],[START UNIT]],UnitMap[],2,FALSE)</f>
        <v>1</v>
      </c>
      <c r="S316" s="10" cm="1">
        <f t="array" ref="S31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16" s="10">
        <f>IF(ISNUMBER(MCC_Table6[[#This Row],[SIZE]]), MCC_Table6[[#This Row],[SIZE]]/6, 0)</f>
        <v>3</v>
      </c>
      <c r="U316" s="10">
        <f>MCC_Table6[[#This Row],[START INDEX]]+MCC_Table6[[#This Row],[UNITS USED]]-1</f>
        <v>3</v>
      </c>
      <c r="V316" s="111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</row>
    <row r="317" spans="1:52" x14ac:dyDescent="0.3">
      <c r="A317" s="97" t="s">
        <v>1335</v>
      </c>
      <c r="B317" s="10" t="s">
        <v>1382</v>
      </c>
      <c r="C317" s="10" t="s">
        <v>53</v>
      </c>
      <c r="D317" s="135" t="s">
        <v>920</v>
      </c>
      <c r="E317" s="51" t="s">
        <v>904</v>
      </c>
      <c r="F317" s="87">
        <f>IF(ISNUMBER(MCC_Table6[[#This Row],[SIZE]]), MCC_Table6[[#This Row],[SIZE]]/12, 0)</f>
        <v>1.5</v>
      </c>
      <c r="G317" s="10"/>
      <c r="H317" s="10">
        <v>2</v>
      </c>
      <c r="I317" s="10"/>
      <c r="J317" s="10"/>
      <c r="K317" s="54">
        <v>15</v>
      </c>
      <c r="L317" s="54">
        <v>125</v>
      </c>
      <c r="M317" s="54">
        <v>6</v>
      </c>
      <c r="N317" s="54"/>
      <c r="O317" s="53"/>
      <c r="P317" s="10">
        <f>_xlfn.NUMBERVALUE(LEFT(MCC_Table6[[#This Row],[BUCKET]],LEN(MCC_Table6[[#This Row],[BUCKET]])-1))</f>
        <v>14</v>
      </c>
      <c r="Q317" s="10" t="str">
        <f>RIGHT(MCC_Table6[[#This Row],[BUCKET]],1)</f>
        <v>D</v>
      </c>
      <c r="R317" s="10">
        <f>VLOOKUP(MCC_Table6[[#This Row],[START UNIT]],UnitMap[],2,FALSE)</f>
        <v>4</v>
      </c>
      <c r="S317" s="10" cm="1">
        <f t="array" ref="S31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17" s="10">
        <f>IF(ISNUMBER(MCC_Table6[[#This Row],[SIZE]]), MCC_Table6[[#This Row],[SIZE]]/6, 0)</f>
        <v>3</v>
      </c>
      <c r="U317" s="10">
        <f>MCC_Table6[[#This Row],[START INDEX]]+MCC_Table6[[#This Row],[UNITS USED]]-1</f>
        <v>6</v>
      </c>
      <c r="V317" s="111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</row>
    <row r="318" spans="1:52" x14ac:dyDescent="0.3">
      <c r="A318" s="97" t="s">
        <v>1335</v>
      </c>
      <c r="B318" s="10" t="s">
        <v>1221</v>
      </c>
      <c r="C318" s="39" t="s">
        <v>53</v>
      </c>
      <c r="D318" s="135" t="s">
        <v>560</v>
      </c>
      <c r="E318" s="51" t="s">
        <v>904</v>
      </c>
      <c r="F318" s="87">
        <f>IF(ISNUMBER(MCC_Table6[[#This Row],[SIZE]]), MCC_Table6[[#This Row],[SIZE]]/12, 0)</f>
        <v>1.5</v>
      </c>
      <c r="G318" s="51"/>
      <c r="H318" s="10">
        <v>5</v>
      </c>
      <c r="I318" s="10"/>
      <c r="J318" s="10"/>
      <c r="K318" s="54">
        <v>20</v>
      </c>
      <c r="L318" s="54">
        <v>125</v>
      </c>
      <c r="M318" s="54">
        <v>12</v>
      </c>
      <c r="N318" s="54"/>
      <c r="O318" s="53"/>
      <c r="P318" s="10">
        <f>_xlfn.NUMBERVALUE(LEFT(MCC_Table6[[#This Row],[BUCKET]],LEN(MCC_Table6[[#This Row],[BUCKET]])-1))</f>
        <v>14</v>
      </c>
      <c r="Q318" s="10" t="str">
        <f>RIGHT(MCC_Table6[[#This Row],[BUCKET]],1)</f>
        <v>G</v>
      </c>
      <c r="R318" s="10">
        <f>VLOOKUP(MCC_Table6[[#This Row],[START UNIT]],UnitMap[],2,FALSE)</f>
        <v>7</v>
      </c>
      <c r="S318" s="10" cm="1">
        <f t="array" ref="S31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18" s="10">
        <f>IF(ISNUMBER(MCC_Table6[[#This Row],[SIZE]]), MCC_Table6[[#This Row],[SIZE]]/6, 0)</f>
        <v>3</v>
      </c>
      <c r="U318" s="10">
        <f>MCC_Table6[[#This Row],[START INDEX]]+MCC_Table6[[#This Row],[UNITS USED]]-1</f>
        <v>9</v>
      </c>
      <c r="V318" s="111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</row>
    <row r="319" spans="1:52" x14ac:dyDescent="0.3">
      <c r="A319" s="97" t="s">
        <v>1335</v>
      </c>
      <c r="B319" s="10" t="s">
        <v>1383</v>
      </c>
      <c r="C319" s="39" t="s">
        <v>53</v>
      </c>
      <c r="D319" s="135" t="s">
        <v>560</v>
      </c>
      <c r="E319" s="51" t="s">
        <v>904</v>
      </c>
      <c r="F319" s="87">
        <f>IF(ISNUMBER(MCC_Table6[[#This Row],[SIZE]]), MCC_Table6[[#This Row],[SIZE]]/12, 0)</f>
        <v>1.5</v>
      </c>
      <c r="G319" s="51"/>
      <c r="H319" s="10">
        <v>5</v>
      </c>
      <c r="I319" s="10"/>
      <c r="J319" s="10"/>
      <c r="K319" s="54">
        <v>20</v>
      </c>
      <c r="L319" s="54">
        <v>125</v>
      </c>
      <c r="M319" s="54">
        <v>12</v>
      </c>
      <c r="N319" s="54"/>
      <c r="O319" s="53"/>
      <c r="P319" s="10">
        <f>_xlfn.NUMBERVALUE(LEFT(MCC_Table6[[#This Row],[BUCKET]],LEN(MCC_Table6[[#This Row],[BUCKET]])-1))</f>
        <v>14</v>
      </c>
      <c r="Q319" s="10" t="str">
        <f>RIGHT(MCC_Table6[[#This Row],[BUCKET]],1)</f>
        <v>K</v>
      </c>
      <c r="R319" s="10">
        <f>VLOOKUP(MCC_Table6[[#This Row],[START UNIT]],UnitMap[],2,FALSE)</f>
        <v>10</v>
      </c>
      <c r="S319" s="10" cm="1">
        <f t="array" ref="S31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19" s="10">
        <f>IF(ISNUMBER(MCC_Table6[[#This Row],[SIZE]]), MCC_Table6[[#This Row],[SIZE]]/6, 0)</f>
        <v>3</v>
      </c>
      <c r="U319" s="10">
        <f>MCC_Table6[[#This Row],[START INDEX]]+MCC_Table6[[#This Row],[UNITS USED]]-1</f>
        <v>12</v>
      </c>
      <c r="V319" s="111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</row>
    <row r="320" spans="1:52" x14ac:dyDescent="0.3">
      <c r="A320" s="97" t="s">
        <v>1335</v>
      </c>
      <c r="B320" s="10" t="s">
        <v>972</v>
      </c>
      <c r="C320" s="10" t="s">
        <v>53</v>
      </c>
      <c r="D320" s="135" t="s">
        <v>920</v>
      </c>
      <c r="E320" s="51" t="s">
        <v>904</v>
      </c>
      <c r="F320" s="87">
        <f>IF(ISNUMBER(MCC_Table6[[#This Row],[SIZE]]), MCC_Table6[[#This Row],[SIZE]]/12, 0)</f>
        <v>1.5</v>
      </c>
      <c r="G320" s="10"/>
      <c r="H320" s="10">
        <v>2</v>
      </c>
      <c r="I320" s="10"/>
      <c r="J320" s="10"/>
      <c r="K320" s="54">
        <v>15</v>
      </c>
      <c r="L320" s="54">
        <v>125</v>
      </c>
      <c r="M320" s="54">
        <v>6</v>
      </c>
      <c r="N320" s="54"/>
      <c r="O320" s="53"/>
      <c r="P320" s="10">
        <f>_xlfn.NUMBERVALUE(LEFT(MCC_Table6[[#This Row],[BUCKET]],LEN(MCC_Table6[[#This Row],[BUCKET]])-1))</f>
        <v>15</v>
      </c>
      <c r="Q320" s="10" t="str">
        <f>RIGHT(MCC_Table6[[#This Row],[BUCKET]],1)</f>
        <v>A</v>
      </c>
      <c r="R320" s="10">
        <f>VLOOKUP(MCC_Table6[[#This Row],[START UNIT]],UnitMap[],2,FALSE)</f>
        <v>1</v>
      </c>
      <c r="S320" s="10" cm="1">
        <f t="array" ref="S32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20" s="10">
        <f>IF(ISNUMBER(MCC_Table6[[#This Row],[SIZE]]), MCC_Table6[[#This Row],[SIZE]]/6, 0)</f>
        <v>3</v>
      </c>
      <c r="U320" s="10">
        <f>MCC_Table6[[#This Row],[START INDEX]]+MCC_Table6[[#This Row],[UNITS USED]]-1</f>
        <v>3</v>
      </c>
      <c r="V320" s="111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</row>
    <row r="321" spans="1:52" x14ac:dyDescent="0.3">
      <c r="A321" s="97" t="s">
        <v>1335</v>
      </c>
      <c r="B321" s="10" t="s">
        <v>1384</v>
      </c>
      <c r="C321" s="10" t="s">
        <v>53</v>
      </c>
      <c r="D321" s="135" t="s">
        <v>920</v>
      </c>
      <c r="E321" s="51" t="s">
        <v>904</v>
      </c>
      <c r="F321" s="87">
        <f>IF(ISNUMBER(MCC_Table6[[#This Row],[SIZE]]), MCC_Table6[[#This Row],[SIZE]]/12, 0)</f>
        <v>1.5</v>
      </c>
      <c r="G321" s="10"/>
      <c r="H321" s="10">
        <v>2</v>
      </c>
      <c r="I321" s="10"/>
      <c r="J321" s="10"/>
      <c r="K321" s="54">
        <v>15</v>
      </c>
      <c r="L321" s="54">
        <v>125</v>
      </c>
      <c r="M321" s="54">
        <v>6</v>
      </c>
      <c r="N321" s="54"/>
      <c r="O321" s="53"/>
      <c r="P321" s="10">
        <f>_xlfn.NUMBERVALUE(LEFT(MCC_Table6[[#This Row],[BUCKET]],LEN(MCC_Table6[[#This Row],[BUCKET]])-1))</f>
        <v>15</v>
      </c>
      <c r="Q321" s="10" t="str">
        <f>RIGHT(MCC_Table6[[#This Row],[BUCKET]],1)</f>
        <v>D</v>
      </c>
      <c r="R321" s="10">
        <f>VLOOKUP(MCC_Table6[[#This Row],[START UNIT]],UnitMap[],2,FALSE)</f>
        <v>4</v>
      </c>
      <c r="S321" s="10" cm="1">
        <f t="array" ref="S32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21" s="10">
        <f>IF(ISNUMBER(MCC_Table6[[#This Row],[SIZE]]), MCC_Table6[[#This Row],[SIZE]]/6, 0)</f>
        <v>3</v>
      </c>
      <c r="U321" s="10">
        <f>MCC_Table6[[#This Row],[START INDEX]]+MCC_Table6[[#This Row],[UNITS USED]]-1</f>
        <v>6</v>
      </c>
      <c r="V321" s="111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</row>
    <row r="322" spans="1:52" x14ac:dyDescent="0.3">
      <c r="A322" s="97" t="s">
        <v>1335</v>
      </c>
      <c r="B322" s="10" t="s">
        <v>1063</v>
      </c>
      <c r="C322" s="10" t="s">
        <v>1385</v>
      </c>
      <c r="D322" s="135" t="s">
        <v>1386</v>
      </c>
      <c r="E322" s="51" t="s">
        <v>904</v>
      </c>
      <c r="F322" s="87">
        <f>IF(ISNUMBER(MCC_Table6[[#This Row],[SIZE]]), MCC_Table6[[#This Row],[SIZE]]/12, 0)</f>
        <v>1.5</v>
      </c>
      <c r="G322" s="10">
        <v>1</v>
      </c>
      <c r="H322" s="10">
        <v>2</v>
      </c>
      <c r="I322" s="10"/>
      <c r="J322" s="10"/>
      <c r="K322" s="54">
        <v>15</v>
      </c>
      <c r="L322" s="54">
        <v>125</v>
      </c>
      <c r="M322" s="54">
        <v>6</v>
      </c>
      <c r="N322" s="54" t="s">
        <v>911</v>
      </c>
      <c r="O322" s="53"/>
      <c r="P322" s="10">
        <f>_xlfn.NUMBERVALUE(LEFT(MCC_Table6[[#This Row],[BUCKET]],LEN(MCC_Table6[[#This Row],[BUCKET]])-1))</f>
        <v>15</v>
      </c>
      <c r="Q322" s="10" t="str">
        <f>RIGHT(MCC_Table6[[#This Row],[BUCKET]],1)</f>
        <v>G</v>
      </c>
      <c r="R322" s="10">
        <f>VLOOKUP(MCC_Table6[[#This Row],[START UNIT]],UnitMap[],2,FALSE)</f>
        <v>7</v>
      </c>
      <c r="S322" s="10" cm="1">
        <f t="array" ref="S32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22" s="10">
        <f>IF(ISNUMBER(MCC_Table6[[#This Row],[SIZE]]), MCC_Table6[[#This Row],[SIZE]]/6, 0)</f>
        <v>3</v>
      </c>
      <c r="U322" s="10">
        <f>MCC_Table6[[#This Row],[START INDEX]]+MCC_Table6[[#This Row],[UNITS USED]]-1</f>
        <v>9</v>
      </c>
      <c r="V322" s="111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</row>
    <row r="323" spans="1:52" x14ac:dyDescent="0.3">
      <c r="A323" s="97" t="s">
        <v>1335</v>
      </c>
      <c r="B323" s="10" t="s">
        <v>1387</v>
      </c>
      <c r="C323" s="39" t="s">
        <v>53</v>
      </c>
      <c r="D323" s="135" t="s">
        <v>560</v>
      </c>
      <c r="E323" s="51" t="s">
        <v>904</v>
      </c>
      <c r="F323" s="87">
        <f>IF(ISNUMBER(MCC_Table6[[#This Row],[SIZE]]), MCC_Table6[[#This Row],[SIZE]]/12, 0)</f>
        <v>1.5</v>
      </c>
      <c r="G323" s="51"/>
      <c r="H323" s="10">
        <v>5</v>
      </c>
      <c r="I323" s="10"/>
      <c r="J323" s="10"/>
      <c r="K323" s="54">
        <v>20</v>
      </c>
      <c r="L323" s="54">
        <v>125</v>
      </c>
      <c r="M323" s="54">
        <v>12</v>
      </c>
      <c r="N323" s="54"/>
      <c r="O323" s="53"/>
      <c r="P323" s="10">
        <f>_xlfn.NUMBERVALUE(LEFT(MCC_Table6[[#This Row],[BUCKET]],LEN(MCC_Table6[[#This Row],[BUCKET]])-1))</f>
        <v>15</v>
      </c>
      <c r="Q323" s="10" t="str">
        <f>RIGHT(MCC_Table6[[#This Row],[BUCKET]],1)</f>
        <v>K</v>
      </c>
      <c r="R323" s="10">
        <f>VLOOKUP(MCC_Table6[[#This Row],[START UNIT]],UnitMap[],2,FALSE)</f>
        <v>10</v>
      </c>
      <c r="S323" s="10" cm="1">
        <f t="array" ref="S32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23" s="10">
        <f>IF(ISNUMBER(MCC_Table6[[#This Row],[SIZE]]), MCC_Table6[[#This Row],[SIZE]]/6, 0)</f>
        <v>3</v>
      </c>
      <c r="U323" s="10">
        <f>MCC_Table6[[#This Row],[START INDEX]]+MCC_Table6[[#This Row],[UNITS USED]]-1</f>
        <v>12</v>
      </c>
      <c r="V323" s="111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</row>
    <row r="324" spans="1:52" x14ac:dyDescent="0.3">
      <c r="A324" s="97" t="s">
        <v>1335</v>
      </c>
      <c r="B324" s="51" t="s">
        <v>974</v>
      </c>
      <c r="C324" s="39" t="s">
        <v>462</v>
      </c>
      <c r="D324" s="136" t="s">
        <v>461</v>
      </c>
      <c r="E324" s="51" t="s">
        <v>462</v>
      </c>
      <c r="F324" s="86">
        <f>IF(ISNUMBER(MCC_Table6[[#This Row],[SIZE]]), MCC_Table6[[#This Row],[SIZE]]/12, 0)</f>
        <v>0.5</v>
      </c>
      <c r="G324" s="10"/>
      <c r="H324" s="10"/>
      <c r="I324" s="10"/>
      <c r="J324" s="10"/>
      <c r="K324" s="54"/>
      <c r="L324" s="54"/>
      <c r="M324" s="54"/>
      <c r="N324" s="54"/>
      <c r="O324" s="53"/>
      <c r="P324" s="51">
        <f>_xlfn.NUMBERVALUE(LEFT(MCC_Table6[[#This Row],[BUCKET]],LEN(MCC_Table6[[#This Row],[BUCKET]])-1))</f>
        <v>16</v>
      </c>
      <c r="Q324" s="51" t="str">
        <f>RIGHT(MCC_Table6[[#This Row],[BUCKET]],1)</f>
        <v>A</v>
      </c>
      <c r="R324" s="51">
        <f>VLOOKUP(MCC_Table6[[#This Row],[START UNIT]],UnitMap[],2,FALSE)</f>
        <v>1</v>
      </c>
      <c r="S324" s="51" cm="1">
        <f t="array" ref="S32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324" s="51">
        <f>IF(ISNUMBER(MCC_Table6[[#This Row],[SIZE]]), MCC_Table6[[#This Row],[SIZE]]/6, 0)</f>
        <v>1</v>
      </c>
      <c r="U324" s="51">
        <f>MCC_Table6[[#This Row],[START INDEX]]+MCC_Table6[[#This Row],[UNITS USED]]-1</f>
        <v>1</v>
      </c>
      <c r="V324" s="12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</row>
    <row r="325" spans="1:52" x14ac:dyDescent="0.3">
      <c r="A325" s="97" t="s">
        <v>1335</v>
      </c>
      <c r="B325" s="10" t="s">
        <v>1388</v>
      </c>
      <c r="C325" s="39" t="s">
        <v>1389</v>
      </c>
      <c r="D325" s="135" t="s">
        <v>1390</v>
      </c>
      <c r="E325" s="51" t="s">
        <v>904</v>
      </c>
      <c r="F325" s="87">
        <f>IF(ISNUMBER(MCC_Table6[[#This Row],[SIZE]]), MCC_Table6[[#This Row],[SIZE]]/12, 0)</f>
        <v>2</v>
      </c>
      <c r="G325" s="51">
        <v>5</v>
      </c>
      <c r="H325" s="10">
        <v>5</v>
      </c>
      <c r="I325" s="10"/>
      <c r="J325" s="10"/>
      <c r="K325" s="54">
        <v>20</v>
      </c>
      <c r="L325" s="54">
        <v>125</v>
      </c>
      <c r="M325" s="54">
        <v>12</v>
      </c>
      <c r="N325" s="54" t="s">
        <v>911</v>
      </c>
      <c r="O325" s="53"/>
      <c r="P325" s="10">
        <f>_xlfn.NUMBERVALUE(LEFT(MCC_Table6[[#This Row],[BUCKET]],LEN(MCC_Table6[[#This Row],[BUCKET]])-1))</f>
        <v>16</v>
      </c>
      <c r="Q325" s="10" t="str">
        <f>RIGHT(MCC_Table6[[#This Row],[BUCKET]],1)</f>
        <v>B</v>
      </c>
      <c r="R325" s="10">
        <f>VLOOKUP(MCC_Table6[[#This Row],[START UNIT]],UnitMap[],2,FALSE)</f>
        <v>2</v>
      </c>
      <c r="S325" s="10" cm="1">
        <f t="array" ref="S32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25" s="10">
        <f>IF(ISNUMBER(MCC_Table6[[#This Row],[SIZE]]), MCC_Table6[[#This Row],[SIZE]]/6, 0)</f>
        <v>4</v>
      </c>
      <c r="U325" s="10">
        <f>MCC_Table6[[#This Row],[START INDEX]]+MCC_Table6[[#This Row],[UNITS USED]]-1</f>
        <v>5</v>
      </c>
      <c r="V325" s="111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</row>
    <row r="326" spans="1:52" x14ac:dyDescent="0.3">
      <c r="A326" s="97" t="s">
        <v>1335</v>
      </c>
      <c r="B326" s="51" t="s">
        <v>1069</v>
      </c>
      <c r="C326" s="39" t="s">
        <v>53</v>
      </c>
      <c r="D326" s="135" t="s">
        <v>1391</v>
      </c>
      <c r="E326" s="51" t="s">
        <v>904</v>
      </c>
      <c r="F326" s="86">
        <f>IF(ISNUMBER(MCC_Table6[[#This Row],[SIZE]]), MCC_Table6[[#This Row],[SIZE]]/12, 0)</f>
        <v>3.5</v>
      </c>
      <c r="G326" s="10"/>
      <c r="H326" s="10">
        <v>30</v>
      </c>
      <c r="I326" s="10"/>
      <c r="J326" s="10"/>
      <c r="K326" s="54">
        <v>100</v>
      </c>
      <c r="L326" s="54">
        <v>125</v>
      </c>
      <c r="M326" s="54" t="s">
        <v>303</v>
      </c>
      <c r="N326" s="54"/>
      <c r="O326" s="53"/>
      <c r="P326" s="51">
        <f>_xlfn.NUMBERVALUE(LEFT(MCC_Table6[[#This Row],[BUCKET]],LEN(MCC_Table6[[#This Row],[BUCKET]])-1))</f>
        <v>16</v>
      </c>
      <c r="Q326" s="51" t="str">
        <f>RIGHT(MCC_Table6[[#This Row],[BUCKET]],1)</f>
        <v>F</v>
      </c>
      <c r="R326" s="51">
        <f>VLOOKUP(MCC_Table6[[#This Row],[START UNIT]],UnitMap[],2,FALSE)</f>
        <v>6</v>
      </c>
      <c r="S326" s="51" cm="1">
        <f t="array" ref="S32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26" s="51">
        <f>IF(ISNUMBER(MCC_Table6[[#This Row],[SIZE]]), MCC_Table6[[#This Row],[SIZE]]/6, 0)</f>
        <v>7</v>
      </c>
      <c r="U326" s="51">
        <f>MCC_Table6[[#This Row],[START INDEX]]+MCC_Table6[[#This Row],[UNITS USED]]-1</f>
        <v>12</v>
      </c>
      <c r="V326" s="120"/>
      <c r="W326" s="110"/>
      <c r="X326" s="110"/>
      <c r="Y326" s="110"/>
      <c r="Z326" s="110"/>
      <c r="AA326" s="110"/>
      <c r="AB326" s="110"/>
      <c r="AC326" s="110"/>
      <c r="AD326" s="110"/>
      <c r="AE326" s="110"/>
      <c r="AF326" s="110"/>
      <c r="AG326" s="11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</row>
    <row r="327" spans="1:52" x14ac:dyDescent="0.3">
      <c r="A327" s="97" t="s">
        <v>1335</v>
      </c>
      <c r="B327" s="51" t="s">
        <v>982</v>
      </c>
      <c r="C327" s="39" t="s">
        <v>1346</v>
      </c>
      <c r="D327" s="136" t="s">
        <v>992</v>
      </c>
      <c r="E327" s="39" t="s">
        <v>993</v>
      </c>
      <c r="F327" s="86">
        <f>IF(ISNUMBER(MCC_Table6[[#This Row],[SIZE]]), MCC_Table6[[#This Row],[SIZE]]/12, 0)</f>
        <v>1</v>
      </c>
      <c r="G327" s="10"/>
      <c r="H327" s="10"/>
      <c r="I327" s="10"/>
      <c r="J327" s="10"/>
      <c r="K327" s="96"/>
      <c r="L327" s="54"/>
      <c r="M327" s="96"/>
      <c r="N327" s="96"/>
      <c r="O327" s="53"/>
      <c r="P327" s="51">
        <f>_xlfn.NUMBERVALUE(LEFT(MCC_Table6[[#This Row],[BUCKET]],LEN(MCC_Table6[[#This Row],[BUCKET]])-1))</f>
        <v>17</v>
      </c>
      <c r="Q327" s="51" t="str">
        <f>RIGHT(MCC_Table6[[#This Row],[BUCKET]],1)</f>
        <v>A</v>
      </c>
      <c r="R327" s="51">
        <f>VLOOKUP(MCC_Table6[[#This Row],[START UNIT]],UnitMap[],2,FALSE)</f>
        <v>1</v>
      </c>
      <c r="S327" s="51" cm="1">
        <f t="array" ref="S32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27" s="51">
        <f>IF(ISNUMBER(MCC_Table6[[#This Row],[SIZE]]), MCC_Table6[[#This Row],[SIZE]]/6, 0)</f>
        <v>2</v>
      </c>
      <c r="U327" s="51">
        <f>MCC_Table6[[#This Row],[START INDEX]]+MCC_Table6[[#This Row],[UNITS USED]]-1</f>
        <v>2</v>
      </c>
      <c r="V327" s="115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</row>
    <row r="328" spans="1:52" x14ac:dyDescent="0.3">
      <c r="A328" s="97" t="s">
        <v>1335</v>
      </c>
      <c r="B328" s="51" t="s">
        <v>1073</v>
      </c>
      <c r="C328" s="39" t="s">
        <v>462</v>
      </c>
      <c r="D328" s="136" t="s">
        <v>461</v>
      </c>
      <c r="E328" s="51" t="s">
        <v>462</v>
      </c>
      <c r="F328" s="86">
        <f>IF(ISNUMBER(MCC_Table6[[#This Row],[SIZE]]), MCC_Table6[[#This Row],[SIZE]]/12, 0)</f>
        <v>0.5</v>
      </c>
      <c r="G328" s="10"/>
      <c r="H328" s="10"/>
      <c r="I328" s="10"/>
      <c r="J328" s="10"/>
      <c r="K328" s="54"/>
      <c r="L328" s="54"/>
      <c r="M328" s="54"/>
      <c r="N328" s="54"/>
      <c r="O328" s="53"/>
      <c r="P328" s="51">
        <f>_xlfn.NUMBERVALUE(LEFT(MCC_Table6[[#This Row],[BUCKET]],LEN(MCC_Table6[[#This Row],[BUCKET]])-1))</f>
        <v>17</v>
      </c>
      <c r="Q328" s="51" t="str">
        <f>RIGHT(MCC_Table6[[#This Row],[BUCKET]],1)</f>
        <v>C</v>
      </c>
      <c r="R328" s="51">
        <f>VLOOKUP(MCC_Table6[[#This Row],[START UNIT]],UnitMap[],2,FALSE)</f>
        <v>3</v>
      </c>
      <c r="S328" s="51" cm="1">
        <f t="array" ref="S32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328" s="51">
        <f>IF(ISNUMBER(MCC_Table6[[#This Row],[SIZE]]), MCC_Table6[[#This Row],[SIZE]]/6, 0)</f>
        <v>1</v>
      </c>
      <c r="U328" s="51">
        <f>MCC_Table6[[#This Row],[START INDEX]]+MCC_Table6[[#This Row],[UNITS USED]]-1</f>
        <v>3</v>
      </c>
      <c r="V328" s="12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</row>
    <row r="329" spans="1:52" x14ac:dyDescent="0.3">
      <c r="A329" s="97" t="s">
        <v>1335</v>
      </c>
      <c r="B329" s="10" t="s">
        <v>1392</v>
      </c>
      <c r="C329" s="39" t="s">
        <v>53</v>
      </c>
      <c r="D329" s="135" t="s">
        <v>560</v>
      </c>
      <c r="E329" s="51" t="s">
        <v>904</v>
      </c>
      <c r="F329" s="87">
        <f>IF(ISNUMBER(MCC_Table6[[#This Row],[SIZE]]), MCC_Table6[[#This Row],[SIZE]]/12, 0)</f>
        <v>1.5</v>
      </c>
      <c r="G329" s="51"/>
      <c r="H329" s="10">
        <v>5</v>
      </c>
      <c r="I329" s="10"/>
      <c r="J329" s="10"/>
      <c r="K329" s="54">
        <v>20</v>
      </c>
      <c r="L329" s="54">
        <v>125</v>
      </c>
      <c r="M329" s="54">
        <v>12</v>
      </c>
      <c r="N329" s="54"/>
      <c r="O329" s="53"/>
      <c r="P329" s="10">
        <f>_xlfn.NUMBERVALUE(LEFT(MCC_Table6[[#This Row],[BUCKET]],LEN(MCC_Table6[[#This Row],[BUCKET]])-1))</f>
        <v>17</v>
      </c>
      <c r="Q329" s="10" t="str">
        <f>RIGHT(MCC_Table6[[#This Row],[BUCKET]],1)</f>
        <v>D</v>
      </c>
      <c r="R329" s="10">
        <f>VLOOKUP(MCC_Table6[[#This Row],[START UNIT]],UnitMap[],2,FALSE)</f>
        <v>4</v>
      </c>
      <c r="S329" s="10" cm="1">
        <f t="array" ref="S32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29" s="10">
        <f>IF(ISNUMBER(MCC_Table6[[#This Row],[SIZE]]), MCC_Table6[[#This Row],[SIZE]]/6, 0)</f>
        <v>3</v>
      </c>
      <c r="U329" s="10">
        <f>MCC_Table6[[#This Row],[START INDEX]]+MCC_Table6[[#This Row],[UNITS USED]]-1</f>
        <v>6</v>
      </c>
      <c r="V329" s="111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</row>
    <row r="330" spans="1:52" x14ac:dyDescent="0.3">
      <c r="A330" s="97" t="s">
        <v>1335</v>
      </c>
      <c r="B330" s="10" t="s">
        <v>1074</v>
      </c>
      <c r="C330" s="39" t="s">
        <v>53</v>
      </c>
      <c r="D330" s="135" t="s">
        <v>560</v>
      </c>
      <c r="E330" s="51" t="s">
        <v>904</v>
      </c>
      <c r="F330" s="87">
        <f>IF(ISNUMBER(MCC_Table6[[#This Row],[SIZE]]), MCC_Table6[[#This Row],[SIZE]]/12, 0)</f>
        <v>1.5</v>
      </c>
      <c r="G330" s="51"/>
      <c r="H330" s="10">
        <v>5</v>
      </c>
      <c r="I330" s="10"/>
      <c r="J330" s="10"/>
      <c r="K330" s="54">
        <v>20</v>
      </c>
      <c r="L330" s="54">
        <v>125</v>
      </c>
      <c r="M330" s="54">
        <v>12</v>
      </c>
      <c r="N330" s="54"/>
      <c r="O330" s="53"/>
      <c r="P330" s="10">
        <f>_xlfn.NUMBERVALUE(LEFT(MCC_Table6[[#This Row],[BUCKET]],LEN(MCC_Table6[[#This Row],[BUCKET]])-1))</f>
        <v>17</v>
      </c>
      <c r="Q330" s="10" t="str">
        <f>RIGHT(MCC_Table6[[#This Row],[BUCKET]],1)</f>
        <v>G</v>
      </c>
      <c r="R330" s="10">
        <f>VLOOKUP(MCC_Table6[[#This Row],[START UNIT]],UnitMap[],2,FALSE)</f>
        <v>7</v>
      </c>
      <c r="S330" s="10" cm="1">
        <f t="array" ref="S33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30" s="10">
        <f>IF(ISNUMBER(MCC_Table6[[#This Row],[SIZE]]), MCC_Table6[[#This Row],[SIZE]]/6, 0)</f>
        <v>3</v>
      </c>
      <c r="U330" s="10">
        <f>MCC_Table6[[#This Row],[START INDEX]]+MCC_Table6[[#This Row],[UNITS USED]]-1</f>
        <v>9</v>
      </c>
      <c r="V330" s="111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</row>
    <row r="331" spans="1:52" x14ac:dyDescent="0.3">
      <c r="A331" s="97" t="s">
        <v>1335</v>
      </c>
      <c r="B331" s="51" t="s">
        <v>1393</v>
      </c>
      <c r="C331" s="129" t="s">
        <v>1394</v>
      </c>
      <c r="D331" s="135" t="s">
        <v>1395</v>
      </c>
      <c r="E331" s="130" t="s">
        <v>904</v>
      </c>
      <c r="F331" s="86">
        <f>IF(ISNUMBER(MCC_Table6[[#This Row],[SIZE]]), MCC_Table6[[#This Row],[SIZE]]/12, 0)</f>
        <v>1.5</v>
      </c>
      <c r="G331" s="51">
        <v>5</v>
      </c>
      <c r="H331" s="10">
        <v>5</v>
      </c>
      <c r="I331" s="10"/>
      <c r="J331" s="10"/>
      <c r="K331" s="54">
        <v>20</v>
      </c>
      <c r="L331" s="54">
        <v>125</v>
      </c>
      <c r="M331" s="54">
        <v>12</v>
      </c>
      <c r="N331" s="54" t="s">
        <v>911</v>
      </c>
      <c r="O331" s="53"/>
      <c r="P331" s="51">
        <f>_xlfn.NUMBERVALUE(LEFT(MCC_Table6[[#This Row],[BUCKET]],LEN(MCC_Table6[[#This Row],[BUCKET]])-1))</f>
        <v>17</v>
      </c>
      <c r="Q331" s="51" t="str">
        <f>RIGHT(MCC_Table6[[#This Row],[BUCKET]],1)</f>
        <v>K</v>
      </c>
      <c r="R331" s="51">
        <f>VLOOKUP(MCC_Table6[[#This Row],[START UNIT]],UnitMap[],2,FALSE)</f>
        <v>10</v>
      </c>
      <c r="S331" s="51" cm="1">
        <f t="array" ref="S33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31" s="51">
        <f>IF(ISNUMBER(MCC_Table6[[#This Row],[SIZE]]), MCC_Table6[[#This Row],[SIZE]]/6, 0)</f>
        <v>3</v>
      </c>
      <c r="U331" s="51">
        <f>MCC_Table6[[#This Row],[START INDEX]]+MCC_Table6[[#This Row],[UNITS USED]]-1</f>
        <v>12</v>
      </c>
      <c r="V331" s="12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</row>
    <row r="332" spans="1:52" x14ac:dyDescent="0.3">
      <c r="A332" s="97" t="s">
        <v>1335</v>
      </c>
      <c r="B332" s="51" t="s">
        <v>986</v>
      </c>
      <c r="C332" s="39" t="s">
        <v>462</v>
      </c>
      <c r="D332" s="136" t="s">
        <v>496</v>
      </c>
      <c r="E332" s="51" t="s">
        <v>462</v>
      </c>
      <c r="F332" s="86">
        <f>IF(ISNUMBER(MCC_Table6[[#This Row],[SIZE]]), MCC_Table6[[#This Row],[SIZE]]/12, 0)</f>
        <v>1</v>
      </c>
      <c r="G332" s="10"/>
      <c r="H332" s="10"/>
      <c r="I332" s="10"/>
      <c r="J332" s="10"/>
      <c r="K332" s="54"/>
      <c r="L332" s="54"/>
      <c r="M332" s="54"/>
      <c r="N332" s="54"/>
      <c r="O332" s="53"/>
      <c r="P332" s="51">
        <f>_xlfn.NUMBERVALUE(LEFT(MCC_Table6[[#This Row],[BUCKET]],LEN(MCC_Table6[[#This Row],[BUCKET]])-1))</f>
        <v>18</v>
      </c>
      <c r="Q332" s="51" t="str">
        <f>RIGHT(MCC_Table6[[#This Row],[BUCKET]],1)</f>
        <v>A</v>
      </c>
      <c r="R332" s="51">
        <f>VLOOKUP(MCC_Table6[[#This Row],[START UNIT]],UnitMap[],2,FALSE)</f>
        <v>1</v>
      </c>
      <c r="S332" s="51" cm="1">
        <f t="array" ref="S33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32" s="51">
        <f>IF(ISNUMBER(MCC_Table6[[#This Row],[SIZE]]), MCC_Table6[[#This Row],[SIZE]]/6, 0)</f>
        <v>2</v>
      </c>
      <c r="U332" s="51">
        <f>MCC_Table6[[#This Row],[START INDEX]]+MCC_Table6[[#This Row],[UNITS USED]]-1</f>
        <v>2</v>
      </c>
      <c r="V332" s="12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</row>
    <row r="333" spans="1:52" x14ac:dyDescent="0.3">
      <c r="A333" s="97" t="s">
        <v>1335</v>
      </c>
      <c r="B333" s="51" t="s">
        <v>1077</v>
      </c>
      <c r="C333" s="39" t="s">
        <v>462</v>
      </c>
      <c r="D333" s="136" t="s">
        <v>496</v>
      </c>
      <c r="E333" s="51" t="s">
        <v>462</v>
      </c>
      <c r="F333" s="86">
        <f>IF(ISNUMBER(MCC_Table6[[#This Row],[SIZE]]), MCC_Table6[[#This Row],[SIZE]]/12, 0)</f>
        <v>1</v>
      </c>
      <c r="G333" s="10"/>
      <c r="H333" s="10"/>
      <c r="I333" s="10"/>
      <c r="J333" s="10"/>
      <c r="K333" s="54"/>
      <c r="L333" s="54"/>
      <c r="M333" s="54"/>
      <c r="N333" s="54"/>
      <c r="O333" s="53"/>
      <c r="P333" s="51">
        <f>_xlfn.NUMBERVALUE(LEFT(MCC_Table6[[#This Row],[BUCKET]],LEN(MCC_Table6[[#This Row],[BUCKET]])-1))</f>
        <v>18</v>
      </c>
      <c r="Q333" s="51" t="str">
        <f>RIGHT(MCC_Table6[[#This Row],[BUCKET]],1)</f>
        <v>C</v>
      </c>
      <c r="R333" s="51">
        <f>VLOOKUP(MCC_Table6[[#This Row],[START UNIT]],UnitMap[],2,FALSE)</f>
        <v>3</v>
      </c>
      <c r="S333" s="51" cm="1">
        <f t="array" ref="S33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33" s="51">
        <f>IF(ISNUMBER(MCC_Table6[[#This Row],[SIZE]]), MCC_Table6[[#This Row],[SIZE]]/6, 0)</f>
        <v>2</v>
      </c>
      <c r="U333" s="51">
        <f>MCC_Table6[[#This Row],[START INDEX]]+MCC_Table6[[#This Row],[UNITS USED]]-1</f>
        <v>4</v>
      </c>
      <c r="V333" s="12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</row>
    <row r="334" spans="1:52" x14ac:dyDescent="0.3">
      <c r="A334" s="97" t="s">
        <v>1335</v>
      </c>
      <c r="B334" s="51" t="s">
        <v>1241</v>
      </c>
      <c r="C334" s="39" t="s">
        <v>462</v>
      </c>
      <c r="D334" s="136" t="s">
        <v>496</v>
      </c>
      <c r="E334" s="51" t="s">
        <v>462</v>
      </c>
      <c r="F334" s="86">
        <f>IF(ISNUMBER(MCC_Table6[[#This Row],[SIZE]]), MCC_Table6[[#This Row],[SIZE]]/12, 0)</f>
        <v>1</v>
      </c>
      <c r="G334" s="10"/>
      <c r="H334" s="10"/>
      <c r="I334" s="10"/>
      <c r="J334" s="10"/>
      <c r="K334" s="54"/>
      <c r="L334" s="54"/>
      <c r="M334" s="54"/>
      <c r="N334" s="54"/>
      <c r="O334" s="53"/>
      <c r="P334" s="51">
        <f>_xlfn.NUMBERVALUE(LEFT(MCC_Table6[[#This Row],[BUCKET]],LEN(MCC_Table6[[#This Row],[BUCKET]])-1))</f>
        <v>18</v>
      </c>
      <c r="Q334" s="51" t="str">
        <f>RIGHT(MCC_Table6[[#This Row],[BUCKET]],1)</f>
        <v>E</v>
      </c>
      <c r="R334" s="51">
        <f>VLOOKUP(MCC_Table6[[#This Row],[START UNIT]],UnitMap[],2,FALSE)</f>
        <v>5</v>
      </c>
      <c r="S334" s="51" cm="1">
        <f t="array" ref="S33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34" s="51">
        <f>IF(ISNUMBER(MCC_Table6[[#This Row],[SIZE]]), MCC_Table6[[#This Row],[SIZE]]/6, 0)</f>
        <v>2</v>
      </c>
      <c r="U334" s="51">
        <f>MCC_Table6[[#This Row],[START INDEX]]+MCC_Table6[[#This Row],[UNITS USED]]-1</f>
        <v>6</v>
      </c>
      <c r="V334" s="12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</row>
    <row r="335" spans="1:52" x14ac:dyDescent="0.3">
      <c r="A335" s="97" t="s">
        <v>1335</v>
      </c>
      <c r="B335" s="51" t="s">
        <v>1080</v>
      </c>
      <c r="C335" s="39" t="s">
        <v>462</v>
      </c>
      <c r="D335" s="136" t="s">
        <v>496</v>
      </c>
      <c r="E335" s="51" t="s">
        <v>462</v>
      </c>
      <c r="F335" s="86">
        <f>IF(ISNUMBER(MCC_Table6[[#This Row],[SIZE]]), MCC_Table6[[#This Row],[SIZE]]/12, 0)</f>
        <v>1</v>
      </c>
      <c r="G335" s="10"/>
      <c r="H335" s="10"/>
      <c r="I335" s="10"/>
      <c r="J335" s="10"/>
      <c r="K335" s="54"/>
      <c r="L335" s="54"/>
      <c r="M335" s="54"/>
      <c r="N335" s="54"/>
      <c r="O335" s="53"/>
      <c r="P335" s="51">
        <f>_xlfn.NUMBERVALUE(LEFT(MCC_Table6[[#This Row],[BUCKET]],LEN(MCC_Table6[[#This Row],[BUCKET]])-1))</f>
        <v>18</v>
      </c>
      <c r="Q335" s="51" t="str">
        <f>RIGHT(MCC_Table6[[#This Row],[BUCKET]],1)</f>
        <v>G</v>
      </c>
      <c r="R335" s="51">
        <f>VLOOKUP(MCC_Table6[[#This Row],[START UNIT]],UnitMap[],2,FALSE)</f>
        <v>7</v>
      </c>
      <c r="S335" s="51" cm="1">
        <f t="array" ref="S33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35" s="51">
        <f>IF(ISNUMBER(MCC_Table6[[#This Row],[SIZE]]), MCC_Table6[[#This Row],[SIZE]]/6, 0)</f>
        <v>2</v>
      </c>
      <c r="U335" s="51">
        <f>MCC_Table6[[#This Row],[START INDEX]]+MCC_Table6[[#This Row],[UNITS USED]]-1</f>
        <v>8</v>
      </c>
      <c r="V335" s="12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</row>
    <row r="336" spans="1:52" x14ac:dyDescent="0.3">
      <c r="A336" s="97" t="s">
        <v>1335</v>
      </c>
      <c r="B336" s="51" t="s">
        <v>1396</v>
      </c>
      <c r="C336" s="39" t="s">
        <v>462</v>
      </c>
      <c r="D336" s="136" t="s">
        <v>496</v>
      </c>
      <c r="E336" s="51" t="s">
        <v>462</v>
      </c>
      <c r="F336" s="86">
        <f>IF(ISNUMBER(MCC_Table6[[#This Row],[SIZE]]), MCC_Table6[[#This Row],[SIZE]]/12, 0)</f>
        <v>1</v>
      </c>
      <c r="G336" s="10"/>
      <c r="H336" s="10"/>
      <c r="I336" s="10"/>
      <c r="J336" s="10"/>
      <c r="K336" s="54"/>
      <c r="L336" s="54"/>
      <c r="M336" s="54"/>
      <c r="N336" s="54"/>
      <c r="O336" s="53"/>
      <c r="P336" s="51">
        <f>_xlfn.NUMBERVALUE(LEFT(MCC_Table6[[#This Row],[BUCKET]],LEN(MCC_Table6[[#This Row],[BUCKET]])-1))</f>
        <v>18</v>
      </c>
      <c r="Q336" s="51" t="str">
        <f>RIGHT(MCC_Table6[[#This Row],[BUCKET]],1)</f>
        <v>J</v>
      </c>
      <c r="R336" s="51">
        <f>VLOOKUP(MCC_Table6[[#This Row],[START UNIT]],UnitMap[],2,FALSE)</f>
        <v>9</v>
      </c>
      <c r="S336" s="51" cm="1">
        <f t="array" ref="S33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36" s="51">
        <f>IF(ISNUMBER(MCC_Table6[[#This Row],[SIZE]]), MCC_Table6[[#This Row],[SIZE]]/6, 0)</f>
        <v>2</v>
      </c>
      <c r="U336" s="51">
        <f>MCC_Table6[[#This Row],[START INDEX]]+MCC_Table6[[#This Row],[UNITS USED]]-1</f>
        <v>10</v>
      </c>
      <c r="V336" s="12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</row>
    <row r="337" spans="1:52" x14ac:dyDescent="0.3">
      <c r="A337" s="131" t="s">
        <v>1335</v>
      </c>
      <c r="B337" s="125" t="s">
        <v>1397</v>
      </c>
      <c r="C337" s="124" t="s">
        <v>462</v>
      </c>
      <c r="D337" s="142" t="s">
        <v>496</v>
      </c>
      <c r="E337" s="125" t="s">
        <v>462</v>
      </c>
      <c r="F337" s="132">
        <f>IF(ISNUMBER(MCC_Table6[[#This Row],[SIZE]]), MCC_Table6[[#This Row],[SIZE]]/12, 0)</f>
        <v>1</v>
      </c>
      <c r="G337" s="123"/>
      <c r="H337" s="123"/>
      <c r="I337" s="123"/>
      <c r="J337" s="123"/>
      <c r="K337" s="127"/>
      <c r="L337" s="127"/>
      <c r="M337" s="127"/>
      <c r="N337" s="127"/>
      <c r="O337" s="133"/>
      <c r="P337" s="125">
        <f>_xlfn.NUMBERVALUE(LEFT(MCC_Table6[[#This Row],[BUCKET]],LEN(MCC_Table6[[#This Row],[BUCKET]])-1))</f>
        <v>18</v>
      </c>
      <c r="Q337" s="125" t="str">
        <f>RIGHT(MCC_Table6[[#This Row],[BUCKET]],1)</f>
        <v>L</v>
      </c>
      <c r="R337" s="125">
        <f>VLOOKUP(MCC_Table6[[#This Row],[START UNIT]],UnitMap[],2,FALSE)</f>
        <v>11</v>
      </c>
      <c r="S337" s="125" cm="1">
        <f t="array" ref="S33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37" s="125">
        <f>IF(ISNUMBER(MCC_Table6[[#This Row],[SIZE]]), MCC_Table6[[#This Row],[SIZE]]/6, 0)</f>
        <v>2</v>
      </c>
      <c r="U337" s="125">
        <f>MCC_Table6[[#This Row],[START INDEX]]+MCC_Table6[[#This Row],[UNITS USED]]-1</f>
        <v>12</v>
      </c>
      <c r="V337" s="12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</row>
    <row r="338" spans="1:52" x14ac:dyDescent="0.3">
      <c r="A338" s="121" t="s">
        <v>1398</v>
      </c>
      <c r="B338" s="85" t="s">
        <v>450</v>
      </c>
      <c r="C338" s="55" t="s">
        <v>451</v>
      </c>
      <c r="D338" s="139" t="s">
        <v>452</v>
      </c>
      <c r="E338" s="55" t="s">
        <v>451</v>
      </c>
      <c r="F338" s="88">
        <f>IF(ISNUMBER(MCC_Table6[[#This Row],[SIZE]]), MCC_Table6[[#This Row],[SIZE]]/12, 0)</f>
        <v>3.5</v>
      </c>
      <c r="G338" s="14"/>
      <c r="H338" s="14"/>
      <c r="I338" s="14"/>
      <c r="J338" s="14"/>
      <c r="K338" s="105">
        <v>1200</v>
      </c>
      <c r="L338" s="105">
        <v>1200</v>
      </c>
      <c r="M338" s="105" t="s">
        <v>303</v>
      </c>
      <c r="N338" s="105"/>
      <c r="O338" s="57"/>
      <c r="P338" s="85">
        <f>_xlfn.NUMBERVALUE(LEFT(MCC_Table6[[#This Row],[BUCKET]],LEN(MCC_Table6[[#This Row],[BUCKET]])-1))</f>
        <v>1</v>
      </c>
      <c r="Q338" s="85" t="str">
        <f>RIGHT(MCC_Table6[[#This Row],[BUCKET]],1)</f>
        <v>A</v>
      </c>
      <c r="R338" s="85">
        <f>VLOOKUP(MCC_Table6[[#This Row],[START UNIT]],UnitMap[],2,FALSE)</f>
        <v>1</v>
      </c>
      <c r="S338" s="85" cm="1">
        <f t="array" ref="S33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38" s="85">
        <f>IF(ISNUMBER(MCC_Table6[[#This Row],[SIZE]]), MCC_Table6[[#This Row],[SIZE]]/6, 0)</f>
        <v>7</v>
      </c>
      <c r="U338" s="85">
        <f>MCC_Table6[[#This Row],[START INDEX]]+MCC_Table6[[#This Row],[UNITS USED]]-1</f>
        <v>7</v>
      </c>
      <c r="V338" s="12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</row>
    <row r="339" spans="1:52" x14ac:dyDescent="0.3">
      <c r="A339" s="97" t="s">
        <v>1398</v>
      </c>
      <c r="B339" s="51" t="s">
        <v>460</v>
      </c>
      <c r="C339" s="39" t="s">
        <v>890</v>
      </c>
      <c r="D339" s="136" t="s">
        <v>457</v>
      </c>
      <c r="E339" s="39" t="s">
        <v>458</v>
      </c>
      <c r="F339" s="86">
        <f>IF(ISNUMBER(MCC_Table6[[#This Row],[SIZE]]), MCC_Table6[[#This Row],[SIZE]]/12, 0)</f>
        <v>1.5</v>
      </c>
      <c r="G339" s="10"/>
      <c r="H339" s="10"/>
      <c r="I339" s="10"/>
      <c r="J339" s="10"/>
      <c r="K339" s="106" t="s">
        <v>303</v>
      </c>
      <c r="L339" s="54" t="s">
        <v>303</v>
      </c>
      <c r="M339" s="106">
        <v>0.75</v>
      </c>
      <c r="N339" s="106"/>
      <c r="O339" s="53"/>
      <c r="P339" s="51">
        <f>_xlfn.NUMBERVALUE(LEFT(MCC_Table6[[#This Row],[BUCKET]],LEN(MCC_Table6[[#This Row],[BUCKET]])-1))</f>
        <v>1</v>
      </c>
      <c r="Q339" s="51" t="str">
        <f>RIGHT(MCC_Table6[[#This Row],[BUCKET]],1)</f>
        <v>H</v>
      </c>
      <c r="R339" s="51">
        <f>VLOOKUP(MCC_Table6[[#This Row],[START UNIT]],UnitMap[],2,FALSE)</f>
        <v>8</v>
      </c>
      <c r="S339" s="51" cm="1">
        <f t="array" ref="S33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39" s="51">
        <f>IF(ISNUMBER(MCC_Table6[[#This Row],[SIZE]]), MCC_Table6[[#This Row],[SIZE]]/6, 0)</f>
        <v>3</v>
      </c>
      <c r="U339" s="51">
        <f>MCC_Table6[[#This Row],[START INDEX]]+MCC_Table6[[#This Row],[UNITS USED]]-1</f>
        <v>10</v>
      </c>
      <c r="V339" s="12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</row>
    <row r="340" spans="1:52" x14ac:dyDescent="0.3">
      <c r="A340" s="97" t="s">
        <v>1398</v>
      </c>
      <c r="B340" s="51" t="s">
        <v>471</v>
      </c>
      <c r="C340" s="39" t="s">
        <v>462</v>
      </c>
      <c r="D340" s="136" t="s">
        <v>496</v>
      </c>
      <c r="E340" s="51" t="s">
        <v>462</v>
      </c>
      <c r="F340" s="86">
        <f>IF(ISNUMBER(MCC_Table6[[#This Row],[SIZE]]), MCC_Table6[[#This Row],[SIZE]]/12, 0)</f>
        <v>1</v>
      </c>
      <c r="G340" s="10"/>
      <c r="H340" s="10"/>
      <c r="I340" s="10"/>
      <c r="J340" s="10"/>
      <c r="K340" s="54"/>
      <c r="L340" s="54"/>
      <c r="M340" s="54"/>
      <c r="N340" s="54"/>
      <c r="O340" s="53"/>
      <c r="P340" s="51">
        <f>_xlfn.NUMBERVALUE(LEFT(MCC_Table6[[#This Row],[BUCKET]],LEN(MCC_Table6[[#This Row],[BUCKET]])-1))</f>
        <v>1</v>
      </c>
      <c r="Q340" s="51" t="str">
        <f>RIGHT(MCC_Table6[[#This Row],[BUCKET]],1)</f>
        <v>L</v>
      </c>
      <c r="R340" s="51">
        <f>VLOOKUP(MCC_Table6[[#This Row],[START UNIT]],UnitMap[],2,FALSE)</f>
        <v>11</v>
      </c>
      <c r="S340" s="51" cm="1">
        <f t="array" ref="S34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40" s="51">
        <f>IF(ISNUMBER(MCC_Table6[[#This Row],[SIZE]]), MCC_Table6[[#This Row],[SIZE]]/6, 0)</f>
        <v>2</v>
      </c>
      <c r="U340" s="51">
        <f>MCC_Table6[[#This Row],[START INDEX]]+MCC_Table6[[#This Row],[UNITS USED]]-1</f>
        <v>12</v>
      </c>
      <c r="V340" s="12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</row>
    <row r="341" spans="1:52" x14ac:dyDescent="0.3">
      <c r="A341" s="97" t="s">
        <v>1398</v>
      </c>
      <c r="B341" s="51" t="s">
        <v>477</v>
      </c>
      <c r="C341" s="39" t="s">
        <v>462</v>
      </c>
      <c r="D341" s="136" t="s">
        <v>496</v>
      </c>
      <c r="E341" s="51" t="s">
        <v>462</v>
      </c>
      <c r="F341" s="86">
        <f>IF(ISNUMBER(MCC_Table6[[#This Row],[SIZE]]), MCC_Table6[[#This Row],[SIZE]]/12, 0)</f>
        <v>1</v>
      </c>
      <c r="G341" s="10"/>
      <c r="H341" s="10"/>
      <c r="I341" s="10"/>
      <c r="J341" s="10"/>
      <c r="K341" s="54"/>
      <c r="L341" s="54"/>
      <c r="M341" s="54"/>
      <c r="N341" s="54"/>
      <c r="O341" s="53"/>
      <c r="P341" s="51">
        <f>_xlfn.NUMBERVALUE(LEFT(MCC_Table6[[#This Row],[BUCKET]],LEN(MCC_Table6[[#This Row],[BUCKET]])-1))</f>
        <v>2</v>
      </c>
      <c r="Q341" s="51" t="str">
        <f>RIGHT(MCC_Table6[[#This Row],[BUCKET]],1)</f>
        <v>A</v>
      </c>
      <c r="R341" s="51">
        <f>VLOOKUP(MCC_Table6[[#This Row],[START UNIT]],UnitMap[],2,FALSE)</f>
        <v>1</v>
      </c>
      <c r="S341" s="51" cm="1">
        <f t="array" ref="S34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41" s="51">
        <f>IF(ISNUMBER(MCC_Table6[[#This Row],[SIZE]]), MCC_Table6[[#This Row],[SIZE]]/6, 0)</f>
        <v>2</v>
      </c>
      <c r="U341" s="51">
        <f>MCC_Table6[[#This Row],[START INDEX]]+MCC_Table6[[#This Row],[UNITS USED]]-1</f>
        <v>2</v>
      </c>
      <c r="V341" s="12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</row>
    <row r="342" spans="1:52" x14ac:dyDescent="0.3">
      <c r="A342" s="97" t="s">
        <v>1398</v>
      </c>
      <c r="B342" s="10" t="s">
        <v>897</v>
      </c>
      <c r="C342" s="39" t="s">
        <v>1399</v>
      </c>
      <c r="D342" s="135" t="s">
        <v>1400</v>
      </c>
      <c r="E342" s="51" t="s">
        <v>904</v>
      </c>
      <c r="F342" s="87">
        <f>IF(ISNUMBER(MCC_Table6[[#This Row],[SIZE]]), MCC_Table6[[#This Row],[SIZE]]/12, 0)</f>
        <v>5</v>
      </c>
      <c r="G342" s="10" t="s">
        <v>1401</v>
      </c>
      <c r="H342" s="10">
        <v>50</v>
      </c>
      <c r="I342" s="10"/>
      <c r="J342" s="10"/>
      <c r="K342" s="96">
        <v>125</v>
      </c>
      <c r="L342" s="54">
        <v>125</v>
      </c>
      <c r="M342" s="96">
        <v>100</v>
      </c>
      <c r="N342" s="54" t="s">
        <v>1024</v>
      </c>
      <c r="O342" s="53"/>
      <c r="P342" s="10">
        <f>_xlfn.NUMBERVALUE(LEFT(MCC_Table6[[#This Row],[BUCKET]],LEN(MCC_Table6[[#This Row],[BUCKET]])-1))</f>
        <v>2</v>
      </c>
      <c r="Q342" s="10" t="str">
        <f>RIGHT(MCC_Table6[[#This Row],[BUCKET]],1)</f>
        <v>C</v>
      </c>
      <c r="R342" s="10">
        <f>VLOOKUP(MCC_Table6[[#This Row],[START UNIT]],UnitMap[],2,FALSE)</f>
        <v>3</v>
      </c>
      <c r="S342" s="10" cm="1">
        <f t="array" ref="S34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60</v>
      </c>
      <c r="T342" s="10">
        <f>IF(ISNUMBER(MCC_Table6[[#This Row],[SIZE]]), MCC_Table6[[#This Row],[SIZE]]/6, 0)</f>
        <v>10</v>
      </c>
      <c r="U342" s="10">
        <f>MCC_Table6[[#This Row],[START INDEX]]+MCC_Table6[[#This Row],[UNITS USED]]-1</f>
        <v>12</v>
      </c>
      <c r="V342" s="113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</row>
    <row r="343" spans="1:52" x14ac:dyDescent="0.3">
      <c r="A343" s="97" t="s">
        <v>1398</v>
      </c>
      <c r="B343" s="51" t="s">
        <v>489</v>
      </c>
      <c r="C343" s="39" t="s">
        <v>53</v>
      </c>
      <c r="D343" s="135" t="s">
        <v>1402</v>
      </c>
      <c r="E343" s="51" t="s">
        <v>904</v>
      </c>
      <c r="F343" s="86">
        <f>IF(ISNUMBER(MCC_Table6[[#This Row],[SIZE]]), MCC_Table6[[#This Row],[SIZE]]/12, 0)</f>
        <v>2.5</v>
      </c>
      <c r="G343" s="10"/>
      <c r="H343" s="10">
        <v>15</v>
      </c>
      <c r="I343" s="10"/>
      <c r="J343" s="10"/>
      <c r="K343" s="54">
        <v>60</v>
      </c>
      <c r="L343" s="54">
        <v>125</v>
      </c>
      <c r="M343" s="54">
        <v>40</v>
      </c>
      <c r="N343" s="54"/>
      <c r="O343" s="53"/>
      <c r="P343" s="51">
        <f>_xlfn.NUMBERVALUE(LEFT(MCC_Table6[[#This Row],[BUCKET]],LEN(MCC_Table6[[#This Row],[BUCKET]])-1))</f>
        <v>3</v>
      </c>
      <c r="Q343" s="51" t="str">
        <f>RIGHT(MCC_Table6[[#This Row],[BUCKET]],1)</f>
        <v>A</v>
      </c>
      <c r="R343" s="51">
        <f>VLOOKUP(MCC_Table6[[#This Row],[START UNIT]],UnitMap[],2,FALSE)</f>
        <v>1</v>
      </c>
      <c r="S343" s="51" cm="1">
        <f t="array" ref="S34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343" s="51">
        <f>IF(ISNUMBER(MCC_Table6[[#This Row],[SIZE]]), MCC_Table6[[#This Row],[SIZE]]/6, 0)</f>
        <v>5</v>
      </c>
      <c r="U343" s="51">
        <f>MCC_Table6[[#This Row],[START INDEX]]+MCC_Table6[[#This Row],[UNITS USED]]-1</f>
        <v>5</v>
      </c>
      <c r="V343" s="120"/>
      <c r="W343" s="110"/>
      <c r="X343" s="110"/>
      <c r="Y343" s="110"/>
      <c r="Z343" s="110"/>
      <c r="AA343" s="110"/>
      <c r="AB343" s="110"/>
      <c r="AC343" s="110"/>
      <c r="AD343" s="110"/>
      <c r="AE343" s="110"/>
      <c r="AF343" s="110"/>
      <c r="AG343" s="11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</row>
    <row r="344" spans="1:52" x14ac:dyDescent="0.3">
      <c r="A344" s="97" t="s">
        <v>1398</v>
      </c>
      <c r="B344" s="51" t="s">
        <v>492</v>
      </c>
      <c r="C344" s="39" t="s">
        <v>53</v>
      </c>
      <c r="D344" s="135" t="s">
        <v>1391</v>
      </c>
      <c r="E344" s="51" t="s">
        <v>904</v>
      </c>
      <c r="F344" s="86">
        <f>IF(ISNUMBER(MCC_Table6[[#This Row],[SIZE]]), MCC_Table6[[#This Row],[SIZE]]/12, 0)</f>
        <v>3.5</v>
      </c>
      <c r="G344" s="10"/>
      <c r="H344" s="10">
        <v>30</v>
      </c>
      <c r="I344" s="10"/>
      <c r="J344" s="10"/>
      <c r="K344" s="54">
        <v>100</v>
      </c>
      <c r="L344" s="54">
        <v>125</v>
      </c>
      <c r="M344" s="54" t="s">
        <v>303</v>
      </c>
      <c r="N344" s="54"/>
      <c r="O344" s="53"/>
      <c r="P344" s="51">
        <f>_xlfn.NUMBERVALUE(LEFT(MCC_Table6[[#This Row],[BUCKET]],LEN(MCC_Table6[[#This Row],[BUCKET]])-1))</f>
        <v>3</v>
      </c>
      <c r="Q344" s="51" t="str">
        <f>RIGHT(MCC_Table6[[#This Row],[BUCKET]],1)</f>
        <v>F</v>
      </c>
      <c r="R344" s="51">
        <f>VLOOKUP(MCC_Table6[[#This Row],[START UNIT]],UnitMap[],2,FALSE)</f>
        <v>6</v>
      </c>
      <c r="S344" s="51" cm="1">
        <f t="array" ref="S34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44" s="51">
        <f>IF(ISNUMBER(MCC_Table6[[#This Row],[SIZE]]), MCC_Table6[[#This Row],[SIZE]]/6, 0)</f>
        <v>7</v>
      </c>
      <c r="U344" s="51">
        <f>MCC_Table6[[#This Row],[START INDEX]]+MCC_Table6[[#This Row],[UNITS USED]]-1</f>
        <v>12</v>
      </c>
      <c r="V344" s="12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</row>
    <row r="345" spans="1:52" x14ac:dyDescent="0.3">
      <c r="A345" s="97" t="s">
        <v>1398</v>
      </c>
      <c r="B345" s="10" t="s">
        <v>497</v>
      </c>
      <c r="C345" s="39" t="s">
        <v>1403</v>
      </c>
      <c r="D345" s="135" t="s">
        <v>667</v>
      </c>
      <c r="E345" s="51" t="s">
        <v>904</v>
      </c>
      <c r="F345" s="87">
        <f>IF(ISNUMBER(MCC_Table6[[#This Row],[SIZE]]), MCC_Table6[[#This Row],[SIZE]]/12, 0)</f>
        <v>6</v>
      </c>
      <c r="G345" s="10">
        <v>100</v>
      </c>
      <c r="H345" s="10">
        <v>100</v>
      </c>
      <c r="I345" s="10"/>
      <c r="J345" s="10"/>
      <c r="K345" s="96">
        <v>250</v>
      </c>
      <c r="L345" s="54">
        <v>250</v>
      </c>
      <c r="M345" s="96">
        <v>225</v>
      </c>
      <c r="N345" s="54" t="s">
        <v>1213</v>
      </c>
      <c r="O345" s="53"/>
      <c r="P345" s="10">
        <f>_xlfn.NUMBERVALUE(LEFT(MCC_Table6[[#This Row],[BUCKET]],LEN(MCC_Table6[[#This Row],[BUCKET]])-1))</f>
        <v>4</v>
      </c>
      <c r="Q345" s="10" t="str">
        <f>RIGHT(MCC_Table6[[#This Row],[BUCKET]],1)</f>
        <v>A</v>
      </c>
      <c r="R345" s="10">
        <f>VLOOKUP(MCC_Table6[[#This Row],[START UNIT]],UnitMap[],2,FALSE)</f>
        <v>1</v>
      </c>
      <c r="S345" s="10" cm="1">
        <f t="array" ref="S34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345" s="10">
        <f>IF(ISNUMBER(MCC_Table6[[#This Row],[SIZE]]), MCC_Table6[[#This Row],[SIZE]]/6, 0)</f>
        <v>12</v>
      </c>
      <c r="U345" s="10">
        <f>MCC_Table6[[#This Row],[START INDEX]]+MCC_Table6[[#This Row],[UNITS USED]]-1</f>
        <v>12</v>
      </c>
      <c r="V345" s="113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</row>
    <row r="346" spans="1:52" x14ac:dyDescent="0.3">
      <c r="A346" s="97" t="s">
        <v>1398</v>
      </c>
      <c r="B346" s="51" t="s">
        <v>508</v>
      </c>
      <c r="C346" s="39" t="s">
        <v>1404</v>
      </c>
      <c r="D346" s="136" t="s">
        <v>992</v>
      </c>
      <c r="E346" s="39" t="s">
        <v>993</v>
      </c>
      <c r="F346" s="86">
        <f>IF(ISNUMBER(MCC_Table6[[#This Row],[SIZE]]), MCC_Table6[[#This Row],[SIZE]]/12, 0)</f>
        <v>1</v>
      </c>
      <c r="G346" s="10"/>
      <c r="H346" s="10"/>
      <c r="I346" s="10"/>
      <c r="J346" s="10"/>
      <c r="K346" s="96"/>
      <c r="L346" s="54"/>
      <c r="M346" s="96"/>
      <c r="N346" s="96"/>
      <c r="O346" s="53"/>
      <c r="P346" s="51">
        <f>_xlfn.NUMBERVALUE(LEFT(MCC_Table6[[#This Row],[BUCKET]],LEN(MCC_Table6[[#This Row],[BUCKET]])-1))</f>
        <v>5</v>
      </c>
      <c r="Q346" s="51" t="str">
        <f>RIGHT(MCC_Table6[[#This Row],[BUCKET]],1)</f>
        <v>A</v>
      </c>
      <c r="R346" s="51">
        <f>VLOOKUP(MCC_Table6[[#This Row],[START UNIT]],UnitMap[],2,FALSE)</f>
        <v>1</v>
      </c>
      <c r="S346" s="51" cm="1">
        <f t="array" ref="S34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46" s="51">
        <f>IF(ISNUMBER(MCC_Table6[[#This Row],[SIZE]]), MCC_Table6[[#This Row],[SIZE]]/6, 0)</f>
        <v>2</v>
      </c>
      <c r="U346" s="51">
        <f>MCC_Table6[[#This Row],[START INDEX]]+MCC_Table6[[#This Row],[UNITS USED]]-1</f>
        <v>2</v>
      </c>
      <c r="V346" s="115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</row>
    <row r="347" spans="1:52" x14ac:dyDescent="0.3">
      <c r="A347" s="97" t="s">
        <v>1398</v>
      </c>
      <c r="B347" s="51" t="s">
        <v>1107</v>
      </c>
      <c r="C347" s="39" t="s">
        <v>462</v>
      </c>
      <c r="D347" s="136" t="s">
        <v>496</v>
      </c>
      <c r="E347" s="51" t="s">
        <v>462</v>
      </c>
      <c r="F347" s="86">
        <f>IF(ISNUMBER(MCC_Table6[[#This Row],[SIZE]]), MCC_Table6[[#This Row],[SIZE]]/12, 0)</f>
        <v>1</v>
      </c>
      <c r="G347" s="10"/>
      <c r="H347" s="10"/>
      <c r="I347" s="10"/>
      <c r="J347" s="10"/>
      <c r="K347" s="54"/>
      <c r="L347" s="54"/>
      <c r="M347" s="54"/>
      <c r="N347" s="54"/>
      <c r="O347" s="53"/>
      <c r="P347" s="51">
        <f>_xlfn.NUMBERVALUE(LEFT(MCC_Table6[[#This Row],[BUCKET]],LEN(MCC_Table6[[#This Row],[BUCKET]])-1))</f>
        <v>5</v>
      </c>
      <c r="Q347" s="51" t="str">
        <f>RIGHT(MCC_Table6[[#This Row],[BUCKET]],1)</f>
        <v>C</v>
      </c>
      <c r="R347" s="51">
        <f>VLOOKUP(MCC_Table6[[#This Row],[START UNIT]],UnitMap[],2,FALSE)</f>
        <v>3</v>
      </c>
      <c r="S347" s="51" cm="1">
        <f t="array" ref="S34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47" s="51">
        <f>IF(ISNUMBER(MCC_Table6[[#This Row],[SIZE]]), MCC_Table6[[#This Row],[SIZE]]/6, 0)</f>
        <v>2</v>
      </c>
      <c r="U347" s="51">
        <f>MCC_Table6[[#This Row],[START INDEX]]+MCC_Table6[[#This Row],[UNITS USED]]-1</f>
        <v>4</v>
      </c>
      <c r="V347" s="12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</row>
    <row r="348" spans="1:52" x14ac:dyDescent="0.3">
      <c r="A348" s="97" t="s">
        <v>1398</v>
      </c>
      <c r="B348" s="51" t="s">
        <v>511</v>
      </c>
      <c r="C348" s="39" t="s">
        <v>462</v>
      </c>
      <c r="D348" s="136" t="s">
        <v>496</v>
      </c>
      <c r="E348" s="51" t="s">
        <v>462</v>
      </c>
      <c r="F348" s="86">
        <f>IF(ISNUMBER(MCC_Table6[[#This Row],[SIZE]]), MCC_Table6[[#This Row],[SIZE]]/12, 0)</f>
        <v>1</v>
      </c>
      <c r="G348" s="10"/>
      <c r="H348" s="10"/>
      <c r="I348" s="10"/>
      <c r="J348" s="10"/>
      <c r="K348" s="54"/>
      <c r="L348" s="54"/>
      <c r="M348" s="54"/>
      <c r="N348" s="54"/>
      <c r="O348" s="53"/>
      <c r="P348" s="51">
        <f>_xlfn.NUMBERVALUE(LEFT(MCC_Table6[[#This Row],[BUCKET]],LEN(MCC_Table6[[#This Row],[BUCKET]])-1))</f>
        <v>5</v>
      </c>
      <c r="Q348" s="51" t="str">
        <f>RIGHT(MCC_Table6[[#This Row],[BUCKET]],1)</f>
        <v>E</v>
      </c>
      <c r="R348" s="51">
        <f>VLOOKUP(MCC_Table6[[#This Row],[START UNIT]],UnitMap[],2,FALSE)</f>
        <v>5</v>
      </c>
      <c r="S348" s="51" cm="1">
        <f t="array" ref="S34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48" s="51">
        <f>IF(ISNUMBER(MCC_Table6[[#This Row],[SIZE]]), MCC_Table6[[#This Row],[SIZE]]/6, 0)</f>
        <v>2</v>
      </c>
      <c r="U348" s="51">
        <f>MCC_Table6[[#This Row],[START INDEX]]+MCC_Table6[[#This Row],[UNITS USED]]-1</f>
        <v>6</v>
      </c>
      <c r="V348" s="12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</row>
    <row r="349" spans="1:52" x14ac:dyDescent="0.3">
      <c r="A349" s="97" t="s">
        <v>1398</v>
      </c>
      <c r="B349" s="51" t="s">
        <v>1275</v>
      </c>
      <c r="C349" s="39" t="s">
        <v>462</v>
      </c>
      <c r="D349" s="136" t="s">
        <v>496</v>
      </c>
      <c r="E349" s="51" t="s">
        <v>462</v>
      </c>
      <c r="F349" s="86">
        <f>IF(ISNUMBER(MCC_Table6[[#This Row],[SIZE]]), MCC_Table6[[#This Row],[SIZE]]/12, 0)</f>
        <v>1</v>
      </c>
      <c r="G349" s="10"/>
      <c r="H349" s="10"/>
      <c r="I349" s="10"/>
      <c r="J349" s="10"/>
      <c r="K349" s="54"/>
      <c r="L349" s="54"/>
      <c r="M349" s="54"/>
      <c r="N349" s="54"/>
      <c r="O349" s="53"/>
      <c r="P349" s="51">
        <f>_xlfn.NUMBERVALUE(LEFT(MCC_Table6[[#This Row],[BUCKET]],LEN(MCC_Table6[[#This Row],[BUCKET]])-1))</f>
        <v>5</v>
      </c>
      <c r="Q349" s="51" t="str">
        <f>RIGHT(MCC_Table6[[#This Row],[BUCKET]],1)</f>
        <v>G</v>
      </c>
      <c r="R349" s="51">
        <f>VLOOKUP(MCC_Table6[[#This Row],[START UNIT]],UnitMap[],2,FALSE)</f>
        <v>7</v>
      </c>
      <c r="S349" s="51" cm="1">
        <f t="array" ref="S34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49" s="51">
        <f>IF(ISNUMBER(MCC_Table6[[#This Row],[SIZE]]), MCC_Table6[[#This Row],[SIZE]]/6, 0)</f>
        <v>2</v>
      </c>
      <c r="U349" s="51">
        <f>MCC_Table6[[#This Row],[START INDEX]]+MCC_Table6[[#This Row],[UNITS USED]]-1</f>
        <v>8</v>
      </c>
      <c r="V349" s="12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</row>
    <row r="350" spans="1:52" x14ac:dyDescent="0.3">
      <c r="A350" s="97" t="s">
        <v>1398</v>
      </c>
      <c r="B350" s="51" t="s">
        <v>514</v>
      </c>
      <c r="C350" s="39" t="s">
        <v>462</v>
      </c>
      <c r="D350" s="136" t="s">
        <v>496</v>
      </c>
      <c r="E350" s="51" t="s">
        <v>462</v>
      </c>
      <c r="F350" s="86">
        <f>IF(ISNUMBER(MCC_Table6[[#This Row],[SIZE]]), MCC_Table6[[#This Row],[SIZE]]/12, 0)</f>
        <v>1</v>
      </c>
      <c r="G350" s="10"/>
      <c r="H350" s="10"/>
      <c r="I350" s="10"/>
      <c r="J350" s="10"/>
      <c r="K350" s="54"/>
      <c r="L350" s="54"/>
      <c r="M350" s="54"/>
      <c r="N350" s="54"/>
      <c r="O350" s="53"/>
      <c r="P350" s="51">
        <f>_xlfn.NUMBERVALUE(LEFT(MCC_Table6[[#This Row],[BUCKET]],LEN(MCC_Table6[[#This Row],[BUCKET]])-1))</f>
        <v>5</v>
      </c>
      <c r="Q350" s="51" t="str">
        <f>RIGHT(MCC_Table6[[#This Row],[BUCKET]],1)</f>
        <v>J</v>
      </c>
      <c r="R350" s="51">
        <f>VLOOKUP(MCC_Table6[[#This Row],[START UNIT]],UnitMap[],2,FALSE)</f>
        <v>9</v>
      </c>
      <c r="S350" s="51" cm="1">
        <f t="array" ref="S35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50" s="51">
        <f>IF(ISNUMBER(MCC_Table6[[#This Row],[SIZE]]), MCC_Table6[[#This Row],[SIZE]]/6, 0)</f>
        <v>2</v>
      </c>
      <c r="U350" s="51">
        <f>MCC_Table6[[#This Row],[START INDEX]]+MCC_Table6[[#This Row],[UNITS USED]]-1</f>
        <v>10</v>
      </c>
      <c r="V350" s="12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</row>
    <row r="351" spans="1:52" x14ac:dyDescent="0.3">
      <c r="A351" s="97" t="s">
        <v>1398</v>
      </c>
      <c r="B351" s="51" t="s">
        <v>1347</v>
      </c>
      <c r="C351" s="39" t="s">
        <v>1348</v>
      </c>
      <c r="D351" s="136" t="s">
        <v>467</v>
      </c>
      <c r="E351" s="39" t="s">
        <v>468</v>
      </c>
      <c r="F351" s="86">
        <f>IF(ISNUMBER(MCC_Table6[[#This Row],[SIZE]]), MCC_Table6[[#This Row],[SIZE]]/12, 0)</f>
        <v>1</v>
      </c>
      <c r="G351" s="10"/>
      <c r="H351" s="10"/>
      <c r="I351" s="10"/>
      <c r="J351" s="10"/>
      <c r="K351" s="54"/>
      <c r="L351" s="54"/>
      <c r="M351" s="54"/>
      <c r="N351" s="54"/>
      <c r="O351" s="53"/>
      <c r="P351" s="51">
        <f>_xlfn.NUMBERVALUE(LEFT(MCC_Table6[[#This Row],[BUCKET]],LEN(MCC_Table6[[#This Row],[BUCKET]])-1))</f>
        <v>5</v>
      </c>
      <c r="Q351" s="51" t="str">
        <f>RIGHT(MCC_Table6[[#This Row],[BUCKET]],1)</f>
        <v>L</v>
      </c>
      <c r="R351" s="51">
        <f>VLOOKUP(MCC_Table6[[#This Row],[START UNIT]],UnitMap[],2,FALSE)</f>
        <v>11</v>
      </c>
      <c r="S351" s="51" cm="1">
        <f t="array" ref="S35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51" s="51">
        <f>IF(ISNUMBER(MCC_Table6[[#This Row],[SIZE]]), MCC_Table6[[#This Row],[SIZE]]/6, 0)</f>
        <v>2</v>
      </c>
      <c r="U351" s="51">
        <f>MCC_Table6[[#This Row],[START INDEX]]+MCC_Table6[[#This Row],[UNITS USED]]-1</f>
        <v>12</v>
      </c>
      <c r="V351" s="109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</row>
    <row r="352" spans="1:52" x14ac:dyDescent="0.3">
      <c r="A352" s="97" t="s">
        <v>1398</v>
      </c>
      <c r="B352" s="10" t="s">
        <v>517</v>
      </c>
      <c r="C352" s="39" t="s">
        <v>53</v>
      </c>
      <c r="D352" s="135" t="s">
        <v>560</v>
      </c>
      <c r="E352" s="51" t="s">
        <v>904</v>
      </c>
      <c r="F352" s="87">
        <f>IF(ISNUMBER(MCC_Table6[[#This Row],[SIZE]]), MCC_Table6[[#This Row],[SIZE]]/12, 0)</f>
        <v>1.5</v>
      </c>
      <c r="G352" s="51"/>
      <c r="H352" s="10">
        <v>5</v>
      </c>
      <c r="I352" s="10"/>
      <c r="J352" s="10"/>
      <c r="K352" s="54">
        <v>20</v>
      </c>
      <c r="L352" s="54">
        <v>125</v>
      </c>
      <c r="M352" s="54">
        <v>12</v>
      </c>
      <c r="N352" s="54"/>
      <c r="O352" s="53"/>
      <c r="P352" s="10">
        <f>_xlfn.NUMBERVALUE(LEFT(MCC_Table6[[#This Row],[BUCKET]],LEN(MCC_Table6[[#This Row],[BUCKET]])-1))</f>
        <v>6</v>
      </c>
      <c r="Q352" s="10" t="str">
        <f>RIGHT(MCC_Table6[[#This Row],[BUCKET]],1)</f>
        <v>A</v>
      </c>
      <c r="R352" s="10">
        <f>VLOOKUP(MCC_Table6[[#This Row],[START UNIT]],UnitMap[],2,FALSE)</f>
        <v>1</v>
      </c>
      <c r="S352" s="10" cm="1">
        <f t="array" ref="S35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52" s="10">
        <f>IF(ISNUMBER(MCC_Table6[[#This Row],[SIZE]]), MCC_Table6[[#This Row],[SIZE]]/6, 0)</f>
        <v>3</v>
      </c>
      <c r="U352" s="10">
        <f>MCC_Table6[[#This Row],[START INDEX]]+MCC_Table6[[#This Row],[UNITS USED]]-1</f>
        <v>3</v>
      </c>
      <c r="V352" s="111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</row>
    <row r="353" spans="1:52" ht="13.95" customHeight="1" x14ac:dyDescent="0.3">
      <c r="A353" s="97" t="s">
        <v>1398</v>
      </c>
      <c r="B353" s="51" t="s">
        <v>1405</v>
      </c>
      <c r="C353" s="129" t="s">
        <v>1406</v>
      </c>
      <c r="D353" s="135" t="s">
        <v>1407</v>
      </c>
      <c r="E353" s="130" t="s">
        <v>904</v>
      </c>
      <c r="F353" s="86">
        <f>IF(ISNUMBER(MCC_Table6[[#This Row],[SIZE]]), MCC_Table6[[#This Row],[SIZE]]/12, 0)</f>
        <v>1.5</v>
      </c>
      <c r="G353" s="51">
        <v>5</v>
      </c>
      <c r="H353" s="10">
        <v>5</v>
      </c>
      <c r="I353" s="10"/>
      <c r="J353" s="10"/>
      <c r="K353" s="54">
        <v>20</v>
      </c>
      <c r="L353" s="54">
        <v>125</v>
      </c>
      <c r="M353" s="54">
        <v>12</v>
      </c>
      <c r="N353" s="54" t="s">
        <v>911</v>
      </c>
      <c r="O353" s="53"/>
      <c r="P353" s="51">
        <f>_xlfn.NUMBERVALUE(LEFT(MCC_Table6[[#This Row],[BUCKET]],LEN(MCC_Table6[[#This Row],[BUCKET]])-1))</f>
        <v>6</v>
      </c>
      <c r="Q353" s="51" t="str">
        <f>RIGHT(MCC_Table6[[#This Row],[BUCKET]],1)</f>
        <v>D</v>
      </c>
      <c r="R353" s="51">
        <f>VLOOKUP(MCC_Table6[[#This Row],[START UNIT]],UnitMap[],2,FALSE)</f>
        <v>4</v>
      </c>
      <c r="S353" s="51" cm="1">
        <f t="array" ref="S35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53" s="51">
        <f>IF(ISNUMBER(MCC_Table6[[#This Row],[SIZE]]), MCC_Table6[[#This Row],[SIZE]]/6, 0)</f>
        <v>3</v>
      </c>
      <c r="U353" s="51">
        <f>MCC_Table6[[#This Row],[START INDEX]]+MCC_Table6[[#This Row],[UNITS USED]]-1</f>
        <v>6</v>
      </c>
      <c r="V353" s="12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</row>
    <row r="354" spans="1:52" x14ac:dyDescent="0.3">
      <c r="A354" s="97" t="s">
        <v>1398</v>
      </c>
      <c r="B354" s="51" t="s">
        <v>1408</v>
      </c>
      <c r="C354" s="129" t="s">
        <v>1409</v>
      </c>
      <c r="D354" s="135" t="s">
        <v>1410</v>
      </c>
      <c r="E354" s="130" t="s">
        <v>904</v>
      </c>
      <c r="F354" s="86">
        <f>IF(ISNUMBER(MCC_Table6[[#This Row],[SIZE]]), MCC_Table6[[#This Row],[SIZE]]/12, 0)</f>
        <v>1.5</v>
      </c>
      <c r="G354" s="51">
        <v>5</v>
      </c>
      <c r="H354" s="10">
        <v>5</v>
      </c>
      <c r="I354" s="10"/>
      <c r="J354" s="10"/>
      <c r="K354" s="54">
        <v>20</v>
      </c>
      <c r="L354" s="54">
        <v>125</v>
      </c>
      <c r="M354" s="54">
        <v>12</v>
      </c>
      <c r="N354" s="54" t="s">
        <v>911</v>
      </c>
      <c r="O354" s="53"/>
      <c r="P354" s="51">
        <f>_xlfn.NUMBERVALUE(LEFT(MCC_Table6[[#This Row],[BUCKET]],LEN(MCC_Table6[[#This Row],[BUCKET]])-1))</f>
        <v>6</v>
      </c>
      <c r="Q354" s="51" t="str">
        <f>RIGHT(MCC_Table6[[#This Row],[BUCKET]],1)</f>
        <v>G</v>
      </c>
      <c r="R354" s="51">
        <f>VLOOKUP(MCC_Table6[[#This Row],[START UNIT]],UnitMap[],2,FALSE)</f>
        <v>7</v>
      </c>
      <c r="S354" s="51" cm="1">
        <f t="array" ref="S35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54" s="51">
        <f>IF(ISNUMBER(MCC_Table6[[#This Row],[SIZE]]), MCC_Table6[[#This Row],[SIZE]]/6, 0)</f>
        <v>3</v>
      </c>
      <c r="U354" s="51">
        <f>MCC_Table6[[#This Row],[START INDEX]]+MCC_Table6[[#This Row],[UNITS USED]]-1</f>
        <v>9</v>
      </c>
      <c r="V354" s="12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</row>
    <row r="355" spans="1:52" x14ac:dyDescent="0.3">
      <c r="A355" s="97" t="s">
        <v>1398</v>
      </c>
      <c r="B355" s="51" t="s">
        <v>1411</v>
      </c>
      <c r="C355" s="129" t="s">
        <v>1412</v>
      </c>
      <c r="D355" s="135" t="s">
        <v>1413</v>
      </c>
      <c r="E355" s="130" t="s">
        <v>904</v>
      </c>
      <c r="F355" s="86">
        <f>IF(ISNUMBER(MCC_Table6[[#This Row],[SIZE]]), MCC_Table6[[#This Row],[SIZE]]/12, 0)</f>
        <v>1.5</v>
      </c>
      <c r="G355" s="51">
        <v>5</v>
      </c>
      <c r="H355" s="10">
        <v>5</v>
      </c>
      <c r="I355" s="10"/>
      <c r="J355" s="10"/>
      <c r="K355" s="54">
        <v>20</v>
      </c>
      <c r="L355" s="54">
        <v>125</v>
      </c>
      <c r="M355" s="54">
        <v>12</v>
      </c>
      <c r="N355" s="54" t="s">
        <v>911</v>
      </c>
      <c r="O355" s="53"/>
      <c r="P355" s="51">
        <f>_xlfn.NUMBERVALUE(LEFT(MCC_Table6[[#This Row],[BUCKET]],LEN(MCC_Table6[[#This Row],[BUCKET]])-1))</f>
        <v>6</v>
      </c>
      <c r="Q355" s="51" t="str">
        <f>RIGHT(MCC_Table6[[#This Row],[BUCKET]],1)</f>
        <v>K</v>
      </c>
      <c r="R355" s="51">
        <f>VLOOKUP(MCC_Table6[[#This Row],[START UNIT]],UnitMap[],2,FALSE)</f>
        <v>10</v>
      </c>
      <c r="S355" s="51" cm="1">
        <f t="array" ref="S35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55" s="51">
        <f>IF(ISNUMBER(MCC_Table6[[#This Row],[SIZE]]), MCC_Table6[[#This Row],[SIZE]]/6, 0)</f>
        <v>3</v>
      </c>
      <c r="U355" s="51">
        <f>MCC_Table6[[#This Row],[START INDEX]]+MCC_Table6[[#This Row],[UNITS USED]]-1</f>
        <v>12</v>
      </c>
      <c r="V355" s="12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</row>
    <row r="356" spans="1:52" x14ac:dyDescent="0.3">
      <c r="A356" s="97" t="s">
        <v>1398</v>
      </c>
      <c r="B356" s="51" t="s">
        <v>526</v>
      </c>
      <c r="C356" s="129" t="s">
        <v>1414</v>
      </c>
      <c r="D356" s="135" t="s">
        <v>1415</v>
      </c>
      <c r="E356" s="130" t="s">
        <v>904</v>
      </c>
      <c r="F356" s="86">
        <f>IF(ISNUMBER(MCC_Table6[[#This Row],[SIZE]]), MCC_Table6[[#This Row],[SIZE]]/12, 0)</f>
        <v>2</v>
      </c>
      <c r="G356" s="51">
        <v>10</v>
      </c>
      <c r="H356" s="10">
        <v>10</v>
      </c>
      <c r="I356" s="10"/>
      <c r="J356" s="10"/>
      <c r="K356" s="96">
        <v>30</v>
      </c>
      <c r="L356" s="54">
        <v>125</v>
      </c>
      <c r="M356" s="96">
        <v>25</v>
      </c>
      <c r="N356" s="54" t="s">
        <v>911</v>
      </c>
      <c r="O356" s="53"/>
      <c r="P356" s="51">
        <f>_xlfn.NUMBERVALUE(LEFT(MCC_Table6[[#This Row],[BUCKET]],LEN(MCC_Table6[[#This Row],[BUCKET]])-1))</f>
        <v>7</v>
      </c>
      <c r="Q356" s="51" t="str">
        <f>RIGHT(MCC_Table6[[#This Row],[BUCKET]],1)</f>
        <v>A</v>
      </c>
      <c r="R356" s="51">
        <f>VLOOKUP(MCC_Table6[[#This Row],[START UNIT]],UnitMap[],2,FALSE)</f>
        <v>1</v>
      </c>
      <c r="S356" s="51" cm="1">
        <f t="array" ref="S35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56" s="51">
        <f>IF(ISNUMBER(MCC_Table6[[#This Row],[SIZE]]), MCC_Table6[[#This Row],[SIZE]]/6, 0)</f>
        <v>4</v>
      </c>
      <c r="U356" s="51">
        <f>MCC_Table6[[#This Row],[START INDEX]]+MCC_Table6[[#This Row],[UNITS USED]]-1</f>
        <v>4</v>
      </c>
      <c r="V356" s="12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</row>
    <row r="357" spans="1:52" x14ac:dyDescent="0.3">
      <c r="A357" s="97" t="s">
        <v>1398</v>
      </c>
      <c r="B357" s="10" t="s">
        <v>919</v>
      </c>
      <c r="C357" s="39" t="s">
        <v>462</v>
      </c>
      <c r="D357" s="136" t="s">
        <v>496</v>
      </c>
      <c r="E357" s="51" t="s">
        <v>462</v>
      </c>
      <c r="F357" s="87">
        <f>IF(ISNUMBER(MCC_Table6[[#This Row],[SIZE]]), MCC_Table6[[#This Row],[SIZE]]/12, 0)</f>
        <v>1</v>
      </c>
      <c r="G357" s="51"/>
      <c r="H357" s="10"/>
      <c r="I357" s="10"/>
      <c r="J357" s="10"/>
      <c r="K357" s="96">
        <v>30</v>
      </c>
      <c r="L357" s="54">
        <v>125</v>
      </c>
      <c r="M357" s="96">
        <v>25</v>
      </c>
      <c r="N357" s="96"/>
      <c r="O357" s="53"/>
      <c r="P357" s="10">
        <f>_xlfn.NUMBERVALUE(LEFT(MCC_Table6[[#This Row],[BUCKET]],LEN(MCC_Table6[[#This Row],[BUCKET]])-1))</f>
        <v>7</v>
      </c>
      <c r="Q357" s="10" t="str">
        <f>RIGHT(MCC_Table6[[#This Row],[BUCKET]],1)</f>
        <v>E</v>
      </c>
      <c r="R357" s="10">
        <f>VLOOKUP(MCC_Table6[[#This Row],[START UNIT]],UnitMap[],2,FALSE)</f>
        <v>5</v>
      </c>
      <c r="S357" s="10" cm="1">
        <f t="array" ref="S35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57" s="10">
        <f>IF(ISNUMBER(MCC_Table6[[#This Row],[SIZE]]), MCC_Table6[[#This Row],[SIZE]]/6, 0)</f>
        <v>2</v>
      </c>
      <c r="U357" s="10">
        <f>MCC_Table6[[#This Row],[START INDEX]]+MCC_Table6[[#This Row],[UNITS USED]]-1</f>
        <v>6</v>
      </c>
      <c r="V357" s="111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</row>
    <row r="358" spans="1:52" x14ac:dyDescent="0.3">
      <c r="A358" s="97" t="s">
        <v>1398</v>
      </c>
      <c r="B358" s="51" t="s">
        <v>1121</v>
      </c>
      <c r="C358" s="39" t="s">
        <v>462</v>
      </c>
      <c r="D358" s="136" t="s">
        <v>496</v>
      </c>
      <c r="E358" s="51" t="s">
        <v>462</v>
      </c>
      <c r="F358" s="86">
        <f>IF(ISNUMBER(MCC_Table6[[#This Row],[SIZE]]), MCC_Table6[[#This Row],[SIZE]]/12, 0)</f>
        <v>1</v>
      </c>
      <c r="G358" s="10"/>
      <c r="H358" s="10"/>
      <c r="I358" s="10"/>
      <c r="J358" s="10"/>
      <c r="K358" s="54"/>
      <c r="L358" s="54"/>
      <c r="M358" s="54"/>
      <c r="N358" s="54"/>
      <c r="O358" s="53"/>
      <c r="P358" s="51">
        <f>_xlfn.NUMBERVALUE(LEFT(MCC_Table6[[#This Row],[BUCKET]],LEN(MCC_Table6[[#This Row],[BUCKET]])-1))</f>
        <v>7</v>
      </c>
      <c r="Q358" s="51" t="str">
        <f>RIGHT(MCC_Table6[[#This Row],[BUCKET]],1)</f>
        <v>G</v>
      </c>
      <c r="R358" s="51">
        <f>VLOOKUP(MCC_Table6[[#This Row],[START UNIT]],UnitMap[],2,FALSE)</f>
        <v>7</v>
      </c>
      <c r="S358" s="51" cm="1">
        <f t="array" ref="S35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58" s="51">
        <f>IF(ISNUMBER(MCC_Table6[[#This Row],[SIZE]]), MCC_Table6[[#This Row],[SIZE]]/6, 0)</f>
        <v>2</v>
      </c>
      <c r="U358" s="51">
        <f>MCC_Table6[[#This Row],[START INDEX]]+MCC_Table6[[#This Row],[UNITS USED]]-1</f>
        <v>8</v>
      </c>
      <c r="V358" s="12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</row>
    <row r="359" spans="1:52" x14ac:dyDescent="0.3">
      <c r="A359" s="97" t="s">
        <v>1398</v>
      </c>
      <c r="B359" s="51" t="s">
        <v>921</v>
      </c>
      <c r="C359" s="129" t="s">
        <v>1416</v>
      </c>
      <c r="D359" s="135" t="s">
        <v>951</v>
      </c>
      <c r="E359" s="130" t="s">
        <v>904</v>
      </c>
      <c r="F359" s="86">
        <f>IF(ISNUMBER(MCC_Table6[[#This Row],[SIZE]]), MCC_Table6[[#This Row],[SIZE]]/12, 0)</f>
        <v>2</v>
      </c>
      <c r="G359" s="51">
        <v>10</v>
      </c>
      <c r="H359" s="10">
        <v>10</v>
      </c>
      <c r="I359" s="10"/>
      <c r="J359" s="10"/>
      <c r="K359" s="96">
        <v>30</v>
      </c>
      <c r="L359" s="54">
        <v>125</v>
      </c>
      <c r="M359" s="96">
        <v>25</v>
      </c>
      <c r="N359" s="54" t="s">
        <v>911</v>
      </c>
      <c r="O359" s="53"/>
      <c r="P359" s="51">
        <f>_xlfn.NUMBERVALUE(LEFT(MCC_Table6[[#This Row],[BUCKET]],LEN(MCC_Table6[[#This Row],[BUCKET]])-1))</f>
        <v>7</v>
      </c>
      <c r="Q359" s="51" t="str">
        <f>RIGHT(MCC_Table6[[#This Row],[BUCKET]],1)</f>
        <v>J</v>
      </c>
      <c r="R359" s="51">
        <f>VLOOKUP(MCC_Table6[[#This Row],[START UNIT]],UnitMap[],2,FALSE)</f>
        <v>9</v>
      </c>
      <c r="S359" s="51" cm="1">
        <f t="array" ref="S35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59" s="51">
        <f>IF(ISNUMBER(MCC_Table6[[#This Row],[SIZE]]), MCC_Table6[[#This Row],[SIZE]]/6, 0)</f>
        <v>4</v>
      </c>
      <c r="U359" s="51">
        <f>MCC_Table6[[#This Row],[START INDEX]]+MCC_Table6[[#This Row],[UNITS USED]]-1</f>
        <v>12</v>
      </c>
      <c r="V359" s="12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</row>
    <row r="360" spans="1:52" x14ac:dyDescent="0.3">
      <c r="A360" s="97" t="s">
        <v>1398</v>
      </c>
      <c r="B360" s="51" t="s">
        <v>534</v>
      </c>
      <c r="C360" s="129" t="s">
        <v>1399</v>
      </c>
      <c r="D360" s="135" t="s">
        <v>1417</v>
      </c>
      <c r="E360" s="130" t="s">
        <v>904</v>
      </c>
      <c r="F360" s="86">
        <f>IF(ISNUMBER(MCC_Table6[[#This Row],[SIZE]]), MCC_Table6[[#This Row],[SIZE]]/12, 0)</f>
        <v>2.5</v>
      </c>
      <c r="G360" s="10">
        <v>15</v>
      </c>
      <c r="H360" s="10">
        <v>15</v>
      </c>
      <c r="I360" s="10"/>
      <c r="J360" s="10"/>
      <c r="K360" s="54">
        <v>60</v>
      </c>
      <c r="L360" s="54">
        <v>125</v>
      </c>
      <c r="M360" s="54">
        <v>40</v>
      </c>
      <c r="N360" s="54" t="s">
        <v>1024</v>
      </c>
      <c r="O360" s="53"/>
      <c r="P360" s="51">
        <f>_xlfn.NUMBERVALUE(LEFT(MCC_Table6[[#This Row],[BUCKET]],LEN(MCC_Table6[[#This Row],[BUCKET]])-1))</f>
        <v>8</v>
      </c>
      <c r="Q360" s="51" t="str">
        <f>RIGHT(MCC_Table6[[#This Row],[BUCKET]],1)</f>
        <v>A</v>
      </c>
      <c r="R360" s="51">
        <f>VLOOKUP(MCC_Table6[[#This Row],[START UNIT]],UnitMap[],2,FALSE)</f>
        <v>1</v>
      </c>
      <c r="S360" s="51" cm="1">
        <f t="array" ref="S36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30</v>
      </c>
      <c r="T360" s="51">
        <f>IF(ISNUMBER(MCC_Table6[[#This Row],[SIZE]]), MCC_Table6[[#This Row],[SIZE]]/6, 0)</f>
        <v>5</v>
      </c>
      <c r="U360" s="51">
        <f>MCC_Table6[[#This Row],[START INDEX]]+MCC_Table6[[#This Row],[UNITS USED]]-1</f>
        <v>5</v>
      </c>
      <c r="V360" s="120"/>
      <c r="W360" s="110"/>
      <c r="X360" s="110"/>
      <c r="Y360" s="110"/>
      <c r="Z360" s="110"/>
      <c r="AA360" s="110"/>
      <c r="AB360" s="110"/>
      <c r="AC360" s="110"/>
      <c r="AD360" s="110"/>
      <c r="AE360" s="110"/>
      <c r="AF360" s="110"/>
      <c r="AG360" s="11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</row>
    <row r="361" spans="1:52" x14ac:dyDescent="0.3">
      <c r="A361" s="97" t="s">
        <v>1398</v>
      </c>
      <c r="B361" s="51" t="s">
        <v>537</v>
      </c>
      <c r="C361" s="129" t="s">
        <v>1418</v>
      </c>
      <c r="D361" s="135" t="s">
        <v>1419</v>
      </c>
      <c r="E361" s="130" t="s">
        <v>904</v>
      </c>
      <c r="F361" s="86">
        <f>IF(ISNUMBER(MCC_Table6[[#This Row],[SIZE]]), MCC_Table6[[#This Row],[SIZE]]/12, 0)</f>
        <v>3.5</v>
      </c>
      <c r="G361" s="10">
        <v>40</v>
      </c>
      <c r="H361" s="10">
        <v>40</v>
      </c>
      <c r="I361" s="10"/>
      <c r="J361" s="10"/>
      <c r="K361" s="96">
        <v>125</v>
      </c>
      <c r="L361" s="54">
        <v>125</v>
      </c>
      <c r="M361" s="96">
        <v>100</v>
      </c>
      <c r="N361" s="54" t="s">
        <v>985</v>
      </c>
      <c r="O361" s="53"/>
      <c r="P361" s="51">
        <f>_xlfn.NUMBERVALUE(LEFT(MCC_Table6[[#This Row],[BUCKET]],LEN(MCC_Table6[[#This Row],[BUCKET]])-1))</f>
        <v>8</v>
      </c>
      <c r="Q361" s="51" t="str">
        <f>RIGHT(MCC_Table6[[#This Row],[BUCKET]],1)</f>
        <v>F</v>
      </c>
      <c r="R361" s="51">
        <f>VLOOKUP(MCC_Table6[[#This Row],[START UNIT]],UnitMap[],2,FALSE)</f>
        <v>6</v>
      </c>
      <c r="S361" s="51" cm="1">
        <f t="array" ref="S36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61" s="51">
        <f>IF(ISNUMBER(MCC_Table6[[#This Row],[SIZE]]), MCC_Table6[[#This Row],[SIZE]]/6, 0)</f>
        <v>7</v>
      </c>
      <c r="U361" s="51">
        <f>MCC_Table6[[#This Row],[START INDEX]]+MCC_Table6[[#This Row],[UNITS USED]]-1</f>
        <v>12</v>
      </c>
      <c r="V361" s="12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</row>
    <row r="362" spans="1:52" x14ac:dyDescent="0.3">
      <c r="A362" s="97" t="s">
        <v>1398</v>
      </c>
      <c r="B362" s="10" t="s">
        <v>541</v>
      </c>
      <c r="C362" s="39" t="s">
        <v>1420</v>
      </c>
      <c r="D362" s="141" t="s">
        <v>1421</v>
      </c>
      <c r="E362" s="51" t="s">
        <v>1056</v>
      </c>
      <c r="F362" s="87">
        <f>IF(ISNUMBER(MCC_Table6[[#This Row],[SIZE]]), MCC_Table6[[#This Row],[SIZE]]/12, 0)</f>
        <v>1.5</v>
      </c>
      <c r="G362" s="51">
        <v>3</v>
      </c>
      <c r="H362" s="10">
        <v>3</v>
      </c>
      <c r="I362" s="10"/>
      <c r="J362" s="10">
        <v>1</v>
      </c>
      <c r="K362" s="96">
        <v>15</v>
      </c>
      <c r="L362" s="54">
        <v>125</v>
      </c>
      <c r="M362" s="96" t="s">
        <v>303</v>
      </c>
      <c r="N362" s="54" t="s">
        <v>955</v>
      </c>
      <c r="O362" s="53"/>
      <c r="P362" s="10">
        <f>_xlfn.NUMBERVALUE(LEFT(MCC_Table6[[#This Row],[BUCKET]],LEN(MCC_Table6[[#This Row],[BUCKET]])-1))</f>
        <v>9</v>
      </c>
      <c r="Q362" s="10" t="str">
        <f>RIGHT(MCC_Table6[[#This Row],[BUCKET]],1)</f>
        <v>A</v>
      </c>
      <c r="R362" s="10">
        <f>VLOOKUP(MCC_Table6[[#This Row],[START UNIT]],UnitMap[],2,FALSE)</f>
        <v>1</v>
      </c>
      <c r="S362" s="10" cm="1">
        <f t="array" ref="S36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62" s="10">
        <f>IF(ISNUMBER(MCC_Table6[[#This Row],[SIZE]]), MCC_Table6[[#This Row],[SIZE]]/6, 0)</f>
        <v>3</v>
      </c>
      <c r="U362" s="10">
        <f>MCC_Table6[[#This Row],[START INDEX]]+MCC_Table6[[#This Row],[UNITS USED]]-1</f>
        <v>3</v>
      </c>
      <c r="V362" s="111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</row>
    <row r="363" spans="1:52" x14ac:dyDescent="0.3">
      <c r="A363" s="97" t="s">
        <v>1398</v>
      </c>
      <c r="B363" s="51" t="s">
        <v>1422</v>
      </c>
      <c r="C363" s="129" t="s">
        <v>1414</v>
      </c>
      <c r="D363" s="135" t="s">
        <v>1423</v>
      </c>
      <c r="E363" s="130" t="s">
        <v>904</v>
      </c>
      <c r="F363" s="86">
        <f>IF(ISNUMBER(MCC_Table6[[#This Row],[SIZE]]), MCC_Table6[[#This Row],[SIZE]]/12, 0)</f>
        <v>1.5</v>
      </c>
      <c r="G363" s="10">
        <v>2</v>
      </c>
      <c r="H363" s="10">
        <v>2</v>
      </c>
      <c r="I363" s="10"/>
      <c r="J363" s="10"/>
      <c r="K363" s="54">
        <v>15</v>
      </c>
      <c r="L363" s="54">
        <v>125</v>
      </c>
      <c r="M363" s="54">
        <v>6</v>
      </c>
      <c r="N363" s="54" t="s">
        <v>911</v>
      </c>
      <c r="O363" s="53"/>
      <c r="P363" s="51">
        <f>_xlfn.NUMBERVALUE(LEFT(MCC_Table6[[#This Row],[BUCKET]],LEN(MCC_Table6[[#This Row],[BUCKET]])-1))</f>
        <v>9</v>
      </c>
      <c r="Q363" s="51" t="str">
        <f>RIGHT(MCC_Table6[[#This Row],[BUCKET]],1)</f>
        <v>D</v>
      </c>
      <c r="R363" s="51">
        <f>VLOOKUP(MCC_Table6[[#This Row],[START UNIT]],UnitMap[],2,FALSE)</f>
        <v>4</v>
      </c>
      <c r="S363" s="51" cm="1">
        <f t="array" ref="S36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63" s="51">
        <f>IF(ISNUMBER(MCC_Table6[[#This Row],[SIZE]]), MCC_Table6[[#This Row],[SIZE]]/6, 0)</f>
        <v>3</v>
      </c>
      <c r="U363" s="51">
        <f>MCC_Table6[[#This Row],[START INDEX]]+MCC_Table6[[#This Row],[UNITS USED]]-1</f>
        <v>6</v>
      </c>
      <c r="V363" s="12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</row>
    <row r="364" spans="1:52" x14ac:dyDescent="0.3">
      <c r="A364" s="97" t="s">
        <v>1398</v>
      </c>
      <c r="B364" s="51" t="s">
        <v>1027</v>
      </c>
      <c r="C364" s="129" t="s">
        <v>1424</v>
      </c>
      <c r="D364" s="135" t="s">
        <v>1425</v>
      </c>
      <c r="E364" s="130" t="s">
        <v>904</v>
      </c>
      <c r="F364" s="86">
        <f>IF(ISNUMBER(MCC_Table6[[#This Row],[SIZE]]), MCC_Table6[[#This Row],[SIZE]]/12, 0)</f>
        <v>1.5</v>
      </c>
      <c r="G364" s="51">
        <v>5</v>
      </c>
      <c r="H364" s="10">
        <v>5</v>
      </c>
      <c r="I364" s="10"/>
      <c r="J364" s="10"/>
      <c r="K364" s="54">
        <v>20</v>
      </c>
      <c r="L364" s="54">
        <v>125</v>
      </c>
      <c r="M364" s="54">
        <v>12</v>
      </c>
      <c r="N364" s="54" t="s">
        <v>911</v>
      </c>
      <c r="O364" s="53"/>
      <c r="P364" s="51">
        <f>_xlfn.NUMBERVALUE(LEFT(MCC_Table6[[#This Row],[BUCKET]],LEN(MCC_Table6[[#This Row],[BUCKET]])-1))</f>
        <v>9</v>
      </c>
      <c r="Q364" s="51" t="str">
        <f>RIGHT(MCC_Table6[[#This Row],[BUCKET]],1)</f>
        <v>G</v>
      </c>
      <c r="R364" s="51">
        <f>VLOOKUP(MCC_Table6[[#This Row],[START UNIT]],UnitMap[],2,FALSE)</f>
        <v>7</v>
      </c>
      <c r="S364" s="51" cm="1">
        <f t="array" ref="S36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64" s="51">
        <f>IF(ISNUMBER(MCC_Table6[[#This Row],[SIZE]]), MCC_Table6[[#This Row],[SIZE]]/6, 0)</f>
        <v>3</v>
      </c>
      <c r="U364" s="51">
        <f>MCC_Table6[[#This Row],[START INDEX]]+MCC_Table6[[#This Row],[UNITS USED]]-1</f>
        <v>9</v>
      </c>
      <c r="V364" s="12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</row>
    <row r="365" spans="1:52" x14ac:dyDescent="0.3">
      <c r="A365" s="97" t="s">
        <v>1398</v>
      </c>
      <c r="B365" s="51" t="s">
        <v>1426</v>
      </c>
      <c r="C365" s="129" t="s">
        <v>1427</v>
      </c>
      <c r="D365" s="135" t="s">
        <v>1428</v>
      </c>
      <c r="E365" s="130" t="s">
        <v>904</v>
      </c>
      <c r="F365" s="86">
        <f>IF(ISNUMBER(MCC_Table6[[#This Row],[SIZE]]), MCC_Table6[[#This Row],[SIZE]]/12, 0)</f>
        <v>1.5</v>
      </c>
      <c r="G365" s="51">
        <v>5</v>
      </c>
      <c r="H365" s="10">
        <v>5</v>
      </c>
      <c r="I365" s="10"/>
      <c r="J365" s="10"/>
      <c r="K365" s="54">
        <v>20</v>
      </c>
      <c r="L365" s="54">
        <v>125</v>
      </c>
      <c r="M365" s="54">
        <v>12</v>
      </c>
      <c r="N365" s="54" t="s">
        <v>911</v>
      </c>
      <c r="O365" s="53"/>
      <c r="P365" s="51">
        <f>_xlfn.NUMBERVALUE(LEFT(MCC_Table6[[#This Row],[BUCKET]],LEN(MCC_Table6[[#This Row],[BUCKET]])-1))</f>
        <v>9</v>
      </c>
      <c r="Q365" s="51" t="str">
        <f>RIGHT(MCC_Table6[[#This Row],[BUCKET]],1)</f>
        <v>K</v>
      </c>
      <c r="R365" s="51">
        <f>VLOOKUP(MCC_Table6[[#This Row],[START UNIT]],UnitMap[],2,FALSE)</f>
        <v>10</v>
      </c>
      <c r="S365" s="51" cm="1">
        <f t="array" ref="S36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65" s="51">
        <f>IF(ISNUMBER(MCC_Table6[[#This Row],[SIZE]]), MCC_Table6[[#This Row],[SIZE]]/6, 0)</f>
        <v>3</v>
      </c>
      <c r="U365" s="51">
        <f>MCC_Table6[[#This Row],[START INDEX]]+MCC_Table6[[#This Row],[UNITS USED]]-1</f>
        <v>12</v>
      </c>
      <c r="V365" s="12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</row>
    <row r="366" spans="1:52" x14ac:dyDescent="0.3">
      <c r="A366" s="97" t="s">
        <v>1398</v>
      </c>
      <c r="B366" s="51" t="s">
        <v>550</v>
      </c>
      <c r="C366" s="39" t="s">
        <v>1429</v>
      </c>
      <c r="D366" s="135" t="s">
        <v>1430</v>
      </c>
      <c r="E366" s="51" t="s">
        <v>892</v>
      </c>
      <c r="F366" s="86">
        <f>IF(ISNUMBER(MCC_Table6[[#This Row],[SIZE]]), MCC_Table6[[#This Row],[SIZE]]/12, 0)</f>
        <v>1</v>
      </c>
      <c r="G366" s="10">
        <v>2</v>
      </c>
      <c r="H366" s="10">
        <v>2</v>
      </c>
      <c r="I366" s="10"/>
      <c r="J366" s="10">
        <v>1</v>
      </c>
      <c r="K366" s="54">
        <v>7</v>
      </c>
      <c r="L366" s="54">
        <v>125</v>
      </c>
      <c r="M366" s="54" t="s">
        <v>303</v>
      </c>
      <c r="N366" s="54" t="s">
        <v>955</v>
      </c>
      <c r="O366" s="53"/>
      <c r="P366" s="51">
        <f>_xlfn.NUMBERVALUE(LEFT(MCC_Table6[[#This Row],[BUCKET]],LEN(MCC_Table6[[#This Row],[BUCKET]])-1))</f>
        <v>10</v>
      </c>
      <c r="Q366" s="51" t="str">
        <f>RIGHT(MCC_Table6[[#This Row],[BUCKET]],1)</f>
        <v>A</v>
      </c>
      <c r="R366" s="51">
        <f>VLOOKUP(MCC_Table6[[#This Row],[START UNIT]],UnitMap[],2,FALSE)</f>
        <v>1</v>
      </c>
      <c r="S366" s="51" cm="1">
        <f t="array" ref="S36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66" s="51">
        <f>IF(ISNUMBER(MCC_Table6[[#This Row],[SIZE]]), MCC_Table6[[#This Row],[SIZE]]/6, 0)</f>
        <v>2</v>
      </c>
      <c r="U366" s="51">
        <f>MCC_Table6[[#This Row],[START INDEX]]+MCC_Table6[[#This Row],[UNITS USED]]-1</f>
        <v>2</v>
      </c>
      <c r="V366" s="12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</row>
    <row r="367" spans="1:52" x14ac:dyDescent="0.3">
      <c r="A367" s="97" t="s">
        <v>1398</v>
      </c>
      <c r="B367" s="10" t="s">
        <v>1431</v>
      </c>
      <c r="C367" s="39" t="s">
        <v>1432</v>
      </c>
      <c r="D367" s="141" t="s">
        <v>1421</v>
      </c>
      <c r="E367" s="51" t="s">
        <v>1056</v>
      </c>
      <c r="F367" s="87">
        <f>IF(ISNUMBER(MCC_Table6[[#This Row],[SIZE]]), MCC_Table6[[#This Row],[SIZE]]/12, 0)</f>
        <v>1.5</v>
      </c>
      <c r="G367" s="51">
        <v>3</v>
      </c>
      <c r="H367" s="10">
        <v>3</v>
      </c>
      <c r="I367" s="10"/>
      <c r="J367" s="10">
        <v>1</v>
      </c>
      <c r="K367" s="96">
        <v>15</v>
      </c>
      <c r="L367" s="54">
        <v>125</v>
      </c>
      <c r="M367" s="96" t="s">
        <v>303</v>
      </c>
      <c r="N367" s="54" t="s">
        <v>955</v>
      </c>
      <c r="O367" s="53"/>
      <c r="P367" s="10">
        <f>_xlfn.NUMBERVALUE(LEFT(MCC_Table6[[#This Row],[BUCKET]],LEN(MCC_Table6[[#This Row],[BUCKET]])-1))</f>
        <v>10</v>
      </c>
      <c r="Q367" s="10" t="str">
        <f>RIGHT(MCC_Table6[[#This Row],[BUCKET]],1)</f>
        <v>C</v>
      </c>
      <c r="R367" s="10">
        <f>VLOOKUP(MCC_Table6[[#This Row],[START UNIT]],UnitMap[],2,FALSE)</f>
        <v>3</v>
      </c>
      <c r="S367" s="10" cm="1">
        <f t="array" ref="S36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67" s="10">
        <f>IF(ISNUMBER(MCC_Table6[[#This Row],[SIZE]]), MCC_Table6[[#This Row],[SIZE]]/6, 0)</f>
        <v>3</v>
      </c>
      <c r="U367" s="10">
        <f>MCC_Table6[[#This Row],[START INDEX]]+MCC_Table6[[#This Row],[UNITS USED]]-1</f>
        <v>5</v>
      </c>
      <c r="V367" s="111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</row>
    <row r="368" spans="1:52" x14ac:dyDescent="0.3">
      <c r="A368" s="97" t="s">
        <v>1398</v>
      </c>
      <c r="B368" s="51" t="s">
        <v>937</v>
      </c>
      <c r="C368" s="39" t="s">
        <v>462</v>
      </c>
      <c r="D368" s="136" t="s">
        <v>461</v>
      </c>
      <c r="E368" s="51" t="s">
        <v>462</v>
      </c>
      <c r="F368" s="86">
        <f>IF(ISNUMBER(MCC_Table6[[#This Row],[SIZE]]), MCC_Table6[[#This Row],[SIZE]]/12, 0)</f>
        <v>0.5</v>
      </c>
      <c r="G368" s="10"/>
      <c r="H368" s="10"/>
      <c r="I368" s="10"/>
      <c r="J368" s="10"/>
      <c r="K368" s="54"/>
      <c r="L368" s="54"/>
      <c r="M368" s="54"/>
      <c r="N368" s="54"/>
      <c r="O368" s="53"/>
      <c r="P368" s="51">
        <f>_xlfn.NUMBERVALUE(LEFT(MCC_Table6[[#This Row],[BUCKET]],LEN(MCC_Table6[[#This Row],[BUCKET]])-1))</f>
        <v>10</v>
      </c>
      <c r="Q368" s="51" t="str">
        <f>RIGHT(MCC_Table6[[#This Row],[BUCKET]],1)</f>
        <v>F</v>
      </c>
      <c r="R368" s="51">
        <f>VLOOKUP(MCC_Table6[[#This Row],[START UNIT]],UnitMap[],2,FALSE)</f>
        <v>6</v>
      </c>
      <c r="S368" s="51" cm="1">
        <f t="array" ref="S36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6</v>
      </c>
      <c r="T368" s="51">
        <f>IF(ISNUMBER(MCC_Table6[[#This Row],[SIZE]]), MCC_Table6[[#This Row],[SIZE]]/6, 0)</f>
        <v>1</v>
      </c>
      <c r="U368" s="51">
        <f>MCC_Table6[[#This Row],[START INDEX]]+MCC_Table6[[#This Row],[UNITS USED]]-1</f>
        <v>6</v>
      </c>
      <c r="V368" s="12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</row>
    <row r="369" spans="1:52" x14ac:dyDescent="0.3">
      <c r="A369" s="97" t="s">
        <v>1398</v>
      </c>
      <c r="B369" s="51" t="s">
        <v>1433</v>
      </c>
      <c r="C369" s="39" t="s">
        <v>462</v>
      </c>
      <c r="D369" s="136" t="s">
        <v>496</v>
      </c>
      <c r="E369" s="51" t="s">
        <v>462</v>
      </c>
      <c r="F369" s="86">
        <f>IF(ISNUMBER(MCC_Table6[[#This Row],[SIZE]]), MCC_Table6[[#This Row],[SIZE]]/12, 0)</f>
        <v>1</v>
      </c>
      <c r="G369" s="10"/>
      <c r="H369" s="10"/>
      <c r="I369" s="10"/>
      <c r="J369" s="10"/>
      <c r="K369" s="54"/>
      <c r="L369" s="54"/>
      <c r="M369" s="54"/>
      <c r="N369" s="54"/>
      <c r="O369" s="53"/>
      <c r="P369" s="51">
        <f>_xlfn.NUMBERVALUE(LEFT(MCC_Table6[[#This Row],[BUCKET]],LEN(MCC_Table6[[#This Row],[BUCKET]])-1))</f>
        <v>10</v>
      </c>
      <c r="Q369" s="51" t="str">
        <f>RIGHT(MCC_Table6[[#This Row],[BUCKET]],1)</f>
        <v>G</v>
      </c>
      <c r="R369" s="51">
        <f>VLOOKUP(MCC_Table6[[#This Row],[START UNIT]],UnitMap[],2,FALSE)</f>
        <v>7</v>
      </c>
      <c r="S369" s="51" cm="1">
        <f t="array" ref="S36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69" s="51">
        <f>IF(ISNUMBER(MCC_Table6[[#This Row],[SIZE]]), MCC_Table6[[#This Row],[SIZE]]/6, 0)</f>
        <v>2</v>
      </c>
      <c r="U369" s="51">
        <f>MCC_Table6[[#This Row],[START INDEX]]+MCC_Table6[[#This Row],[UNITS USED]]-1</f>
        <v>8</v>
      </c>
      <c r="V369" s="12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</row>
    <row r="370" spans="1:52" x14ac:dyDescent="0.3">
      <c r="A370" s="97" t="s">
        <v>1398</v>
      </c>
      <c r="B370" s="51" t="s">
        <v>556</v>
      </c>
      <c r="C370" s="39" t="s">
        <v>462</v>
      </c>
      <c r="D370" s="136" t="s">
        <v>496</v>
      </c>
      <c r="E370" s="51" t="s">
        <v>462</v>
      </c>
      <c r="F370" s="86">
        <f>IF(ISNUMBER(MCC_Table6[[#This Row],[SIZE]]), MCC_Table6[[#This Row],[SIZE]]/12, 0)</f>
        <v>1</v>
      </c>
      <c r="G370" s="10"/>
      <c r="H370" s="10"/>
      <c r="I370" s="10"/>
      <c r="J370" s="10"/>
      <c r="K370" s="54"/>
      <c r="L370" s="54"/>
      <c r="M370" s="54"/>
      <c r="N370" s="54"/>
      <c r="O370" s="53"/>
      <c r="P370" s="51">
        <f>_xlfn.NUMBERVALUE(LEFT(MCC_Table6[[#This Row],[BUCKET]],LEN(MCC_Table6[[#This Row],[BUCKET]])-1))</f>
        <v>10</v>
      </c>
      <c r="Q370" s="51" t="str">
        <f>RIGHT(MCC_Table6[[#This Row],[BUCKET]],1)</f>
        <v>J</v>
      </c>
      <c r="R370" s="51">
        <f>VLOOKUP(MCC_Table6[[#This Row],[START UNIT]],UnitMap[],2,FALSE)</f>
        <v>9</v>
      </c>
      <c r="S370" s="51" cm="1">
        <f t="array" ref="S37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70" s="51">
        <f>IF(ISNUMBER(MCC_Table6[[#This Row],[SIZE]]), MCC_Table6[[#This Row],[SIZE]]/6, 0)</f>
        <v>2</v>
      </c>
      <c r="U370" s="51">
        <f>MCC_Table6[[#This Row],[START INDEX]]+MCC_Table6[[#This Row],[UNITS USED]]-1</f>
        <v>10</v>
      </c>
      <c r="V370" s="12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</row>
    <row r="371" spans="1:52" x14ac:dyDescent="0.3">
      <c r="A371" s="97" t="s">
        <v>1398</v>
      </c>
      <c r="B371" s="51" t="s">
        <v>1034</v>
      </c>
      <c r="C371" s="39" t="s">
        <v>462</v>
      </c>
      <c r="D371" s="136" t="s">
        <v>496</v>
      </c>
      <c r="E371" s="51" t="s">
        <v>462</v>
      </c>
      <c r="F371" s="86">
        <f>IF(ISNUMBER(MCC_Table6[[#This Row],[SIZE]]), MCC_Table6[[#This Row],[SIZE]]/12, 0)</f>
        <v>1</v>
      </c>
      <c r="G371" s="10"/>
      <c r="H371" s="10"/>
      <c r="I371" s="10"/>
      <c r="J371" s="10"/>
      <c r="K371" s="54"/>
      <c r="L371" s="54"/>
      <c r="M371" s="54"/>
      <c r="N371" s="54"/>
      <c r="O371" s="53"/>
      <c r="P371" s="51">
        <f>_xlfn.NUMBERVALUE(LEFT(MCC_Table6[[#This Row],[BUCKET]],LEN(MCC_Table6[[#This Row],[BUCKET]])-1))</f>
        <v>10</v>
      </c>
      <c r="Q371" s="51" t="str">
        <f>RIGHT(MCC_Table6[[#This Row],[BUCKET]],1)</f>
        <v>L</v>
      </c>
      <c r="R371" s="51">
        <f>VLOOKUP(MCC_Table6[[#This Row],[START UNIT]],UnitMap[],2,FALSE)</f>
        <v>11</v>
      </c>
      <c r="S371" s="51" cm="1">
        <f t="array" ref="S37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71" s="51">
        <f>IF(ISNUMBER(MCC_Table6[[#This Row],[SIZE]]), MCC_Table6[[#This Row],[SIZE]]/6, 0)</f>
        <v>2</v>
      </c>
      <c r="U371" s="51">
        <f>MCC_Table6[[#This Row],[START INDEX]]+MCC_Table6[[#This Row],[UNITS USED]]-1</f>
        <v>12</v>
      </c>
      <c r="V371" s="12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</row>
    <row r="372" spans="1:52" x14ac:dyDescent="0.3">
      <c r="A372" s="97" t="s">
        <v>1398</v>
      </c>
      <c r="B372" s="51" t="s">
        <v>559</v>
      </c>
      <c r="C372" s="39" t="s">
        <v>1434</v>
      </c>
      <c r="D372" s="136" t="s">
        <v>992</v>
      </c>
      <c r="E372" s="39" t="s">
        <v>993</v>
      </c>
      <c r="F372" s="86">
        <f>IF(ISNUMBER(MCC_Table6[[#This Row],[SIZE]]), MCC_Table6[[#This Row],[SIZE]]/12, 0)</f>
        <v>1</v>
      </c>
      <c r="G372" s="10"/>
      <c r="H372" s="10"/>
      <c r="I372" s="10"/>
      <c r="J372" s="10"/>
      <c r="K372" s="96"/>
      <c r="L372" s="54"/>
      <c r="M372" s="96"/>
      <c r="N372" s="96"/>
      <c r="O372" s="53"/>
      <c r="P372" s="51">
        <f>_xlfn.NUMBERVALUE(LEFT(MCC_Table6[[#This Row],[BUCKET]],LEN(MCC_Table6[[#This Row],[BUCKET]])-1))</f>
        <v>11</v>
      </c>
      <c r="Q372" s="51" t="str">
        <f>RIGHT(MCC_Table6[[#This Row],[BUCKET]],1)</f>
        <v>A</v>
      </c>
      <c r="R372" s="51">
        <f>VLOOKUP(MCC_Table6[[#This Row],[START UNIT]],UnitMap[],2,FALSE)</f>
        <v>1</v>
      </c>
      <c r="S372" s="51" cm="1">
        <f t="array" ref="S37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72" s="51">
        <f>IF(ISNUMBER(MCC_Table6[[#This Row],[SIZE]]), MCC_Table6[[#This Row],[SIZE]]/6, 0)</f>
        <v>2</v>
      </c>
      <c r="U372" s="51">
        <f>MCC_Table6[[#This Row],[START INDEX]]+MCC_Table6[[#This Row],[UNITS USED]]-1</f>
        <v>2</v>
      </c>
      <c r="V372" s="115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</row>
    <row r="373" spans="1:52" ht="13.95" customHeight="1" x14ac:dyDescent="0.3">
      <c r="A373" s="97" t="s">
        <v>1398</v>
      </c>
      <c r="B373" s="51" t="s">
        <v>1370</v>
      </c>
      <c r="C373" s="129" t="s">
        <v>1435</v>
      </c>
      <c r="D373" s="135" t="s">
        <v>1436</v>
      </c>
      <c r="E373" s="130" t="s">
        <v>904</v>
      </c>
      <c r="F373" s="86">
        <f>IF(ISNUMBER(MCC_Table6[[#This Row],[SIZE]]), MCC_Table6[[#This Row],[SIZE]]/12, 0)</f>
        <v>1.5</v>
      </c>
      <c r="G373" s="51">
        <v>5</v>
      </c>
      <c r="H373" s="10">
        <v>5</v>
      </c>
      <c r="I373" s="10"/>
      <c r="J373" s="10"/>
      <c r="K373" s="54">
        <v>20</v>
      </c>
      <c r="L373" s="54">
        <v>125</v>
      </c>
      <c r="M373" s="54">
        <v>12</v>
      </c>
      <c r="N373" s="54" t="s">
        <v>911</v>
      </c>
      <c r="O373" s="53"/>
      <c r="P373" s="51">
        <f>_xlfn.NUMBERVALUE(LEFT(MCC_Table6[[#This Row],[BUCKET]],LEN(MCC_Table6[[#This Row],[BUCKET]])-1))</f>
        <v>11</v>
      </c>
      <c r="Q373" s="51" t="str">
        <f>RIGHT(MCC_Table6[[#This Row],[BUCKET]],1)</f>
        <v>C</v>
      </c>
      <c r="R373" s="51">
        <f>VLOOKUP(MCC_Table6[[#This Row],[START UNIT]],UnitMap[],2,FALSE)</f>
        <v>3</v>
      </c>
      <c r="S373" s="51" cm="1">
        <f t="array" ref="S37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73" s="51">
        <f>IF(ISNUMBER(MCC_Table6[[#This Row],[SIZE]]), MCC_Table6[[#This Row],[SIZE]]/6, 0)</f>
        <v>3</v>
      </c>
      <c r="U373" s="51">
        <f>MCC_Table6[[#This Row],[START INDEX]]+MCC_Table6[[#This Row],[UNITS USED]]-1</f>
        <v>5</v>
      </c>
      <c r="V373" s="12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</row>
    <row r="374" spans="1:52" x14ac:dyDescent="0.3">
      <c r="A374" s="97" t="s">
        <v>1398</v>
      </c>
      <c r="B374" s="51" t="s">
        <v>943</v>
      </c>
      <c r="C374" s="129" t="s">
        <v>1437</v>
      </c>
      <c r="D374" s="135" t="s">
        <v>1438</v>
      </c>
      <c r="E374" s="130" t="s">
        <v>904</v>
      </c>
      <c r="F374" s="86">
        <f>IF(ISNUMBER(MCC_Table6[[#This Row],[SIZE]]), MCC_Table6[[#This Row],[SIZE]]/12, 0)</f>
        <v>1.5</v>
      </c>
      <c r="G374" s="51">
        <v>5</v>
      </c>
      <c r="H374" s="10">
        <v>5</v>
      </c>
      <c r="I374" s="10"/>
      <c r="J374" s="10"/>
      <c r="K374" s="54">
        <v>20</v>
      </c>
      <c r="L374" s="54">
        <v>125</v>
      </c>
      <c r="M374" s="54">
        <v>12</v>
      </c>
      <c r="N374" s="54" t="s">
        <v>911</v>
      </c>
      <c r="O374" s="53"/>
      <c r="P374" s="51">
        <f>_xlfn.NUMBERVALUE(LEFT(MCC_Table6[[#This Row],[BUCKET]],LEN(MCC_Table6[[#This Row],[BUCKET]])-1))</f>
        <v>11</v>
      </c>
      <c r="Q374" s="51" t="str">
        <f>RIGHT(MCC_Table6[[#This Row],[BUCKET]],1)</f>
        <v>F</v>
      </c>
      <c r="R374" s="51">
        <f>VLOOKUP(MCC_Table6[[#This Row],[START UNIT]],UnitMap[],2,FALSE)</f>
        <v>6</v>
      </c>
      <c r="S374" s="51" cm="1">
        <f t="array" ref="S37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74" s="51">
        <f>IF(ISNUMBER(MCC_Table6[[#This Row],[SIZE]]), MCC_Table6[[#This Row],[SIZE]]/6, 0)</f>
        <v>3</v>
      </c>
      <c r="U374" s="51">
        <f>MCC_Table6[[#This Row],[START INDEX]]+MCC_Table6[[#This Row],[UNITS USED]]-1</f>
        <v>8</v>
      </c>
      <c r="V374" s="12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</row>
    <row r="375" spans="1:52" x14ac:dyDescent="0.3">
      <c r="A375" s="97" t="s">
        <v>1398</v>
      </c>
      <c r="B375" s="51" t="s">
        <v>1439</v>
      </c>
      <c r="C375" s="129" t="s">
        <v>1440</v>
      </c>
      <c r="D375" s="135" t="s">
        <v>1441</v>
      </c>
      <c r="E375" s="51" t="s">
        <v>904</v>
      </c>
      <c r="F375" s="86">
        <f>IF(ISNUMBER(MCC_Table6[[#This Row],[SIZE]]), MCC_Table6[[#This Row],[SIZE]]/12, 0)</f>
        <v>2</v>
      </c>
      <c r="G375" s="10">
        <v>7.5</v>
      </c>
      <c r="H375" s="10">
        <v>7.5</v>
      </c>
      <c r="I375" s="10"/>
      <c r="J375" s="10"/>
      <c r="K375" s="54">
        <v>30</v>
      </c>
      <c r="L375" s="54">
        <v>125</v>
      </c>
      <c r="M375" s="54">
        <v>25</v>
      </c>
      <c r="N375" s="54" t="s">
        <v>911</v>
      </c>
      <c r="O375" s="53"/>
      <c r="P375" s="51">
        <f>_xlfn.NUMBERVALUE(LEFT(MCC_Table6[[#This Row],[BUCKET]],LEN(MCC_Table6[[#This Row],[BUCKET]])-1))</f>
        <v>11</v>
      </c>
      <c r="Q375" s="51" t="str">
        <f>RIGHT(MCC_Table6[[#This Row],[BUCKET]],1)</f>
        <v>J</v>
      </c>
      <c r="R375" s="51">
        <f>VLOOKUP(MCC_Table6[[#This Row],[START UNIT]],UnitMap[],2,FALSE)</f>
        <v>9</v>
      </c>
      <c r="S375" s="51" cm="1">
        <f t="array" ref="S37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24</v>
      </c>
      <c r="T375" s="51">
        <f>IF(ISNUMBER(MCC_Table6[[#This Row],[SIZE]]), MCC_Table6[[#This Row],[SIZE]]/6, 0)</f>
        <v>4</v>
      </c>
      <c r="U375" s="51">
        <f>MCC_Table6[[#This Row],[START INDEX]]+MCC_Table6[[#This Row],[UNITS USED]]-1</f>
        <v>12</v>
      </c>
      <c r="V375" s="12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</row>
    <row r="376" spans="1:52" x14ac:dyDescent="0.3">
      <c r="A376" s="97" t="s">
        <v>1398</v>
      </c>
      <c r="B376" s="51" t="s">
        <v>565</v>
      </c>
      <c r="C376" s="39" t="s">
        <v>1442</v>
      </c>
      <c r="D376" s="135" t="s">
        <v>1443</v>
      </c>
      <c r="E376" s="51" t="s">
        <v>892</v>
      </c>
      <c r="F376" s="86">
        <f>IF(ISNUMBER(MCC_Table6[[#This Row],[SIZE]]), MCC_Table6[[#This Row],[SIZE]]/12, 0)</f>
        <v>1</v>
      </c>
      <c r="G376" s="10">
        <v>10</v>
      </c>
      <c r="H376" s="10">
        <v>10</v>
      </c>
      <c r="I376" s="10"/>
      <c r="J376" s="10">
        <v>1</v>
      </c>
      <c r="K376" s="54">
        <v>30</v>
      </c>
      <c r="L376" s="54">
        <v>125</v>
      </c>
      <c r="M376" s="54" t="s">
        <v>303</v>
      </c>
      <c r="N376" s="54" t="s">
        <v>955</v>
      </c>
      <c r="O376" s="53"/>
      <c r="P376" s="51">
        <f>_xlfn.NUMBERVALUE(LEFT(MCC_Table6[[#This Row],[BUCKET]],LEN(MCC_Table6[[#This Row],[BUCKET]])-1))</f>
        <v>12</v>
      </c>
      <c r="Q376" s="51" t="str">
        <f>RIGHT(MCC_Table6[[#This Row],[BUCKET]],1)</f>
        <v>A</v>
      </c>
      <c r="R376" s="51">
        <f>VLOOKUP(MCC_Table6[[#This Row],[START UNIT]],UnitMap[],2,FALSE)</f>
        <v>1</v>
      </c>
      <c r="S376" s="51" cm="1">
        <f t="array" ref="S37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76" s="51">
        <f>IF(ISNUMBER(MCC_Table6[[#This Row],[SIZE]]), MCC_Table6[[#This Row],[SIZE]]/6, 0)</f>
        <v>2</v>
      </c>
      <c r="U376" s="51">
        <f>MCC_Table6[[#This Row],[START INDEX]]+MCC_Table6[[#This Row],[UNITS USED]]-1</f>
        <v>2</v>
      </c>
      <c r="V376" s="12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</row>
    <row r="377" spans="1:52" x14ac:dyDescent="0.3">
      <c r="A377" s="97" t="s">
        <v>1398</v>
      </c>
      <c r="B377" s="51" t="s">
        <v>1043</v>
      </c>
      <c r="C377" s="129" t="s">
        <v>1444</v>
      </c>
      <c r="D377" s="135" t="s">
        <v>1445</v>
      </c>
      <c r="E377" s="130" t="s">
        <v>1056</v>
      </c>
      <c r="F377" s="86">
        <f>IF(ISNUMBER(MCC_Table6[[#This Row],[SIZE]]), MCC_Table6[[#This Row],[SIZE]]/12, 0)</f>
        <v>1.5</v>
      </c>
      <c r="G377" s="10">
        <v>1</v>
      </c>
      <c r="H377" s="10">
        <v>1</v>
      </c>
      <c r="I377" s="10"/>
      <c r="J377" s="10"/>
      <c r="K377" s="54">
        <v>3</v>
      </c>
      <c r="L377" s="54">
        <v>125</v>
      </c>
      <c r="M377" s="54" t="s">
        <v>303</v>
      </c>
      <c r="N377" s="54" t="s">
        <v>955</v>
      </c>
      <c r="O377" s="53"/>
      <c r="P377" s="51">
        <f>_xlfn.NUMBERVALUE(LEFT(MCC_Table6[[#This Row],[BUCKET]],LEN(MCC_Table6[[#This Row],[BUCKET]])-1))</f>
        <v>12</v>
      </c>
      <c r="Q377" s="51" t="str">
        <f>RIGHT(MCC_Table6[[#This Row],[BUCKET]],1)</f>
        <v>C</v>
      </c>
      <c r="R377" s="51">
        <f>VLOOKUP(MCC_Table6[[#This Row],[START UNIT]],UnitMap[],2,FALSE)</f>
        <v>3</v>
      </c>
      <c r="S377" s="51" cm="1">
        <f t="array" ref="S37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18</v>
      </c>
      <c r="T377" s="51">
        <f>IF(ISNUMBER(MCC_Table6[[#This Row],[SIZE]]), MCC_Table6[[#This Row],[SIZE]]/6, 0)</f>
        <v>3</v>
      </c>
      <c r="U377" s="51">
        <f>MCC_Table6[[#This Row],[START INDEX]]+MCC_Table6[[#This Row],[UNITS USED]]-1</f>
        <v>5</v>
      </c>
      <c r="V377" s="120"/>
      <c r="W377" s="110"/>
      <c r="X377" s="110"/>
      <c r="Y377" s="110"/>
      <c r="Z377" s="110"/>
      <c r="AA377" s="110"/>
      <c r="AB377" s="110"/>
      <c r="AC377" s="110"/>
      <c r="AD377" s="110"/>
      <c r="AE377" s="110"/>
      <c r="AF377" s="110"/>
      <c r="AG377" s="11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</row>
    <row r="378" spans="1:52" x14ac:dyDescent="0.3">
      <c r="A378" s="97" t="s">
        <v>1398</v>
      </c>
      <c r="B378" s="51" t="s">
        <v>566</v>
      </c>
      <c r="C378" s="129" t="s">
        <v>1446</v>
      </c>
      <c r="D378" s="135" t="s">
        <v>1447</v>
      </c>
      <c r="E378" s="130" t="s">
        <v>904</v>
      </c>
      <c r="F378" s="86">
        <f>IF(ISNUMBER(MCC_Table6[[#This Row],[SIZE]]), MCC_Table6[[#This Row],[SIZE]]/12, 0)</f>
        <v>3.5</v>
      </c>
      <c r="G378" s="10">
        <v>40</v>
      </c>
      <c r="H378" s="10">
        <v>40</v>
      </c>
      <c r="I378" s="10"/>
      <c r="J378" s="10"/>
      <c r="K378" s="96">
        <v>125</v>
      </c>
      <c r="L378" s="54">
        <v>125</v>
      </c>
      <c r="M378" s="96">
        <v>100</v>
      </c>
      <c r="N378" s="54" t="s">
        <v>985</v>
      </c>
      <c r="O378" s="53"/>
      <c r="P378" s="51">
        <f>_xlfn.NUMBERVALUE(LEFT(MCC_Table6[[#This Row],[BUCKET]],LEN(MCC_Table6[[#This Row],[BUCKET]])-1))</f>
        <v>12</v>
      </c>
      <c r="Q378" s="51" t="str">
        <f>RIGHT(MCC_Table6[[#This Row],[BUCKET]],1)</f>
        <v>F</v>
      </c>
      <c r="R378" s="51">
        <f>VLOOKUP(MCC_Table6[[#This Row],[START UNIT]],UnitMap[],2,FALSE)</f>
        <v>6</v>
      </c>
      <c r="S378" s="51" cm="1">
        <f t="array" ref="S37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42</v>
      </c>
      <c r="T378" s="51">
        <f>IF(ISNUMBER(MCC_Table6[[#This Row],[SIZE]]), MCC_Table6[[#This Row],[SIZE]]/6, 0)</f>
        <v>7</v>
      </c>
      <c r="U378" s="51">
        <f>MCC_Table6[[#This Row],[START INDEX]]+MCC_Table6[[#This Row],[UNITS USED]]-1</f>
        <v>12</v>
      </c>
      <c r="V378" s="12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</row>
    <row r="379" spans="1:52" x14ac:dyDescent="0.3">
      <c r="A379" s="97" t="s">
        <v>1398</v>
      </c>
      <c r="B379" s="51" t="s">
        <v>953</v>
      </c>
      <c r="C379" s="39" t="s">
        <v>462</v>
      </c>
      <c r="D379" s="136" t="s">
        <v>496</v>
      </c>
      <c r="E379" s="51" t="s">
        <v>462</v>
      </c>
      <c r="F379" s="86">
        <f>IF(ISNUMBER(MCC_Table6[[#This Row],[SIZE]]), MCC_Table6[[#This Row],[SIZE]]/12, 0)</f>
        <v>1</v>
      </c>
      <c r="G379" s="10"/>
      <c r="H379" s="10"/>
      <c r="I379" s="10"/>
      <c r="J379" s="10"/>
      <c r="K379" s="54"/>
      <c r="L379" s="54"/>
      <c r="M379" s="54"/>
      <c r="N379" s="54"/>
      <c r="O379" s="53"/>
      <c r="P379" s="51">
        <f>_xlfn.NUMBERVALUE(LEFT(MCC_Table6[[#This Row],[BUCKET]],LEN(MCC_Table6[[#This Row],[BUCKET]])-1))</f>
        <v>13</v>
      </c>
      <c r="Q379" s="51" t="str">
        <f>RIGHT(MCC_Table6[[#This Row],[BUCKET]],1)</f>
        <v>A</v>
      </c>
      <c r="R379" s="51">
        <f>VLOOKUP(MCC_Table6[[#This Row],[START UNIT]],UnitMap[],2,FALSE)</f>
        <v>1</v>
      </c>
      <c r="S379" s="51" cm="1">
        <f t="array" ref="S37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79" s="51">
        <f>IF(ISNUMBER(MCC_Table6[[#This Row],[SIZE]]), MCC_Table6[[#This Row],[SIZE]]/6, 0)</f>
        <v>2</v>
      </c>
      <c r="U379" s="51">
        <f>MCC_Table6[[#This Row],[START INDEX]]+MCC_Table6[[#This Row],[UNITS USED]]-1</f>
        <v>2</v>
      </c>
      <c r="V379" s="12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</row>
    <row r="380" spans="1:52" x14ac:dyDescent="0.3">
      <c r="A380" s="97" t="s">
        <v>1398</v>
      </c>
      <c r="B380" s="51" t="s">
        <v>956</v>
      </c>
      <c r="C380" s="39" t="s">
        <v>462</v>
      </c>
      <c r="D380" s="136" t="s">
        <v>496</v>
      </c>
      <c r="E380" s="51" t="s">
        <v>462</v>
      </c>
      <c r="F380" s="86">
        <f>IF(ISNUMBER(MCC_Table6[[#This Row],[SIZE]]), MCC_Table6[[#This Row],[SIZE]]/12, 0)</f>
        <v>1</v>
      </c>
      <c r="G380" s="10"/>
      <c r="H380" s="10"/>
      <c r="I380" s="10"/>
      <c r="J380" s="10"/>
      <c r="K380" s="54"/>
      <c r="L380" s="54"/>
      <c r="M380" s="54"/>
      <c r="N380" s="54"/>
      <c r="O380" s="53"/>
      <c r="P380" s="51">
        <f>_xlfn.NUMBERVALUE(LEFT(MCC_Table6[[#This Row],[BUCKET]],LEN(MCC_Table6[[#This Row],[BUCKET]])-1))</f>
        <v>13</v>
      </c>
      <c r="Q380" s="51" t="str">
        <f>RIGHT(MCC_Table6[[#This Row],[BUCKET]],1)</f>
        <v>C</v>
      </c>
      <c r="R380" s="51">
        <f>VLOOKUP(MCC_Table6[[#This Row],[START UNIT]],UnitMap[],2,FALSE)</f>
        <v>3</v>
      </c>
      <c r="S380" s="51" cm="1">
        <f t="array" ref="S38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80" s="51">
        <f>IF(ISNUMBER(MCC_Table6[[#This Row],[SIZE]]), MCC_Table6[[#This Row],[SIZE]]/6, 0)</f>
        <v>2</v>
      </c>
      <c r="U380" s="51">
        <f>MCC_Table6[[#This Row],[START INDEX]]+MCC_Table6[[#This Row],[UNITS USED]]-1</f>
        <v>4</v>
      </c>
      <c r="V380" s="12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</row>
    <row r="381" spans="1:52" x14ac:dyDescent="0.3">
      <c r="A381" s="97" t="s">
        <v>1398</v>
      </c>
      <c r="B381" s="51" t="s">
        <v>1216</v>
      </c>
      <c r="C381" s="39" t="s">
        <v>462</v>
      </c>
      <c r="D381" s="136" t="s">
        <v>496</v>
      </c>
      <c r="E381" s="51" t="s">
        <v>462</v>
      </c>
      <c r="F381" s="86">
        <f>IF(ISNUMBER(MCC_Table6[[#This Row],[SIZE]]), MCC_Table6[[#This Row],[SIZE]]/12, 0)</f>
        <v>1</v>
      </c>
      <c r="G381" s="10"/>
      <c r="H381" s="10"/>
      <c r="I381" s="10"/>
      <c r="J381" s="10"/>
      <c r="K381" s="54"/>
      <c r="L381" s="54"/>
      <c r="M381" s="54"/>
      <c r="N381" s="54"/>
      <c r="O381" s="53"/>
      <c r="P381" s="51">
        <f>_xlfn.NUMBERVALUE(LEFT(MCC_Table6[[#This Row],[BUCKET]],LEN(MCC_Table6[[#This Row],[BUCKET]])-1))</f>
        <v>13</v>
      </c>
      <c r="Q381" s="51" t="str">
        <f>RIGHT(MCC_Table6[[#This Row],[BUCKET]],1)</f>
        <v>E</v>
      </c>
      <c r="R381" s="51">
        <f>VLOOKUP(MCC_Table6[[#This Row],[START UNIT]],UnitMap[],2,FALSE)</f>
        <v>5</v>
      </c>
      <c r="S381" s="51" cm="1">
        <f t="array" ref="S38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81" s="51">
        <f>IF(ISNUMBER(MCC_Table6[[#This Row],[SIZE]]), MCC_Table6[[#This Row],[SIZE]]/6, 0)</f>
        <v>2</v>
      </c>
      <c r="U381" s="51">
        <f>MCC_Table6[[#This Row],[START INDEX]]+MCC_Table6[[#This Row],[UNITS USED]]-1</f>
        <v>6</v>
      </c>
      <c r="V381" s="12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</row>
    <row r="382" spans="1:52" x14ac:dyDescent="0.3">
      <c r="A382" s="97" t="s">
        <v>1398</v>
      </c>
      <c r="B382" s="51" t="s">
        <v>1134</v>
      </c>
      <c r="C382" s="39" t="s">
        <v>462</v>
      </c>
      <c r="D382" s="136" t="s">
        <v>496</v>
      </c>
      <c r="E382" s="51" t="s">
        <v>462</v>
      </c>
      <c r="F382" s="86">
        <f>IF(ISNUMBER(MCC_Table6[[#This Row],[SIZE]]), MCC_Table6[[#This Row],[SIZE]]/12, 0)</f>
        <v>1</v>
      </c>
      <c r="G382" s="10"/>
      <c r="H382" s="10"/>
      <c r="I382" s="10"/>
      <c r="J382" s="10"/>
      <c r="K382" s="54"/>
      <c r="L382" s="54"/>
      <c r="M382" s="54"/>
      <c r="N382" s="54"/>
      <c r="O382" s="53"/>
      <c r="P382" s="51">
        <f>_xlfn.NUMBERVALUE(LEFT(MCC_Table6[[#This Row],[BUCKET]],LEN(MCC_Table6[[#This Row],[BUCKET]])-1))</f>
        <v>13</v>
      </c>
      <c r="Q382" s="51" t="str">
        <f>RIGHT(MCC_Table6[[#This Row],[BUCKET]],1)</f>
        <v>G</v>
      </c>
      <c r="R382" s="51">
        <f>VLOOKUP(MCC_Table6[[#This Row],[START UNIT]],UnitMap[],2,FALSE)</f>
        <v>7</v>
      </c>
      <c r="S382" s="51" cm="1">
        <f t="array" ref="S38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82" s="51">
        <f>IF(ISNUMBER(MCC_Table6[[#This Row],[SIZE]]), MCC_Table6[[#This Row],[SIZE]]/6, 0)</f>
        <v>2</v>
      </c>
      <c r="U382" s="51">
        <f>MCC_Table6[[#This Row],[START INDEX]]+MCC_Table6[[#This Row],[UNITS USED]]-1</f>
        <v>8</v>
      </c>
      <c r="V382" s="12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</row>
    <row r="383" spans="1:52" x14ac:dyDescent="0.3">
      <c r="A383" s="97" t="s">
        <v>1398</v>
      </c>
      <c r="B383" s="51" t="s">
        <v>960</v>
      </c>
      <c r="C383" s="39" t="s">
        <v>462</v>
      </c>
      <c r="D383" s="136" t="s">
        <v>496</v>
      </c>
      <c r="E383" s="51" t="s">
        <v>462</v>
      </c>
      <c r="F383" s="86">
        <f>IF(ISNUMBER(MCC_Table6[[#This Row],[SIZE]]), MCC_Table6[[#This Row],[SIZE]]/12, 0)</f>
        <v>1</v>
      </c>
      <c r="G383" s="10"/>
      <c r="H383" s="10"/>
      <c r="I383" s="10"/>
      <c r="J383" s="10"/>
      <c r="K383" s="54"/>
      <c r="L383" s="54"/>
      <c r="M383" s="54"/>
      <c r="N383" s="54"/>
      <c r="O383" s="53"/>
      <c r="P383" s="51">
        <f>_xlfn.NUMBERVALUE(LEFT(MCC_Table6[[#This Row],[BUCKET]],LEN(MCC_Table6[[#This Row],[BUCKET]])-1))</f>
        <v>13</v>
      </c>
      <c r="Q383" s="51" t="str">
        <f>RIGHT(MCC_Table6[[#This Row],[BUCKET]],1)</f>
        <v>J</v>
      </c>
      <c r="R383" s="51">
        <f>VLOOKUP(MCC_Table6[[#This Row],[START UNIT]],UnitMap[],2,FALSE)</f>
        <v>9</v>
      </c>
      <c r="S383" s="51" cm="1">
        <f t="array" ref="S38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83" s="51">
        <f>IF(ISNUMBER(MCC_Table6[[#This Row],[SIZE]]), MCC_Table6[[#This Row],[SIZE]]/6, 0)</f>
        <v>2</v>
      </c>
      <c r="U383" s="51">
        <f>MCC_Table6[[#This Row],[START INDEX]]+MCC_Table6[[#This Row],[UNITS USED]]-1</f>
        <v>10</v>
      </c>
      <c r="V383" s="12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</row>
    <row r="384" spans="1:52" x14ac:dyDescent="0.3">
      <c r="A384" s="97" t="s">
        <v>1398</v>
      </c>
      <c r="B384" s="51" t="s">
        <v>1309</v>
      </c>
      <c r="C384" s="39" t="s">
        <v>462</v>
      </c>
      <c r="D384" s="136" t="s">
        <v>496</v>
      </c>
      <c r="E384" s="51" t="s">
        <v>462</v>
      </c>
      <c r="F384" s="86">
        <f>IF(ISNUMBER(MCC_Table6[[#This Row],[SIZE]]), MCC_Table6[[#This Row],[SIZE]]/12, 0)</f>
        <v>1</v>
      </c>
      <c r="G384" s="10"/>
      <c r="H384" s="10"/>
      <c r="I384" s="10"/>
      <c r="J384" s="10"/>
      <c r="K384" s="54"/>
      <c r="L384" s="54"/>
      <c r="M384" s="54"/>
      <c r="N384" s="54"/>
      <c r="O384" s="53"/>
      <c r="P384" s="51">
        <f>_xlfn.NUMBERVALUE(LEFT(MCC_Table6[[#This Row],[BUCKET]],LEN(MCC_Table6[[#This Row],[BUCKET]])-1))</f>
        <v>13</v>
      </c>
      <c r="Q384" s="51" t="str">
        <f>RIGHT(MCC_Table6[[#This Row],[BUCKET]],1)</f>
        <v>L</v>
      </c>
      <c r="R384" s="51">
        <f>VLOOKUP(MCC_Table6[[#This Row],[START UNIT]],UnitMap[],2,FALSE)</f>
        <v>11</v>
      </c>
      <c r="S384" s="51" cm="1">
        <f t="array" ref="S38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12</v>
      </c>
      <c r="T384" s="51">
        <f>IF(ISNUMBER(MCC_Table6[[#This Row],[SIZE]]), MCC_Table6[[#This Row],[SIZE]]/6, 0)</f>
        <v>2</v>
      </c>
      <c r="U384" s="51">
        <f>MCC_Table6[[#This Row],[START INDEX]]+MCC_Table6[[#This Row],[UNITS USED]]-1</f>
        <v>12</v>
      </c>
      <c r="V384" s="12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</row>
    <row r="385" spans="1:52" x14ac:dyDescent="0.3">
      <c r="A385" s="97" t="s">
        <v>1398</v>
      </c>
      <c r="B385" s="10" t="s">
        <v>963</v>
      </c>
      <c r="C385" s="39" t="s">
        <v>1403</v>
      </c>
      <c r="D385" s="135" t="s">
        <v>667</v>
      </c>
      <c r="E385" s="51" t="s">
        <v>904</v>
      </c>
      <c r="F385" s="87">
        <f>IF(ISNUMBER(MCC_Table6[[#This Row],[SIZE]]), MCC_Table6[[#This Row],[SIZE]]/12, 0)</f>
        <v>6</v>
      </c>
      <c r="G385" s="10">
        <v>215</v>
      </c>
      <c r="H385" s="10">
        <v>250</v>
      </c>
      <c r="I385" s="10"/>
      <c r="J385" s="10"/>
      <c r="K385" s="54">
        <v>400</v>
      </c>
      <c r="L385" s="54">
        <v>400</v>
      </c>
      <c r="M385" s="54">
        <v>400</v>
      </c>
      <c r="N385" s="54" t="s">
        <v>906</v>
      </c>
      <c r="O385" s="53"/>
      <c r="P385" s="10">
        <f>_xlfn.NUMBERVALUE(LEFT(MCC_Table6[[#This Row],[BUCKET]],LEN(MCC_Table6[[#This Row],[BUCKET]])-1))</f>
        <v>14</v>
      </c>
      <c r="Q385" s="10" t="str">
        <f>RIGHT(MCC_Table6[[#This Row],[BUCKET]],1)</f>
        <v>A</v>
      </c>
      <c r="R385" s="10">
        <f>VLOOKUP(MCC_Table6[[#This Row],[START UNIT]],UnitMap[],2,FALSE)</f>
        <v>1</v>
      </c>
      <c r="S385" s="10" cm="1">
        <f t="array" ref="S38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72</v>
      </c>
      <c r="T385" s="10">
        <f>IF(ISNUMBER(MCC_Table6[[#This Row],[SIZE]]), MCC_Table6[[#This Row],[SIZE]]/6, 0)</f>
        <v>12</v>
      </c>
      <c r="U385" s="10">
        <f>MCC_Table6[[#This Row],[START INDEX]]+MCC_Table6[[#This Row],[UNITS USED]]-1</f>
        <v>12</v>
      </c>
      <c r="V385" s="111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</row>
    <row r="386" spans="1:52" x14ac:dyDescent="0.3">
      <c r="A386" s="97"/>
      <c r="B386" s="51"/>
      <c r="C386" s="129"/>
      <c r="D386" s="135"/>
      <c r="E386" s="130"/>
      <c r="F386" s="86">
        <f>IF(ISNUMBER(MCC_Table6[[#This Row],[SIZE]]), MCC_Table6[[#This Row],[SIZE]]/12, 0)</f>
        <v>0</v>
      </c>
      <c r="G386" s="10"/>
      <c r="H386" s="10"/>
      <c r="I386" s="10"/>
      <c r="J386" s="10"/>
      <c r="K386" s="54"/>
      <c r="L386" s="54"/>
      <c r="M386" s="54"/>
      <c r="N386" s="54"/>
      <c r="O386" s="53"/>
      <c r="P386" s="51" t="e">
        <f>_xlfn.NUMBERVALUE(LEFT(MCC_Table6[[#This Row],[BUCKET]],LEN(MCC_Table6[[#This Row],[BUCKET]])-1))</f>
        <v>#VALUE!</v>
      </c>
      <c r="Q386" s="51" t="str">
        <f>RIGHT(MCC_Table6[[#This Row],[BUCKET]],1)</f>
        <v/>
      </c>
      <c r="R386" s="51" t="e">
        <f>VLOOKUP(MCC_Table6[[#This Row],[START UNIT]],UnitMap[],2,FALSE)</f>
        <v>#N/A</v>
      </c>
      <c r="S386" s="51" t="e" cm="1">
        <f t="array" ref="S38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86" s="51">
        <f>IF(ISNUMBER(MCC_Table6[[#This Row],[SIZE]]), MCC_Table6[[#This Row],[SIZE]]/6, 0)</f>
        <v>0</v>
      </c>
      <c r="U386" s="51" t="e">
        <f>MCC_Table6[[#This Row],[START INDEX]]+MCC_Table6[[#This Row],[UNITS USED]]-1</f>
        <v>#N/A</v>
      </c>
      <c r="V386" s="12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</row>
    <row r="387" spans="1:52" x14ac:dyDescent="0.3">
      <c r="A387" s="97"/>
      <c r="B387" s="51"/>
      <c r="C387" s="129"/>
      <c r="D387" s="135"/>
      <c r="E387" s="130"/>
      <c r="F387" s="86">
        <f>IF(ISNUMBER(MCC_Table6[[#This Row],[SIZE]]), MCC_Table6[[#This Row],[SIZE]]/12, 0)</f>
        <v>0</v>
      </c>
      <c r="G387" s="10"/>
      <c r="H387" s="10"/>
      <c r="I387" s="10"/>
      <c r="J387" s="10"/>
      <c r="K387" s="54"/>
      <c r="L387" s="54"/>
      <c r="M387" s="54"/>
      <c r="N387" s="54"/>
      <c r="O387" s="53"/>
      <c r="P387" s="51" t="e">
        <f>_xlfn.NUMBERVALUE(LEFT(MCC_Table6[[#This Row],[BUCKET]],LEN(MCC_Table6[[#This Row],[BUCKET]])-1))</f>
        <v>#VALUE!</v>
      </c>
      <c r="Q387" s="51" t="str">
        <f>RIGHT(MCC_Table6[[#This Row],[BUCKET]],1)</f>
        <v/>
      </c>
      <c r="R387" s="51" t="e">
        <f>VLOOKUP(MCC_Table6[[#This Row],[START UNIT]],UnitMap[],2,FALSE)</f>
        <v>#N/A</v>
      </c>
      <c r="S387" s="51" t="e" cm="1">
        <f t="array" ref="S38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87" s="51">
        <f>IF(ISNUMBER(MCC_Table6[[#This Row],[SIZE]]), MCC_Table6[[#This Row],[SIZE]]/6, 0)</f>
        <v>0</v>
      </c>
      <c r="U387" s="51" t="e">
        <f>MCC_Table6[[#This Row],[START INDEX]]+MCC_Table6[[#This Row],[UNITS USED]]-1</f>
        <v>#N/A</v>
      </c>
      <c r="V387" s="12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</row>
    <row r="388" spans="1:52" x14ac:dyDescent="0.3">
      <c r="A388" s="97"/>
      <c r="B388" s="51"/>
      <c r="C388" s="129"/>
      <c r="D388" s="135"/>
      <c r="E388" s="130"/>
      <c r="F388" s="86">
        <f>IF(ISNUMBER(MCC_Table6[[#This Row],[SIZE]]), MCC_Table6[[#This Row],[SIZE]]/12, 0)</f>
        <v>0</v>
      </c>
      <c r="G388" s="10"/>
      <c r="H388" s="10"/>
      <c r="I388" s="10"/>
      <c r="J388" s="10"/>
      <c r="K388" s="54"/>
      <c r="L388" s="54"/>
      <c r="M388" s="54"/>
      <c r="N388" s="54"/>
      <c r="O388" s="53"/>
      <c r="P388" s="51" t="e">
        <f>_xlfn.NUMBERVALUE(LEFT(MCC_Table6[[#This Row],[BUCKET]],LEN(MCC_Table6[[#This Row],[BUCKET]])-1))</f>
        <v>#VALUE!</v>
      </c>
      <c r="Q388" s="51" t="str">
        <f>RIGHT(MCC_Table6[[#This Row],[BUCKET]],1)</f>
        <v/>
      </c>
      <c r="R388" s="51" t="e">
        <f>VLOOKUP(MCC_Table6[[#This Row],[START UNIT]],UnitMap[],2,FALSE)</f>
        <v>#N/A</v>
      </c>
      <c r="S388" s="51" t="e" cm="1">
        <f t="array" ref="S38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88" s="51">
        <f>IF(ISNUMBER(MCC_Table6[[#This Row],[SIZE]]), MCC_Table6[[#This Row],[SIZE]]/6, 0)</f>
        <v>0</v>
      </c>
      <c r="U388" s="51" t="e">
        <f>MCC_Table6[[#This Row],[START INDEX]]+MCC_Table6[[#This Row],[UNITS USED]]-1</f>
        <v>#N/A</v>
      </c>
      <c r="V388" s="12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</row>
    <row r="389" spans="1:52" x14ac:dyDescent="0.3">
      <c r="A389" s="97"/>
      <c r="B389" s="51"/>
      <c r="C389" s="129"/>
      <c r="D389" s="135"/>
      <c r="E389" s="130"/>
      <c r="F389" s="86">
        <f>IF(ISNUMBER(MCC_Table6[[#This Row],[SIZE]]), MCC_Table6[[#This Row],[SIZE]]/12, 0)</f>
        <v>0</v>
      </c>
      <c r="G389" s="10"/>
      <c r="H389" s="10"/>
      <c r="I389" s="10"/>
      <c r="J389" s="10"/>
      <c r="K389" s="54"/>
      <c r="L389" s="54"/>
      <c r="M389" s="54"/>
      <c r="N389" s="54"/>
      <c r="O389" s="53"/>
      <c r="P389" s="51" t="e">
        <f>_xlfn.NUMBERVALUE(LEFT(MCC_Table6[[#This Row],[BUCKET]],LEN(MCC_Table6[[#This Row],[BUCKET]])-1))</f>
        <v>#VALUE!</v>
      </c>
      <c r="Q389" s="51" t="str">
        <f>RIGHT(MCC_Table6[[#This Row],[BUCKET]],1)</f>
        <v/>
      </c>
      <c r="R389" s="51" t="e">
        <f>VLOOKUP(MCC_Table6[[#This Row],[START UNIT]],UnitMap[],2,FALSE)</f>
        <v>#N/A</v>
      </c>
      <c r="S389" s="51" t="e" cm="1">
        <f t="array" ref="S38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89" s="51">
        <f>IF(ISNUMBER(MCC_Table6[[#This Row],[SIZE]]), MCC_Table6[[#This Row],[SIZE]]/6, 0)</f>
        <v>0</v>
      </c>
      <c r="U389" s="51" t="e">
        <f>MCC_Table6[[#This Row],[START INDEX]]+MCC_Table6[[#This Row],[UNITS USED]]-1</f>
        <v>#N/A</v>
      </c>
      <c r="V389" s="12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</row>
    <row r="390" spans="1:52" x14ac:dyDescent="0.3">
      <c r="A390" s="97"/>
      <c r="B390" s="51"/>
      <c r="C390" s="129"/>
      <c r="D390" s="135"/>
      <c r="E390" s="130"/>
      <c r="F390" s="86">
        <f>IF(ISNUMBER(MCC_Table6[[#This Row],[SIZE]]), MCC_Table6[[#This Row],[SIZE]]/12, 0)</f>
        <v>0</v>
      </c>
      <c r="G390" s="10"/>
      <c r="H390" s="10"/>
      <c r="I390" s="10"/>
      <c r="J390" s="10"/>
      <c r="K390" s="54"/>
      <c r="L390" s="54"/>
      <c r="M390" s="54"/>
      <c r="N390" s="54"/>
      <c r="O390" s="53"/>
      <c r="P390" s="51" t="e">
        <f>_xlfn.NUMBERVALUE(LEFT(MCC_Table6[[#This Row],[BUCKET]],LEN(MCC_Table6[[#This Row],[BUCKET]])-1))</f>
        <v>#VALUE!</v>
      </c>
      <c r="Q390" s="51" t="str">
        <f>RIGHT(MCC_Table6[[#This Row],[BUCKET]],1)</f>
        <v/>
      </c>
      <c r="R390" s="51" t="e">
        <f>VLOOKUP(MCC_Table6[[#This Row],[START UNIT]],UnitMap[],2,FALSE)</f>
        <v>#N/A</v>
      </c>
      <c r="S390" s="51" t="e" cm="1">
        <f t="array" ref="S39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0" s="51">
        <f>IF(ISNUMBER(MCC_Table6[[#This Row],[SIZE]]), MCC_Table6[[#This Row],[SIZE]]/6, 0)</f>
        <v>0</v>
      </c>
      <c r="U390" s="51" t="e">
        <f>MCC_Table6[[#This Row],[START INDEX]]+MCC_Table6[[#This Row],[UNITS USED]]-1</f>
        <v>#N/A</v>
      </c>
      <c r="V390" s="12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</row>
    <row r="391" spans="1:52" x14ac:dyDescent="0.3">
      <c r="A391" s="97"/>
      <c r="B391" s="51"/>
      <c r="C391" s="129"/>
      <c r="D391" s="135"/>
      <c r="E391" s="130"/>
      <c r="F391" s="86">
        <f>IF(ISNUMBER(MCC_Table6[[#This Row],[SIZE]]), MCC_Table6[[#This Row],[SIZE]]/12, 0)</f>
        <v>0</v>
      </c>
      <c r="G391" s="10"/>
      <c r="H391" s="10"/>
      <c r="I391" s="10"/>
      <c r="J391" s="10"/>
      <c r="K391" s="54"/>
      <c r="L391" s="54"/>
      <c r="M391" s="54"/>
      <c r="N391" s="54"/>
      <c r="O391" s="53"/>
      <c r="P391" s="51" t="e">
        <f>_xlfn.NUMBERVALUE(LEFT(MCC_Table6[[#This Row],[BUCKET]],LEN(MCC_Table6[[#This Row],[BUCKET]])-1))</f>
        <v>#VALUE!</v>
      </c>
      <c r="Q391" s="51" t="str">
        <f>RIGHT(MCC_Table6[[#This Row],[BUCKET]],1)</f>
        <v/>
      </c>
      <c r="R391" s="51" t="e">
        <f>VLOOKUP(MCC_Table6[[#This Row],[START UNIT]],UnitMap[],2,FALSE)</f>
        <v>#N/A</v>
      </c>
      <c r="S391" s="51" t="e" cm="1">
        <f t="array" ref="S39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1" s="51">
        <f>IF(ISNUMBER(MCC_Table6[[#This Row],[SIZE]]), MCC_Table6[[#This Row],[SIZE]]/6, 0)</f>
        <v>0</v>
      </c>
      <c r="U391" s="51" t="e">
        <f>MCC_Table6[[#This Row],[START INDEX]]+MCC_Table6[[#This Row],[UNITS USED]]-1</f>
        <v>#N/A</v>
      </c>
      <c r="V391" s="12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</row>
    <row r="392" spans="1:52" x14ac:dyDescent="0.3">
      <c r="A392" s="97"/>
      <c r="B392" s="51"/>
      <c r="C392" s="129"/>
      <c r="D392" s="135"/>
      <c r="E392" s="130"/>
      <c r="F392" s="86">
        <f>IF(ISNUMBER(MCC_Table6[[#This Row],[SIZE]]), MCC_Table6[[#This Row],[SIZE]]/12, 0)</f>
        <v>0</v>
      </c>
      <c r="G392" s="10"/>
      <c r="H392" s="10"/>
      <c r="I392" s="10"/>
      <c r="J392" s="10"/>
      <c r="K392" s="54"/>
      <c r="L392" s="54"/>
      <c r="M392" s="54"/>
      <c r="N392" s="54"/>
      <c r="O392" s="53"/>
      <c r="P392" s="51" t="e">
        <f>_xlfn.NUMBERVALUE(LEFT(MCC_Table6[[#This Row],[BUCKET]],LEN(MCC_Table6[[#This Row],[BUCKET]])-1))</f>
        <v>#VALUE!</v>
      </c>
      <c r="Q392" s="51" t="str">
        <f>RIGHT(MCC_Table6[[#This Row],[BUCKET]],1)</f>
        <v/>
      </c>
      <c r="R392" s="51" t="e">
        <f>VLOOKUP(MCC_Table6[[#This Row],[START UNIT]],UnitMap[],2,FALSE)</f>
        <v>#N/A</v>
      </c>
      <c r="S392" s="51" t="e" cm="1">
        <f t="array" ref="S39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2" s="51">
        <f>IF(ISNUMBER(MCC_Table6[[#This Row],[SIZE]]), MCC_Table6[[#This Row],[SIZE]]/6, 0)</f>
        <v>0</v>
      </c>
      <c r="U392" s="51" t="e">
        <f>MCC_Table6[[#This Row],[START INDEX]]+MCC_Table6[[#This Row],[UNITS USED]]-1</f>
        <v>#N/A</v>
      </c>
      <c r="V392" s="12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</row>
    <row r="393" spans="1:52" x14ac:dyDescent="0.3">
      <c r="A393" s="97"/>
      <c r="B393" s="51"/>
      <c r="C393" s="129"/>
      <c r="D393" s="135"/>
      <c r="E393" s="130"/>
      <c r="F393" s="86">
        <f>IF(ISNUMBER(MCC_Table6[[#This Row],[SIZE]]), MCC_Table6[[#This Row],[SIZE]]/12, 0)</f>
        <v>0</v>
      </c>
      <c r="G393" s="10"/>
      <c r="H393" s="10"/>
      <c r="I393" s="10"/>
      <c r="J393" s="10"/>
      <c r="K393" s="54"/>
      <c r="L393" s="54"/>
      <c r="M393" s="54"/>
      <c r="N393" s="54"/>
      <c r="O393" s="53"/>
      <c r="P393" s="51" t="e">
        <f>_xlfn.NUMBERVALUE(LEFT(MCC_Table6[[#This Row],[BUCKET]],LEN(MCC_Table6[[#This Row],[BUCKET]])-1))</f>
        <v>#VALUE!</v>
      </c>
      <c r="Q393" s="51" t="str">
        <f>RIGHT(MCC_Table6[[#This Row],[BUCKET]],1)</f>
        <v/>
      </c>
      <c r="R393" s="51" t="e">
        <f>VLOOKUP(MCC_Table6[[#This Row],[START UNIT]],UnitMap[],2,FALSE)</f>
        <v>#N/A</v>
      </c>
      <c r="S393" s="51" t="e" cm="1">
        <f t="array" ref="S39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3" s="51">
        <f>IF(ISNUMBER(MCC_Table6[[#This Row],[SIZE]]), MCC_Table6[[#This Row],[SIZE]]/6, 0)</f>
        <v>0</v>
      </c>
      <c r="U393" s="51" t="e">
        <f>MCC_Table6[[#This Row],[START INDEX]]+MCC_Table6[[#This Row],[UNITS USED]]-1</f>
        <v>#N/A</v>
      </c>
      <c r="V393" s="12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</row>
    <row r="394" spans="1:52" x14ac:dyDescent="0.3">
      <c r="A394" s="97"/>
      <c r="B394" s="51"/>
      <c r="C394" s="129"/>
      <c r="D394" s="135"/>
      <c r="E394" s="130"/>
      <c r="F394" s="86">
        <f>IF(ISNUMBER(MCC_Table6[[#This Row],[SIZE]]), MCC_Table6[[#This Row],[SIZE]]/12, 0)</f>
        <v>0</v>
      </c>
      <c r="G394" s="10"/>
      <c r="H394" s="10"/>
      <c r="I394" s="10"/>
      <c r="J394" s="10"/>
      <c r="K394" s="54"/>
      <c r="L394" s="54"/>
      <c r="M394" s="54"/>
      <c r="N394" s="54"/>
      <c r="O394" s="53"/>
      <c r="P394" s="51" t="e">
        <f>_xlfn.NUMBERVALUE(LEFT(MCC_Table6[[#This Row],[BUCKET]],LEN(MCC_Table6[[#This Row],[BUCKET]])-1))</f>
        <v>#VALUE!</v>
      </c>
      <c r="Q394" s="51" t="str">
        <f>RIGHT(MCC_Table6[[#This Row],[BUCKET]],1)</f>
        <v/>
      </c>
      <c r="R394" s="51" t="e">
        <f>VLOOKUP(MCC_Table6[[#This Row],[START UNIT]],UnitMap[],2,FALSE)</f>
        <v>#N/A</v>
      </c>
      <c r="S394" s="51" t="e" cm="1">
        <f t="array" ref="S39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4" s="51">
        <f>IF(ISNUMBER(MCC_Table6[[#This Row],[SIZE]]), MCC_Table6[[#This Row],[SIZE]]/6, 0)</f>
        <v>0</v>
      </c>
      <c r="U394" s="51" t="e">
        <f>MCC_Table6[[#This Row],[START INDEX]]+MCC_Table6[[#This Row],[UNITS USED]]-1</f>
        <v>#N/A</v>
      </c>
      <c r="V394" s="120"/>
      <c r="W394" s="110"/>
      <c r="X394" s="110"/>
      <c r="Y394" s="110"/>
      <c r="Z394" s="110"/>
      <c r="AA394" s="110"/>
      <c r="AB394" s="110"/>
      <c r="AC394" s="110"/>
      <c r="AD394" s="110"/>
      <c r="AE394" s="110"/>
      <c r="AF394" s="110"/>
      <c r="AG394" s="11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</row>
    <row r="395" spans="1:52" x14ac:dyDescent="0.3">
      <c r="A395" s="97"/>
      <c r="B395" s="51"/>
      <c r="C395" s="129"/>
      <c r="D395" s="135"/>
      <c r="E395" s="130"/>
      <c r="F395" s="86">
        <f>IF(ISNUMBER(MCC_Table6[[#This Row],[SIZE]]), MCC_Table6[[#This Row],[SIZE]]/12, 0)</f>
        <v>0</v>
      </c>
      <c r="G395" s="10"/>
      <c r="H395" s="10"/>
      <c r="I395" s="10"/>
      <c r="J395" s="10"/>
      <c r="K395" s="54"/>
      <c r="L395" s="54"/>
      <c r="M395" s="54"/>
      <c r="N395" s="54"/>
      <c r="O395" s="53"/>
      <c r="P395" s="51" t="e">
        <f>_xlfn.NUMBERVALUE(LEFT(MCC_Table6[[#This Row],[BUCKET]],LEN(MCC_Table6[[#This Row],[BUCKET]])-1))</f>
        <v>#VALUE!</v>
      </c>
      <c r="Q395" s="51" t="str">
        <f>RIGHT(MCC_Table6[[#This Row],[BUCKET]],1)</f>
        <v/>
      </c>
      <c r="R395" s="51" t="e">
        <f>VLOOKUP(MCC_Table6[[#This Row],[START UNIT]],UnitMap[],2,FALSE)</f>
        <v>#N/A</v>
      </c>
      <c r="S395" s="51" t="e" cm="1">
        <f t="array" ref="S39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5" s="51">
        <f>IF(ISNUMBER(MCC_Table6[[#This Row],[SIZE]]), MCC_Table6[[#This Row],[SIZE]]/6, 0)</f>
        <v>0</v>
      </c>
      <c r="U395" s="51" t="e">
        <f>MCC_Table6[[#This Row],[START INDEX]]+MCC_Table6[[#This Row],[UNITS USED]]-1</f>
        <v>#N/A</v>
      </c>
      <c r="V395" s="12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</row>
    <row r="396" spans="1:52" x14ac:dyDescent="0.3">
      <c r="A396" s="97"/>
      <c r="B396" s="51"/>
      <c r="C396" s="129"/>
      <c r="D396" s="135"/>
      <c r="E396" s="130"/>
      <c r="F396" s="86">
        <f>IF(ISNUMBER(MCC_Table6[[#This Row],[SIZE]]), MCC_Table6[[#This Row],[SIZE]]/12, 0)</f>
        <v>0</v>
      </c>
      <c r="G396" s="10"/>
      <c r="H396" s="10"/>
      <c r="I396" s="10"/>
      <c r="J396" s="10"/>
      <c r="K396" s="54"/>
      <c r="L396" s="54"/>
      <c r="M396" s="54"/>
      <c r="N396" s="54"/>
      <c r="O396" s="53"/>
      <c r="P396" s="51" t="e">
        <f>_xlfn.NUMBERVALUE(LEFT(MCC_Table6[[#This Row],[BUCKET]],LEN(MCC_Table6[[#This Row],[BUCKET]])-1))</f>
        <v>#VALUE!</v>
      </c>
      <c r="Q396" s="51" t="str">
        <f>RIGHT(MCC_Table6[[#This Row],[BUCKET]],1)</f>
        <v/>
      </c>
      <c r="R396" s="51" t="e">
        <f>VLOOKUP(MCC_Table6[[#This Row],[START UNIT]],UnitMap[],2,FALSE)</f>
        <v>#N/A</v>
      </c>
      <c r="S396" s="51" t="e" cm="1">
        <f t="array" ref="S39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6" s="51">
        <f>IF(ISNUMBER(MCC_Table6[[#This Row],[SIZE]]), MCC_Table6[[#This Row],[SIZE]]/6, 0)</f>
        <v>0</v>
      </c>
      <c r="U396" s="51" t="e">
        <f>MCC_Table6[[#This Row],[START INDEX]]+MCC_Table6[[#This Row],[UNITS USED]]-1</f>
        <v>#N/A</v>
      </c>
      <c r="V396" s="12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</row>
    <row r="397" spans="1:52" x14ac:dyDescent="0.3">
      <c r="A397" s="97"/>
      <c r="B397" s="51"/>
      <c r="C397" s="129"/>
      <c r="D397" s="135"/>
      <c r="E397" s="130"/>
      <c r="F397" s="86">
        <f>IF(ISNUMBER(MCC_Table6[[#This Row],[SIZE]]), MCC_Table6[[#This Row],[SIZE]]/12, 0)</f>
        <v>0</v>
      </c>
      <c r="G397" s="10"/>
      <c r="H397" s="10"/>
      <c r="I397" s="10"/>
      <c r="J397" s="10"/>
      <c r="K397" s="54"/>
      <c r="L397" s="54"/>
      <c r="M397" s="54"/>
      <c r="N397" s="54"/>
      <c r="O397" s="53"/>
      <c r="P397" s="51" t="e">
        <f>_xlfn.NUMBERVALUE(LEFT(MCC_Table6[[#This Row],[BUCKET]],LEN(MCC_Table6[[#This Row],[BUCKET]])-1))</f>
        <v>#VALUE!</v>
      </c>
      <c r="Q397" s="51" t="str">
        <f>RIGHT(MCC_Table6[[#This Row],[BUCKET]],1)</f>
        <v/>
      </c>
      <c r="R397" s="51" t="e">
        <f>VLOOKUP(MCC_Table6[[#This Row],[START UNIT]],UnitMap[],2,FALSE)</f>
        <v>#N/A</v>
      </c>
      <c r="S397" s="51" t="e" cm="1">
        <f t="array" ref="S39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7" s="51">
        <f>IF(ISNUMBER(MCC_Table6[[#This Row],[SIZE]]), MCC_Table6[[#This Row],[SIZE]]/6, 0)</f>
        <v>0</v>
      </c>
      <c r="U397" s="51" t="e">
        <f>MCC_Table6[[#This Row],[START INDEX]]+MCC_Table6[[#This Row],[UNITS USED]]-1</f>
        <v>#N/A</v>
      </c>
      <c r="V397" s="12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</row>
    <row r="398" spans="1:52" x14ac:dyDescent="0.3">
      <c r="A398" s="97"/>
      <c r="B398" s="51"/>
      <c r="C398" s="129"/>
      <c r="D398" s="135"/>
      <c r="E398" s="130"/>
      <c r="F398" s="86">
        <f>IF(ISNUMBER(MCC_Table6[[#This Row],[SIZE]]), MCC_Table6[[#This Row],[SIZE]]/12, 0)</f>
        <v>0</v>
      </c>
      <c r="G398" s="10"/>
      <c r="H398" s="10"/>
      <c r="I398" s="10"/>
      <c r="J398" s="10"/>
      <c r="K398" s="54"/>
      <c r="L398" s="54"/>
      <c r="M398" s="54"/>
      <c r="N398" s="54"/>
      <c r="O398" s="53"/>
      <c r="P398" s="51" t="e">
        <f>_xlfn.NUMBERVALUE(LEFT(MCC_Table6[[#This Row],[BUCKET]],LEN(MCC_Table6[[#This Row],[BUCKET]])-1))</f>
        <v>#VALUE!</v>
      </c>
      <c r="Q398" s="51" t="str">
        <f>RIGHT(MCC_Table6[[#This Row],[BUCKET]],1)</f>
        <v/>
      </c>
      <c r="R398" s="51" t="e">
        <f>VLOOKUP(MCC_Table6[[#This Row],[START UNIT]],UnitMap[],2,FALSE)</f>
        <v>#N/A</v>
      </c>
      <c r="S398" s="51" t="e" cm="1">
        <f t="array" ref="S39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8" s="51">
        <f>IF(ISNUMBER(MCC_Table6[[#This Row],[SIZE]]), MCC_Table6[[#This Row],[SIZE]]/6, 0)</f>
        <v>0</v>
      </c>
      <c r="U398" s="51" t="e">
        <f>MCC_Table6[[#This Row],[START INDEX]]+MCC_Table6[[#This Row],[UNITS USED]]-1</f>
        <v>#N/A</v>
      </c>
      <c r="V398" s="12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</row>
    <row r="399" spans="1:52" x14ac:dyDescent="0.3">
      <c r="A399" s="97"/>
      <c r="B399" s="51"/>
      <c r="C399" s="129"/>
      <c r="D399" s="135"/>
      <c r="E399" s="130"/>
      <c r="F399" s="86">
        <f>IF(ISNUMBER(MCC_Table6[[#This Row],[SIZE]]), MCC_Table6[[#This Row],[SIZE]]/12, 0)</f>
        <v>0</v>
      </c>
      <c r="G399" s="10"/>
      <c r="H399" s="10"/>
      <c r="I399" s="10"/>
      <c r="J399" s="10"/>
      <c r="K399" s="54"/>
      <c r="L399" s="54"/>
      <c r="M399" s="54"/>
      <c r="N399" s="54"/>
      <c r="O399" s="53"/>
      <c r="P399" s="51" t="e">
        <f>_xlfn.NUMBERVALUE(LEFT(MCC_Table6[[#This Row],[BUCKET]],LEN(MCC_Table6[[#This Row],[BUCKET]])-1))</f>
        <v>#VALUE!</v>
      </c>
      <c r="Q399" s="51" t="str">
        <f>RIGHT(MCC_Table6[[#This Row],[BUCKET]],1)</f>
        <v/>
      </c>
      <c r="R399" s="51" t="e">
        <f>VLOOKUP(MCC_Table6[[#This Row],[START UNIT]],UnitMap[],2,FALSE)</f>
        <v>#N/A</v>
      </c>
      <c r="S399" s="51" t="e" cm="1">
        <f t="array" ref="S39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399" s="51">
        <f>IF(ISNUMBER(MCC_Table6[[#This Row],[SIZE]]), MCC_Table6[[#This Row],[SIZE]]/6, 0)</f>
        <v>0</v>
      </c>
      <c r="U399" s="51" t="e">
        <f>MCC_Table6[[#This Row],[START INDEX]]+MCC_Table6[[#This Row],[UNITS USED]]-1</f>
        <v>#N/A</v>
      </c>
      <c r="V399" s="12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</row>
    <row r="400" spans="1:52" x14ac:dyDescent="0.3">
      <c r="A400" s="97"/>
      <c r="B400" s="51"/>
      <c r="C400" s="129"/>
      <c r="D400" s="135"/>
      <c r="E400" s="130"/>
      <c r="F400" s="86">
        <f>IF(ISNUMBER(MCC_Table6[[#This Row],[SIZE]]), MCC_Table6[[#This Row],[SIZE]]/12, 0)</f>
        <v>0</v>
      </c>
      <c r="G400" s="10"/>
      <c r="H400" s="10"/>
      <c r="I400" s="10"/>
      <c r="J400" s="10"/>
      <c r="K400" s="54"/>
      <c r="L400" s="54"/>
      <c r="M400" s="54"/>
      <c r="N400" s="54"/>
      <c r="O400" s="53"/>
      <c r="P400" s="51" t="e">
        <f>_xlfn.NUMBERVALUE(LEFT(MCC_Table6[[#This Row],[BUCKET]],LEN(MCC_Table6[[#This Row],[BUCKET]])-1))</f>
        <v>#VALUE!</v>
      </c>
      <c r="Q400" s="51" t="str">
        <f>RIGHT(MCC_Table6[[#This Row],[BUCKET]],1)</f>
        <v/>
      </c>
      <c r="R400" s="51" t="e">
        <f>VLOOKUP(MCC_Table6[[#This Row],[START UNIT]],UnitMap[],2,FALSE)</f>
        <v>#N/A</v>
      </c>
      <c r="S400" s="51" t="e" cm="1">
        <f t="array" ref="S40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0" s="51">
        <f>IF(ISNUMBER(MCC_Table6[[#This Row],[SIZE]]), MCC_Table6[[#This Row],[SIZE]]/6, 0)</f>
        <v>0</v>
      </c>
      <c r="U400" s="51" t="e">
        <f>MCC_Table6[[#This Row],[START INDEX]]+MCC_Table6[[#This Row],[UNITS USED]]-1</f>
        <v>#N/A</v>
      </c>
      <c r="V400" s="12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</row>
    <row r="401" spans="1:52" x14ac:dyDescent="0.3">
      <c r="A401" s="97"/>
      <c r="B401" s="51"/>
      <c r="C401" s="129"/>
      <c r="D401" s="135"/>
      <c r="E401" s="130"/>
      <c r="F401" s="86">
        <f>IF(ISNUMBER(MCC_Table6[[#This Row],[SIZE]]), MCC_Table6[[#This Row],[SIZE]]/12, 0)</f>
        <v>0</v>
      </c>
      <c r="G401" s="10"/>
      <c r="H401" s="10"/>
      <c r="I401" s="10"/>
      <c r="J401" s="10"/>
      <c r="K401" s="54"/>
      <c r="L401" s="54"/>
      <c r="M401" s="54"/>
      <c r="N401" s="54"/>
      <c r="O401" s="53"/>
      <c r="P401" s="51" t="e">
        <f>_xlfn.NUMBERVALUE(LEFT(MCC_Table6[[#This Row],[BUCKET]],LEN(MCC_Table6[[#This Row],[BUCKET]])-1))</f>
        <v>#VALUE!</v>
      </c>
      <c r="Q401" s="51" t="str">
        <f>RIGHT(MCC_Table6[[#This Row],[BUCKET]],1)</f>
        <v/>
      </c>
      <c r="R401" s="51" t="e">
        <f>VLOOKUP(MCC_Table6[[#This Row],[START UNIT]],UnitMap[],2,FALSE)</f>
        <v>#N/A</v>
      </c>
      <c r="S401" s="51" t="e" cm="1">
        <f t="array" ref="S40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1" s="51">
        <f>IF(ISNUMBER(MCC_Table6[[#This Row],[SIZE]]), MCC_Table6[[#This Row],[SIZE]]/6, 0)</f>
        <v>0</v>
      </c>
      <c r="U401" s="51" t="e">
        <f>MCC_Table6[[#This Row],[START INDEX]]+MCC_Table6[[#This Row],[UNITS USED]]-1</f>
        <v>#N/A</v>
      </c>
      <c r="V401" s="12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</row>
    <row r="402" spans="1:52" x14ac:dyDescent="0.3">
      <c r="A402" s="97"/>
      <c r="B402" s="51"/>
      <c r="C402" s="129"/>
      <c r="D402" s="135"/>
      <c r="E402" s="130"/>
      <c r="F402" s="86">
        <f>IF(ISNUMBER(MCC_Table6[[#This Row],[SIZE]]), MCC_Table6[[#This Row],[SIZE]]/12, 0)</f>
        <v>0</v>
      </c>
      <c r="G402" s="10"/>
      <c r="H402" s="10"/>
      <c r="I402" s="10"/>
      <c r="J402" s="10"/>
      <c r="K402" s="54"/>
      <c r="L402" s="54"/>
      <c r="M402" s="54"/>
      <c r="N402" s="54"/>
      <c r="O402" s="53"/>
      <c r="P402" s="51" t="e">
        <f>_xlfn.NUMBERVALUE(LEFT(MCC_Table6[[#This Row],[BUCKET]],LEN(MCC_Table6[[#This Row],[BUCKET]])-1))</f>
        <v>#VALUE!</v>
      </c>
      <c r="Q402" s="51" t="str">
        <f>RIGHT(MCC_Table6[[#This Row],[BUCKET]],1)</f>
        <v/>
      </c>
      <c r="R402" s="51" t="e">
        <f>VLOOKUP(MCC_Table6[[#This Row],[START UNIT]],UnitMap[],2,FALSE)</f>
        <v>#N/A</v>
      </c>
      <c r="S402" s="51" t="e" cm="1">
        <f t="array" ref="S40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2" s="51">
        <f>IF(ISNUMBER(MCC_Table6[[#This Row],[SIZE]]), MCC_Table6[[#This Row],[SIZE]]/6, 0)</f>
        <v>0</v>
      </c>
      <c r="U402" s="51" t="e">
        <f>MCC_Table6[[#This Row],[START INDEX]]+MCC_Table6[[#This Row],[UNITS USED]]-1</f>
        <v>#N/A</v>
      </c>
      <c r="V402" s="12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</row>
    <row r="403" spans="1:52" x14ac:dyDescent="0.3">
      <c r="A403" s="97"/>
      <c r="B403" s="51"/>
      <c r="C403" s="129"/>
      <c r="D403" s="135"/>
      <c r="E403" s="130"/>
      <c r="F403" s="86">
        <f>IF(ISNUMBER(MCC_Table6[[#This Row],[SIZE]]), MCC_Table6[[#This Row],[SIZE]]/12, 0)</f>
        <v>0</v>
      </c>
      <c r="G403" s="10"/>
      <c r="H403" s="10"/>
      <c r="I403" s="10"/>
      <c r="J403" s="10"/>
      <c r="K403" s="54"/>
      <c r="L403" s="54"/>
      <c r="M403" s="54"/>
      <c r="N403" s="54"/>
      <c r="O403" s="53"/>
      <c r="P403" s="51" t="e">
        <f>_xlfn.NUMBERVALUE(LEFT(MCC_Table6[[#This Row],[BUCKET]],LEN(MCC_Table6[[#This Row],[BUCKET]])-1))</f>
        <v>#VALUE!</v>
      </c>
      <c r="Q403" s="51" t="str">
        <f>RIGHT(MCC_Table6[[#This Row],[BUCKET]],1)</f>
        <v/>
      </c>
      <c r="R403" s="51" t="e">
        <f>VLOOKUP(MCC_Table6[[#This Row],[START UNIT]],UnitMap[],2,FALSE)</f>
        <v>#N/A</v>
      </c>
      <c r="S403" s="51" t="e" cm="1">
        <f t="array" ref="S40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3" s="51">
        <f>IF(ISNUMBER(MCC_Table6[[#This Row],[SIZE]]), MCC_Table6[[#This Row],[SIZE]]/6, 0)</f>
        <v>0</v>
      </c>
      <c r="U403" s="51" t="e">
        <f>MCC_Table6[[#This Row],[START INDEX]]+MCC_Table6[[#This Row],[UNITS USED]]-1</f>
        <v>#N/A</v>
      </c>
      <c r="V403" s="12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</row>
    <row r="404" spans="1:52" x14ac:dyDescent="0.3">
      <c r="A404" s="97"/>
      <c r="B404" s="51"/>
      <c r="C404" s="129"/>
      <c r="D404" s="135"/>
      <c r="E404" s="130"/>
      <c r="F404" s="86">
        <f>IF(ISNUMBER(MCC_Table6[[#This Row],[SIZE]]), MCC_Table6[[#This Row],[SIZE]]/12, 0)</f>
        <v>0</v>
      </c>
      <c r="G404" s="10"/>
      <c r="H404" s="10"/>
      <c r="I404" s="10"/>
      <c r="J404" s="10"/>
      <c r="K404" s="54"/>
      <c r="L404" s="54"/>
      <c r="M404" s="54"/>
      <c r="N404" s="54"/>
      <c r="O404" s="53"/>
      <c r="P404" s="51" t="e">
        <f>_xlfn.NUMBERVALUE(LEFT(MCC_Table6[[#This Row],[BUCKET]],LEN(MCC_Table6[[#This Row],[BUCKET]])-1))</f>
        <v>#VALUE!</v>
      </c>
      <c r="Q404" s="51" t="str">
        <f>RIGHT(MCC_Table6[[#This Row],[BUCKET]],1)</f>
        <v/>
      </c>
      <c r="R404" s="51" t="e">
        <f>VLOOKUP(MCC_Table6[[#This Row],[START UNIT]],UnitMap[],2,FALSE)</f>
        <v>#N/A</v>
      </c>
      <c r="S404" s="51" t="e" cm="1">
        <f t="array" ref="S40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4" s="51">
        <f>IF(ISNUMBER(MCC_Table6[[#This Row],[SIZE]]), MCC_Table6[[#This Row],[SIZE]]/6, 0)</f>
        <v>0</v>
      </c>
      <c r="U404" s="51" t="e">
        <f>MCC_Table6[[#This Row],[START INDEX]]+MCC_Table6[[#This Row],[UNITS USED]]-1</f>
        <v>#N/A</v>
      </c>
      <c r="V404" s="12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</row>
    <row r="405" spans="1:52" x14ac:dyDescent="0.3">
      <c r="A405" s="97"/>
      <c r="B405" s="51"/>
      <c r="C405" s="129"/>
      <c r="D405" s="135"/>
      <c r="E405" s="130"/>
      <c r="F405" s="86">
        <f>IF(ISNUMBER(MCC_Table6[[#This Row],[SIZE]]), MCC_Table6[[#This Row],[SIZE]]/12, 0)</f>
        <v>0</v>
      </c>
      <c r="G405" s="10"/>
      <c r="H405" s="10"/>
      <c r="I405" s="10"/>
      <c r="J405" s="10"/>
      <c r="K405" s="54"/>
      <c r="L405" s="54"/>
      <c r="M405" s="54"/>
      <c r="N405" s="54"/>
      <c r="O405" s="53"/>
      <c r="P405" s="51" t="e">
        <f>_xlfn.NUMBERVALUE(LEFT(MCC_Table6[[#This Row],[BUCKET]],LEN(MCC_Table6[[#This Row],[BUCKET]])-1))</f>
        <v>#VALUE!</v>
      </c>
      <c r="Q405" s="51" t="str">
        <f>RIGHT(MCC_Table6[[#This Row],[BUCKET]],1)</f>
        <v/>
      </c>
      <c r="R405" s="51" t="e">
        <f>VLOOKUP(MCC_Table6[[#This Row],[START UNIT]],UnitMap[],2,FALSE)</f>
        <v>#N/A</v>
      </c>
      <c r="S405" s="51" t="e" cm="1">
        <f t="array" ref="S40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5" s="51">
        <f>IF(ISNUMBER(MCC_Table6[[#This Row],[SIZE]]), MCC_Table6[[#This Row],[SIZE]]/6, 0)</f>
        <v>0</v>
      </c>
      <c r="U405" s="51" t="e">
        <f>MCC_Table6[[#This Row],[START INDEX]]+MCC_Table6[[#This Row],[UNITS USED]]-1</f>
        <v>#N/A</v>
      </c>
      <c r="V405" s="12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</row>
    <row r="406" spans="1:52" x14ac:dyDescent="0.3">
      <c r="A406" s="97"/>
      <c r="B406" s="51"/>
      <c r="C406" s="129"/>
      <c r="D406" s="135"/>
      <c r="E406" s="130"/>
      <c r="F406" s="86">
        <f>IF(ISNUMBER(MCC_Table6[[#This Row],[SIZE]]), MCC_Table6[[#This Row],[SIZE]]/12, 0)</f>
        <v>0</v>
      </c>
      <c r="G406" s="10"/>
      <c r="H406" s="10"/>
      <c r="I406" s="10"/>
      <c r="J406" s="10"/>
      <c r="K406" s="54"/>
      <c r="L406" s="54"/>
      <c r="M406" s="54"/>
      <c r="N406" s="54"/>
      <c r="O406" s="53"/>
      <c r="P406" s="51" t="e">
        <f>_xlfn.NUMBERVALUE(LEFT(MCC_Table6[[#This Row],[BUCKET]],LEN(MCC_Table6[[#This Row],[BUCKET]])-1))</f>
        <v>#VALUE!</v>
      </c>
      <c r="Q406" s="51" t="str">
        <f>RIGHT(MCC_Table6[[#This Row],[BUCKET]],1)</f>
        <v/>
      </c>
      <c r="R406" s="51" t="e">
        <f>VLOOKUP(MCC_Table6[[#This Row],[START UNIT]],UnitMap[],2,FALSE)</f>
        <v>#N/A</v>
      </c>
      <c r="S406" s="51" t="e" cm="1">
        <f t="array" ref="S40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6" s="51">
        <f>IF(ISNUMBER(MCC_Table6[[#This Row],[SIZE]]), MCC_Table6[[#This Row],[SIZE]]/6, 0)</f>
        <v>0</v>
      </c>
      <c r="U406" s="51" t="e">
        <f>MCC_Table6[[#This Row],[START INDEX]]+MCC_Table6[[#This Row],[UNITS USED]]-1</f>
        <v>#N/A</v>
      </c>
      <c r="V406" s="12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</row>
    <row r="407" spans="1:52" x14ac:dyDescent="0.3">
      <c r="A407" s="97"/>
      <c r="B407" s="51"/>
      <c r="C407" s="129"/>
      <c r="D407" s="135"/>
      <c r="E407" s="130"/>
      <c r="F407" s="86">
        <f>IF(ISNUMBER(MCC_Table6[[#This Row],[SIZE]]), MCC_Table6[[#This Row],[SIZE]]/12, 0)</f>
        <v>0</v>
      </c>
      <c r="G407" s="10"/>
      <c r="H407" s="10"/>
      <c r="I407" s="10"/>
      <c r="J407" s="10"/>
      <c r="K407" s="54"/>
      <c r="L407" s="54"/>
      <c r="M407" s="54"/>
      <c r="N407" s="54"/>
      <c r="O407" s="53"/>
      <c r="P407" s="51" t="e">
        <f>_xlfn.NUMBERVALUE(LEFT(MCC_Table6[[#This Row],[BUCKET]],LEN(MCC_Table6[[#This Row],[BUCKET]])-1))</f>
        <v>#VALUE!</v>
      </c>
      <c r="Q407" s="51" t="str">
        <f>RIGHT(MCC_Table6[[#This Row],[BUCKET]],1)</f>
        <v/>
      </c>
      <c r="R407" s="51" t="e">
        <f>VLOOKUP(MCC_Table6[[#This Row],[START UNIT]],UnitMap[],2,FALSE)</f>
        <v>#N/A</v>
      </c>
      <c r="S407" s="51" t="e" cm="1">
        <f t="array" ref="S40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7" s="51">
        <f>IF(ISNUMBER(MCC_Table6[[#This Row],[SIZE]]), MCC_Table6[[#This Row],[SIZE]]/6, 0)</f>
        <v>0</v>
      </c>
      <c r="U407" s="51" t="e">
        <f>MCC_Table6[[#This Row],[START INDEX]]+MCC_Table6[[#This Row],[UNITS USED]]-1</f>
        <v>#N/A</v>
      </c>
      <c r="V407" s="12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</row>
    <row r="408" spans="1:52" x14ac:dyDescent="0.3">
      <c r="A408" s="97"/>
      <c r="B408" s="51"/>
      <c r="C408" s="129"/>
      <c r="D408" s="135"/>
      <c r="E408" s="130"/>
      <c r="F408" s="86">
        <f>IF(ISNUMBER(MCC_Table6[[#This Row],[SIZE]]), MCC_Table6[[#This Row],[SIZE]]/12, 0)</f>
        <v>0</v>
      </c>
      <c r="G408" s="10"/>
      <c r="H408" s="10"/>
      <c r="I408" s="10"/>
      <c r="J408" s="10"/>
      <c r="K408" s="54"/>
      <c r="L408" s="54"/>
      <c r="M408" s="54"/>
      <c r="N408" s="54"/>
      <c r="O408" s="53"/>
      <c r="P408" s="51" t="e">
        <f>_xlfn.NUMBERVALUE(LEFT(MCC_Table6[[#This Row],[BUCKET]],LEN(MCC_Table6[[#This Row],[BUCKET]])-1))</f>
        <v>#VALUE!</v>
      </c>
      <c r="Q408" s="51" t="str">
        <f>RIGHT(MCC_Table6[[#This Row],[BUCKET]],1)</f>
        <v/>
      </c>
      <c r="R408" s="51" t="e">
        <f>VLOOKUP(MCC_Table6[[#This Row],[START UNIT]],UnitMap[],2,FALSE)</f>
        <v>#N/A</v>
      </c>
      <c r="S408" s="51" t="e" cm="1">
        <f t="array" ref="S40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8" s="51">
        <f>IF(ISNUMBER(MCC_Table6[[#This Row],[SIZE]]), MCC_Table6[[#This Row],[SIZE]]/6, 0)</f>
        <v>0</v>
      </c>
      <c r="U408" s="51" t="e">
        <f>MCC_Table6[[#This Row],[START INDEX]]+MCC_Table6[[#This Row],[UNITS USED]]-1</f>
        <v>#N/A</v>
      </c>
      <c r="V408" s="12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</row>
    <row r="409" spans="1:52" x14ac:dyDescent="0.3">
      <c r="A409" s="97"/>
      <c r="B409" s="51"/>
      <c r="C409" s="129"/>
      <c r="D409" s="135"/>
      <c r="E409" s="130"/>
      <c r="F409" s="86">
        <f>IF(ISNUMBER(MCC_Table6[[#This Row],[SIZE]]), MCC_Table6[[#This Row],[SIZE]]/12, 0)</f>
        <v>0</v>
      </c>
      <c r="G409" s="10"/>
      <c r="H409" s="10"/>
      <c r="I409" s="10"/>
      <c r="J409" s="10"/>
      <c r="K409" s="54"/>
      <c r="L409" s="54"/>
      <c r="M409" s="54"/>
      <c r="N409" s="54"/>
      <c r="O409" s="53"/>
      <c r="P409" s="51" t="e">
        <f>_xlfn.NUMBERVALUE(LEFT(MCC_Table6[[#This Row],[BUCKET]],LEN(MCC_Table6[[#This Row],[BUCKET]])-1))</f>
        <v>#VALUE!</v>
      </c>
      <c r="Q409" s="51" t="str">
        <f>RIGHT(MCC_Table6[[#This Row],[BUCKET]],1)</f>
        <v/>
      </c>
      <c r="R409" s="51" t="e">
        <f>VLOOKUP(MCC_Table6[[#This Row],[START UNIT]],UnitMap[],2,FALSE)</f>
        <v>#N/A</v>
      </c>
      <c r="S409" s="51" t="e" cm="1">
        <f t="array" ref="S40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09" s="51">
        <f>IF(ISNUMBER(MCC_Table6[[#This Row],[SIZE]]), MCC_Table6[[#This Row],[SIZE]]/6, 0)</f>
        <v>0</v>
      </c>
      <c r="U409" s="51" t="e">
        <f>MCC_Table6[[#This Row],[START INDEX]]+MCC_Table6[[#This Row],[UNITS USED]]-1</f>
        <v>#N/A</v>
      </c>
      <c r="V409" s="12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</row>
    <row r="410" spans="1:52" x14ac:dyDescent="0.3">
      <c r="A410" s="97"/>
      <c r="B410" s="51"/>
      <c r="C410" s="129"/>
      <c r="D410" s="135"/>
      <c r="E410" s="130"/>
      <c r="F410" s="86">
        <f>IF(ISNUMBER(MCC_Table6[[#This Row],[SIZE]]), MCC_Table6[[#This Row],[SIZE]]/12, 0)</f>
        <v>0</v>
      </c>
      <c r="G410" s="10"/>
      <c r="H410" s="10"/>
      <c r="I410" s="10"/>
      <c r="J410" s="10"/>
      <c r="K410" s="54"/>
      <c r="L410" s="54"/>
      <c r="M410" s="54"/>
      <c r="N410" s="54"/>
      <c r="O410" s="53"/>
      <c r="P410" s="51" t="e">
        <f>_xlfn.NUMBERVALUE(LEFT(MCC_Table6[[#This Row],[BUCKET]],LEN(MCC_Table6[[#This Row],[BUCKET]])-1))</f>
        <v>#VALUE!</v>
      </c>
      <c r="Q410" s="51" t="str">
        <f>RIGHT(MCC_Table6[[#This Row],[BUCKET]],1)</f>
        <v/>
      </c>
      <c r="R410" s="51" t="e">
        <f>VLOOKUP(MCC_Table6[[#This Row],[START UNIT]],UnitMap[],2,FALSE)</f>
        <v>#N/A</v>
      </c>
      <c r="S410" s="51" t="e" cm="1">
        <f t="array" ref="S41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0" s="51">
        <f>IF(ISNUMBER(MCC_Table6[[#This Row],[SIZE]]), MCC_Table6[[#This Row],[SIZE]]/6, 0)</f>
        <v>0</v>
      </c>
      <c r="U410" s="51" t="e">
        <f>MCC_Table6[[#This Row],[START INDEX]]+MCC_Table6[[#This Row],[UNITS USED]]-1</f>
        <v>#N/A</v>
      </c>
      <c r="V410" s="12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</row>
    <row r="411" spans="1:52" x14ac:dyDescent="0.3">
      <c r="A411" s="97"/>
      <c r="B411" s="51"/>
      <c r="C411" s="129"/>
      <c r="D411" s="135"/>
      <c r="E411" s="130"/>
      <c r="F411" s="86">
        <f>IF(ISNUMBER(MCC_Table6[[#This Row],[SIZE]]), MCC_Table6[[#This Row],[SIZE]]/12, 0)</f>
        <v>0</v>
      </c>
      <c r="G411" s="10"/>
      <c r="H411" s="10"/>
      <c r="I411" s="10"/>
      <c r="J411" s="10"/>
      <c r="K411" s="54"/>
      <c r="L411" s="54"/>
      <c r="M411" s="54"/>
      <c r="N411" s="54"/>
      <c r="O411" s="53"/>
      <c r="P411" s="51" t="e">
        <f>_xlfn.NUMBERVALUE(LEFT(MCC_Table6[[#This Row],[BUCKET]],LEN(MCC_Table6[[#This Row],[BUCKET]])-1))</f>
        <v>#VALUE!</v>
      </c>
      <c r="Q411" s="51" t="str">
        <f>RIGHT(MCC_Table6[[#This Row],[BUCKET]],1)</f>
        <v/>
      </c>
      <c r="R411" s="51" t="e">
        <f>VLOOKUP(MCC_Table6[[#This Row],[START UNIT]],UnitMap[],2,FALSE)</f>
        <v>#N/A</v>
      </c>
      <c r="S411" s="51" t="e" cm="1">
        <f t="array" ref="S41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1" s="51">
        <f>IF(ISNUMBER(MCC_Table6[[#This Row],[SIZE]]), MCC_Table6[[#This Row],[SIZE]]/6, 0)</f>
        <v>0</v>
      </c>
      <c r="U411" s="51" t="e">
        <f>MCC_Table6[[#This Row],[START INDEX]]+MCC_Table6[[#This Row],[UNITS USED]]-1</f>
        <v>#N/A</v>
      </c>
      <c r="V411" s="120"/>
      <c r="W411" s="110"/>
      <c r="X411" s="110"/>
      <c r="Y411" s="110"/>
      <c r="Z411" s="110"/>
      <c r="AA411" s="110"/>
      <c r="AB411" s="110"/>
      <c r="AC411" s="110"/>
      <c r="AD411" s="110"/>
      <c r="AE411" s="110"/>
      <c r="AF411" s="110"/>
      <c r="AG411" s="11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</row>
    <row r="412" spans="1:52" x14ac:dyDescent="0.3">
      <c r="A412" s="97"/>
      <c r="B412" s="51"/>
      <c r="C412" s="129"/>
      <c r="D412" s="135"/>
      <c r="E412" s="130"/>
      <c r="F412" s="86">
        <f>IF(ISNUMBER(MCC_Table6[[#This Row],[SIZE]]), MCC_Table6[[#This Row],[SIZE]]/12, 0)</f>
        <v>0</v>
      </c>
      <c r="G412" s="10"/>
      <c r="H412" s="10"/>
      <c r="I412" s="10"/>
      <c r="J412" s="10"/>
      <c r="K412" s="54"/>
      <c r="L412" s="54"/>
      <c r="M412" s="54"/>
      <c r="N412" s="54"/>
      <c r="O412" s="53"/>
      <c r="P412" s="51" t="e">
        <f>_xlfn.NUMBERVALUE(LEFT(MCC_Table6[[#This Row],[BUCKET]],LEN(MCC_Table6[[#This Row],[BUCKET]])-1))</f>
        <v>#VALUE!</v>
      </c>
      <c r="Q412" s="51" t="str">
        <f>RIGHT(MCC_Table6[[#This Row],[BUCKET]],1)</f>
        <v/>
      </c>
      <c r="R412" s="51" t="e">
        <f>VLOOKUP(MCC_Table6[[#This Row],[START UNIT]],UnitMap[],2,FALSE)</f>
        <v>#N/A</v>
      </c>
      <c r="S412" s="51" t="e" cm="1">
        <f t="array" ref="S41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2" s="51">
        <f>IF(ISNUMBER(MCC_Table6[[#This Row],[SIZE]]), MCC_Table6[[#This Row],[SIZE]]/6, 0)</f>
        <v>0</v>
      </c>
      <c r="U412" s="51" t="e">
        <f>MCC_Table6[[#This Row],[START INDEX]]+MCC_Table6[[#This Row],[UNITS USED]]-1</f>
        <v>#N/A</v>
      </c>
      <c r="V412" s="12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</row>
    <row r="413" spans="1:52" x14ac:dyDescent="0.3">
      <c r="A413" s="97"/>
      <c r="B413" s="51"/>
      <c r="C413" s="129"/>
      <c r="D413" s="135"/>
      <c r="E413" s="130"/>
      <c r="F413" s="86">
        <f>IF(ISNUMBER(MCC_Table6[[#This Row],[SIZE]]), MCC_Table6[[#This Row],[SIZE]]/12, 0)</f>
        <v>0</v>
      </c>
      <c r="G413" s="10"/>
      <c r="H413" s="10"/>
      <c r="I413" s="10"/>
      <c r="J413" s="10"/>
      <c r="K413" s="54"/>
      <c r="L413" s="54"/>
      <c r="M413" s="54"/>
      <c r="N413" s="54"/>
      <c r="O413" s="53"/>
      <c r="P413" s="51" t="e">
        <f>_xlfn.NUMBERVALUE(LEFT(MCC_Table6[[#This Row],[BUCKET]],LEN(MCC_Table6[[#This Row],[BUCKET]])-1))</f>
        <v>#VALUE!</v>
      </c>
      <c r="Q413" s="51" t="str">
        <f>RIGHT(MCC_Table6[[#This Row],[BUCKET]],1)</f>
        <v/>
      </c>
      <c r="R413" s="51" t="e">
        <f>VLOOKUP(MCC_Table6[[#This Row],[START UNIT]],UnitMap[],2,FALSE)</f>
        <v>#N/A</v>
      </c>
      <c r="S413" s="51" t="e" cm="1">
        <f t="array" ref="S41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3" s="51">
        <f>IF(ISNUMBER(MCC_Table6[[#This Row],[SIZE]]), MCC_Table6[[#This Row],[SIZE]]/6, 0)</f>
        <v>0</v>
      </c>
      <c r="U413" s="51" t="e">
        <f>MCC_Table6[[#This Row],[START INDEX]]+MCC_Table6[[#This Row],[UNITS USED]]-1</f>
        <v>#N/A</v>
      </c>
      <c r="V413" s="12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</row>
    <row r="414" spans="1:52" x14ac:dyDescent="0.3">
      <c r="A414" s="97"/>
      <c r="B414" s="51"/>
      <c r="C414" s="129"/>
      <c r="D414" s="135"/>
      <c r="E414" s="130"/>
      <c r="F414" s="86">
        <f>IF(ISNUMBER(MCC_Table6[[#This Row],[SIZE]]), MCC_Table6[[#This Row],[SIZE]]/12, 0)</f>
        <v>0</v>
      </c>
      <c r="G414" s="10"/>
      <c r="H414" s="10"/>
      <c r="I414" s="10"/>
      <c r="J414" s="10"/>
      <c r="K414" s="54"/>
      <c r="L414" s="54"/>
      <c r="M414" s="54"/>
      <c r="N414" s="54"/>
      <c r="O414" s="53"/>
      <c r="P414" s="51" t="e">
        <f>_xlfn.NUMBERVALUE(LEFT(MCC_Table6[[#This Row],[BUCKET]],LEN(MCC_Table6[[#This Row],[BUCKET]])-1))</f>
        <v>#VALUE!</v>
      </c>
      <c r="Q414" s="51" t="str">
        <f>RIGHT(MCC_Table6[[#This Row],[BUCKET]],1)</f>
        <v/>
      </c>
      <c r="R414" s="51" t="e">
        <f>VLOOKUP(MCC_Table6[[#This Row],[START UNIT]],UnitMap[],2,FALSE)</f>
        <v>#N/A</v>
      </c>
      <c r="S414" s="51" t="e" cm="1">
        <f t="array" ref="S41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4" s="51">
        <f>IF(ISNUMBER(MCC_Table6[[#This Row],[SIZE]]), MCC_Table6[[#This Row],[SIZE]]/6, 0)</f>
        <v>0</v>
      </c>
      <c r="U414" s="51" t="e">
        <f>MCC_Table6[[#This Row],[START INDEX]]+MCC_Table6[[#This Row],[UNITS USED]]-1</f>
        <v>#N/A</v>
      </c>
      <c r="V414" s="12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</row>
    <row r="415" spans="1:52" x14ac:dyDescent="0.3">
      <c r="A415" s="97"/>
      <c r="B415" s="51"/>
      <c r="C415" s="129"/>
      <c r="D415" s="135"/>
      <c r="E415" s="130"/>
      <c r="F415" s="86">
        <f>IF(ISNUMBER(MCC_Table6[[#This Row],[SIZE]]), MCC_Table6[[#This Row],[SIZE]]/12, 0)</f>
        <v>0</v>
      </c>
      <c r="G415" s="10"/>
      <c r="H415" s="10"/>
      <c r="I415" s="10"/>
      <c r="J415" s="10"/>
      <c r="K415" s="54"/>
      <c r="L415" s="54"/>
      <c r="M415" s="54"/>
      <c r="N415" s="54"/>
      <c r="O415" s="53"/>
      <c r="P415" s="51" t="e">
        <f>_xlfn.NUMBERVALUE(LEFT(MCC_Table6[[#This Row],[BUCKET]],LEN(MCC_Table6[[#This Row],[BUCKET]])-1))</f>
        <v>#VALUE!</v>
      </c>
      <c r="Q415" s="51" t="str">
        <f>RIGHT(MCC_Table6[[#This Row],[BUCKET]],1)</f>
        <v/>
      </c>
      <c r="R415" s="51" t="e">
        <f>VLOOKUP(MCC_Table6[[#This Row],[START UNIT]],UnitMap[],2,FALSE)</f>
        <v>#N/A</v>
      </c>
      <c r="S415" s="51" t="e" cm="1">
        <f t="array" ref="S41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5" s="51">
        <f>IF(ISNUMBER(MCC_Table6[[#This Row],[SIZE]]), MCC_Table6[[#This Row],[SIZE]]/6, 0)</f>
        <v>0</v>
      </c>
      <c r="U415" s="51" t="e">
        <f>MCC_Table6[[#This Row],[START INDEX]]+MCC_Table6[[#This Row],[UNITS USED]]-1</f>
        <v>#N/A</v>
      </c>
      <c r="V415" s="12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</row>
    <row r="416" spans="1:52" x14ac:dyDescent="0.3">
      <c r="A416" s="97"/>
      <c r="B416" s="51"/>
      <c r="C416" s="129"/>
      <c r="D416" s="135"/>
      <c r="E416" s="130"/>
      <c r="F416" s="86">
        <f>IF(ISNUMBER(MCC_Table6[[#This Row],[SIZE]]), MCC_Table6[[#This Row],[SIZE]]/12, 0)</f>
        <v>0</v>
      </c>
      <c r="G416" s="10"/>
      <c r="H416" s="10"/>
      <c r="I416" s="10"/>
      <c r="J416" s="10"/>
      <c r="K416" s="54"/>
      <c r="L416" s="54"/>
      <c r="M416" s="54"/>
      <c r="N416" s="54"/>
      <c r="O416" s="53"/>
      <c r="P416" s="51" t="e">
        <f>_xlfn.NUMBERVALUE(LEFT(MCC_Table6[[#This Row],[BUCKET]],LEN(MCC_Table6[[#This Row],[BUCKET]])-1))</f>
        <v>#VALUE!</v>
      </c>
      <c r="Q416" s="51" t="str">
        <f>RIGHT(MCC_Table6[[#This Row],[BUCKET]],1)</f>
        <v/>
      </c>
      <c r="R416" s="51" t="e">
        <f>VLOOKUP(MCC_Table6[[#This Row],[START UNIT]],UnitMap[],2,FALSE)</f>
        <v>#N/A</v>
      </c>
      <c r="S416" s="51" t="e" cm="1">
        <f t="array" ref="S41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6" s="51">
        <f>IF(ISNUMBER(MCC_Table6[[#This Row],[SIZE]]), MCC_Table6[[#This Row],[SIZE]]/6, 0)</f>
        <v>0</v>
      </c>
      <c r="U416" s="51" t="e">
        <f>MCC_Table6[[#This Row],[START INDEX]]+MCC_Table6[[#This Row],[UNITS USED]]-1</f>
        <v>#N/A</v>
      </c>
      <c r="V416" s="12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</row>
    <row r="417" spans="1:52" x14ac:dyDescent="0.3">
      <c r="A417" s="97"/>
      <c r="B417" s="51"/>
      <c r="C417" s="129"/>
      <c r="D417" s="135"/>
      <c r="E417" s="130"/>
      <c r="F417" s="86">
        <f>IF(ISNUMBER(MCC_Table6[[#This Row],[SIZE]]), MCC_Table6[[#This Row],[SIZE]]/12, 0)</f>
        <v>0</v>
      </c>
      <c r="G417" s="10"/>
      <c r="H417" s="10"/>
      <c r="I417" s="10"/>
      <c r="J417" s="10"/>
      <c r="K417" s="54"/>
      <c r="L417" s="54"/>
      <c r="M417" s="54"/>
      <c r="N417" s="54"/>
      <c r="O417" s="53"/>
      <c r="P417" s="51" t="e">
        <f>_xlfn.NUMBERVALUE(LEFT(MCC_Table6[[#This Row],[BUCKET]],LEN(MCC_Table6[[#This Row],[BUCKET]])-1))</f>
        <v>#VALUE!</v>
      </c>
      <c r="Q417" s="51" t="str">
        <f>RIGHT(MCC_Table6[[#This Row],[BUCKET]],1)</f>
        <v/>
      </c>
      <c r="R417" s="51" t="e">
        <f>VLOOKUP(MCC_Table6[[#This Row],[START UNIT]],UnitMap[],2,FALSE)</f>
        <v>#N/A</v>
      </c>
      <c r="S417" s="51" t="e" cm="1">
        <f t="array" ref="S41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7" s="51">
        <f>IF(ISNUMBER(MCC_Table6[[#This Row],[SIZE]]), MCC_Table6[[#This Row],[SIZE]]/6, 0)</f>
        <v>0</v>
      </c>
      <c r="U417" s="51" t="e">
        <f>MCC_Table6[[#This Row],[START INDEX]]+MCC_Table6[[#This Row],[UNITS USED]]-1</f>
        <v>#N/A</v>
      </c>
      <c r="V417" s="12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</row>
    <row r="418" spans="1:52" x14ac:dyDescent="0.3">
      <c r="A418" s="97"/>
      <c r="B418" s="51"/>
      <c r="C418" s="129"/>
      <c r="D418" s="135"/>
      <c r="E418" s="130"/>
      <c r="F418" s="86">
        <f>IF(ISNUMBER(MCC_Table6[[#This Row],[SIZE]]), MCC_Table6[[#This Row],[SIZE]]/12, 0)</f>
        <v>0</v>
      </c>
      <c r="G418" s="10"/>
      <c r="H418" s="10"/>
      <c r="I418" s="10"/>
      <c r="J418" s="10"/>
      <c r="K418" s="54"/>
      <c r="L418" s="54"/>
      <c r="M418" s="54"/>
      <c r="N418" s="54"/>
      <c r="O418" s="53"/>
      <c r="P418" s="51" t="e">
        <f>_xlfn.NUMBERVALUE(LEFT(MCC_Table6[[#This Row],[BUCKET]],LEN(MCC_Table6[[#This Row],[BUCKET]])-1))</f>
        <v>#VALUE!</v>
      </c>
      <c r="Q418" s="51" t="str">
        <f>RIGHT(MCC_Table6[[#This Row],[BUCKET]],1)</f>
        <v/>
      </c>
      <c r="R418" s="51" t="e">
        <f>VLOOKUP(MCC_Table6[[#This Row],[START UNIT]],UnitMap[],2,FALSE)</f>
        <v>#N/A</v>
      </c>
      <c r="S418" s="51" t="e" cm="1">
        <f t="array" ref="S41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8" s="51">
        <f>IF(ISNUMBER(MCC_Table6[[#This Row],[SIZE]]), MCC_Table6[[#This Row],[SIZE]]/6, 0)</f>
        <v>0</v>
      </c>
      <c r="U418" s="51" t="e">
        <f>MCC_Table6[[#This Row],[START INDEX]]+MCC_Table6[[#This Row],[UNITS USED]]-1</f>
        <v>#N/A</v>
      </c>
      <c r="V418" s="12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</row>
    <row r="419" spans="1:52" x14ac:dyDescent="0.3">
      <c r="A419" s="97"/>
      <c r="B419" s="51"/>
      <c r="C419" s="129"/>
      <c r="D419" s="135"/>
      <c r="E419" s="130"/>
      <c r="F419" s="86">
        <f>IF(ISNUMBER(MCC_Table6[[#This Row],[SIZE]]), MCC_Table6[[#This Row],[SIZE]]/12, 0)</f>
        <v>0</v>
      </c>
      <c r="G419" s="10"/>
      <c r="H419" s="10"/>
      <c r="I419" s="10"/>
      <c r="J419" s="10"/>
      <c r="K419" s="54"/>
      <c r="L419" s="54"/>
      <c r="M419" s="54"/>
      <c r="N419" s="54"/>
      <c r="O419" s="53"/>
      <c r="P419" s="51" t="e">
        <f>_xlfn.NUMBERVALUE(LEFT(MCC_Table6[[#This Row],[BUCKET]],LEN(MCC_Table6[[#This Row],[BUCKET]])-1))</f>
        <v>#VALUE!</v>
      </c>
      <c r="Q419" s="51" t="str">
        <f>RIGHT(MCC_Table6[[#This Row],[BUCKET]],1)</f>
        <v/>
      </c>
      <c r="R419" s="51" t="e">
        <f>VLOOKUP(MCC_Table6[[#This Row],[START UNIT]],UnitMap[],2,FALSE)</f>
        <v>#N/A</v>
      </c>
      <c r="S419" s="51" t="e" cm="1">
        <f t="array" ref="S41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19" s="51">
        <f>IF(ISNUMBER(MCC_Table6[[#This Row],[SIZE]]), MCC_Table6[[#This Row],[SIZE]]/6, 0)</f>
        <v>0</v>
      </c>
      <c r="U419" s="51" t="e">
        <f>MCC_Table6[[#This Row],[START INDEX]]+MCC_Table6[[#This Row],[UNITS USED]]-1</f>
        <v>#N/A</v>
      </c>
      <c r="V419" s="12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</row>
    <row r="420" spans="1:52" x14ac:dyDescent="0.3">
      <c r="A420" s="97"/>
      <c r="B420" s="51"/>
      <c r="C420" s="129"/>
      <c r="D420" s="135"/>
      <c r="E420" s="130"/>
      <c r="F420" s="86">
        <f>IF(ISNUMBER(MCC_Table6[[#This Row],[SIZE]]), MCC_Table6[[#This Row],[SIZE]]/12, 0)</f>
        <v>0</v>
      </c>
      <c r="G420" s="10"/>
      <c r="H420" s="10"/>
      <c r="I420" s="10"/>
      <c r="J420" s="10"/>
      <c r="K420" s="54"/>
      <c r="L420" s="54"/>
      <c r="M420" s="54"/>
      <c r="N420" s="54"/>
      <c r="O420" s="53"/>
      <c r="P420" s="51" t="e">
        <f>_xlfn.NUMBERVALUE(LEFT(MCC_Table6[[#This Row],[BUCKET]],LEN(MCC_Table6[[#This Row],[BUCKET]])-1))</f>
        <v>#VALUE!</v>
      </c>
      <c r="Q420" s="51" t="str">
        <f>RIGHT(MCC_Table6[[#This Row],[BUCKET]],1)</f>
        <v/>
      </c>
      <c r="R420" s="51" t="e">
        <f>VLOOKUP(MCC_Table6[[#This Row],[START UNIT]],UnitMap[],2,FALSE)</f>
        <v>#N/A</v>
      </c>
      <c r="S420" s="51" t="e" cm="1">
        <f t="array" ref="S42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0" s="51">
        <f>IF(ISNUMBER(MCC_Table6[[#This Row],[SIZE]]), MCC_Table6[[#This Row],[SIZE]]/6, 0)</f>
        <v>0</v>
      </c>
      <c r="U420" s="51" t="e">
        <f>MCC_Table6[[#This Row],[START INDEX]]+MCC_Table6[[#This Row],[UNITS USED]]-1</f>
        <v>#N/A</v>
      </c>
      <c r="V420" s="12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</row>
    <row r="421" spans="1:52" x14ac:dyDescent="0.3">
      <c r="A421" s="97"/>
      <c r="B421" s="51"/>
      <c r="C421" s="129"/>
      <c r="D421" s="135"/>
      <c r="E421" s="130"/>
      <c r="F421" s="86">
        <f>IF(ISNUMBER(MCC_Table6[[#This Row],[SIZE]]), MCC_Table6[[#This Row],[SIZE]]/12, 0)</f>
        <v>0</v>
      </c>
      <c r="G421" s="10"/>
      <c r="H421" s="10"/>
      <c r="I421" s="10"/>
      <c r="J421" s="10"/>
      <c r="K421" s="54"/>
      <c r="L421" s="54"/>
      <c r="M421" s="54"/>
      <c r="N421" s="54"/>
      <c r="O421" s="53"/>
      <c r="P421" s="51" t="e">
        <f>_xlfn.NUMBERVALUE(LEFT(MCC_Table6[[#This Row],[BUCKET]],LEN(MCC_Table6[[#This Row],[BUCKET]])-1))</f>
        <v>#VALUE!</v>
      </c>
      <c r="Q421" s="51" t="str">
        <f>RIGHT(MCC_Table6[[#This Row],[BUCKET]],1)</f>
        <v/>
      </c>
      <c r="R421" s="51" t="e">
        <f>VLOOKUP(MCC_Table6[[#This Row],[START UNIT]],UnitMap[],2,FALSE)</f>
        <v>#N/A</v>
      </c>
      <c r="S421" s="51" t="e" cm="1">
        <f t="array" ref="S421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1" s="51">
        <f>IF(ISNUMBER(MCC_Table6[[#This Row],[SIZE]]), MCC_Table6[[#This Row],[SIZE]]/6, 0)</f>
        <v>0</v>
      </c>
      <c r="U421" s="51" t="e">
        <f>MCC_Table6[[#This Row],[START INDEX]]+MCC_Table6[[#This Row],[UNITS USED]]-1</f>
        <v>#N/A</v>
      </c>
      <c r="V421" s="12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</row>
    <row r="422" spans="1:52" x14ac:dyDescent="0.3">
      <c r="A422" s="97"/>
      <c r="B422" s="51"/>
      <c r="C422" s="129"/>
      <c r="D422" s="135"/>
      <c r="E422" s="130"/>
      <c r="F422" s="86">
        <f>IF(ISNUMBER(MCC_Table6[[#This Row],[SIZE]]), MCC_Table6[[#This Row],[SIZE]]/12, 0)</f>
        <v>0</v>
      </c>
      <c r="G422" s="10"/>
      <c r="H422" s="10"/>
      <c r="I422" s="10"/>
      <c r="J422" s="10"/>
      <c r="K422" s="54"/>
      <c r="L422" s="54"/>
      <c r="M422" s="54"/>
      <c r="N422" s="54"/>
      <c r="O422" s="53"/>
      <c r="P422" s="51" t="e">
        <f>_xlfn.NUMBERVALUE(LEFT(MCC_Table6[[#This Row],[BUCKET]],LEN(MCC_Table6[[#This Row],[BUCKET]])-1))</f>
        <v>#VALUE!</v>
      </c>
      <c r="Q422" s="51" t="str">
        <f>RIGHT(MCC_Table6[[#This Row],[BUCKET]],1)</f>
        <v/>
      </c>
      <c r="R422" s="51" t="e">
        <f>VLOOKUP(MCC_Table6[[#This Row],[START UNIT]],UnitMap[],2,FALSE)</f>
        <v>#N/A</v>
      </c>
      <c r="S422" s="51" t="e" cm="1">
        <f t="array" ref="S422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2" s="51">
        <f>IF(ISNUMBER(MCC_Table6[[#This Row],[SIZE]]), MCC_Table6[[#This Row],[SIZE]]/6, 0)</f>
        <v>0</v>
      </c>
      <c r="U422" s="51" t="e">
        <f>MCC_Table6[[#This Row],[START INDEX]]+MCC_Table6[[#This Row],[UNITS USED]]-1</f>
        <v>#N/A</v>
      </c>
      <c r="V422" s="12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</row>
    <row r="423" spans="1:52" x14ac:dyDescent="0.3">
      <c r="A423" s="97"/>
      <c r="B423" s="51"/>
      <c r="C423" s="129"/>
      <c r="D423" s="135"/>
      <c r="E423" s="130"/>
      <c r="F423" s="86">
        <f>IF(ISNUMBER(MCC_Table6[[#This Row],[SIZE]]), MCC_Table6[[#This Row],[SIZE]]/12, 0)</f>
        <v>0</v>
      </c>
      <c r="G423" s="10"/>
      <c r="H423" s="10"/>
      <c r="I423" s="10"/>
      <c r="J423" s="10"/>
      <c r="K423" s="54"/>
      <c r="L423" s="54"/>
      <c r="M423" s="54"/>
      <c r="N423" s="54"/>
      <c r="O423" s="53"/>
      <c r="P423" s="51" t="e">
        <f>_xlfn.NUMBERVALUE(LEFT(MCC_Table6[[#This Row],[BUCKET]],LEN(MCC_Table6[[#This Row],[BUCKET]])-1))</f>
        <v>#VALUE!</v>
      </c>
      <c r="Q423" s="51" t="str">
        <f>RIGHT(MCC_Table6[[#This Row],[BUCKET]],1)</f>
        <v/>
      </c>
      <c r="R423" s="51" t="e">
        <f>VLOOKUP(MCC_Table6[[#This Row],[START UNIT]],UnitMap[],2,FALSE)</f>
        <v>#N/A</v>
      </c>
      <c r="S423" s="51" t="e" cm="1">
        <f t="array" ref="S423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3" s="51">
        <f>IF(ISNUMBER(MCC_Table6[[#This Row],[SIZE]]), MCC_Table6[[#This Row],[SIZE]]/6, 0)</f>
        <v>0</v>
      </c>
      <c r="U423" s="51" t="e">
        <f>MCC_Table6[[#This Row],[START INDEX]]+MCC_Table6[[#This Row],[UNITS USED]]-1</f>
        <v>#N/A</v>
      </c>
      <c r="V423" s="12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</row>
    <row r="424" spans="1:52" x14ac:dyDescent="0.3">
      <c r="A424" s="97"/>
      <c r="B424" s="51"/>
      <c r="C424" s="129"/>
      <c r="D424" s="135"/>
      <c r="E424" s="130"/>
      <c r="F424" s="86">
        <f>IF(ISNUMBER(MCC_Table6[[#This Row],[SIZE]]), MCC_Table6[[#This Row],[SIZE]]/12, 0)</f>
        <v>0</v>
      </c>
      <c r="G424" s="10"/>
      <c r="H424" s="10"/>
      <c r="I424" s="10"/>
      <c r="J424" s="10"/>
      <c r="K424" s="54"/>
      <c r="L424" s="54"/>
      <c r="M424" s="54"/>
      <c r="N424" s="54"/>
      <c r="O424" s="53"/>
      <c r="P424" s="51" t="e">
        <f>_xlfn.NUMBERVALUE(LEFT(MCC_Table6[[#This Row],[BUCKET]],LEN(MCC_Table6[[#This Row],[BUCKET]])-1))</f>
        <v>#VALUE!</v>
      </c>
      <c r="Q424" s="51" t="str">
        <f>RIGHT(MCC_Table6[[#This Row],[BUCKET]],1)</f>
        <v/>
      </c>
      <c r="R424" s="51" t="e">
        <f>VLOOKUP(MCC_Table6[[#This Row],[START UNIT]],UnitMap[],2,FALSE)</f>
        <v>#N/A</v>
      </c>
      <c r="S424" s="51" t="e" cm="1">
        <f t="array" ref="S424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4" s="51">
        <f>IF(ISNUMBER(MCC_Table6[[#This Row],[SIZE]]), MCC_Table6[[#This Row],[SIZE]]/6, 0)</f>
        <v>0</v>
      </c>
      <c r="U424" s="51" t="e">
        <f>MCC_Table6[[#This Row],[START INDEX]]+MCC_Table6[[#This Row],[UNITS USED]]-1</f>
        <v>#N/A</v>
      </c>
      <c r="V424" s="12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</row>
    <row r="425" spans="1:52" x14ac:dyDescent="0.3">
      <c r="A425" s="97"/>
      <c r="B425" s="51"/>
      <c r="C425" s="129"/>
      <c r="D425" s="135"/>
      <c r="E425" s="130"/>
      <c r="F425" s="86">
        <f>IF(ISNUMBER(MCC_Table6[[#This Row],[SIZE]]), MCC_Table6[[#This Row],[SIZE]]/12, 0)</f>
        <v>0</v>
      </c>
      <c r="G425" s="10"/>
      <c r="H425" s="10"/>
      <c r="I425" s="10"/>
      <c r="J425" s="10"/>
      <c r="K425" s="54"/>
      <c r="L425" s="54"/>
      <c r="M425" s="54"/>
      <c r="N425" s="54"/>
      <c r="O425" s="53"/>
      <c r="P425" s="51" t="e">
        <f>_xlfn.NUMBERVALUE(LEFT(MCC_Table6[[#This Row],[BUCKET]],LEN(MCC_Table6[[#This Row],[BUCKET]])-1))</f>
        <v>#VALUE!</v>
      </c>
      <c r="Q425" s="51" t="str">
        <f>RIGHT(MCC_Table6[[#This Row],[BUCKET]],1)</f>
        <v/>
      </c>
      <c r="R425" s="51" t="e">
        <f>VLOOKUP(MCC_Table6[[#This Row],[START UNIT]],UnitMap[],2,FALSE)</f>
        <v>#N/A</v>
      </c>
      <c r="S425" s="51" t="e" cm="1">
        <f t="array" ref="S425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5" s="51">
        <f>IF(ISNUMBER(MCC_Table6[[#This Row],[SIZE]]), MCC_Table6[[#This Row],[SIZE]]/6, 0)</f>
        <v>0</v>
      </c>
      <c r="U425" s="51" t="e">
        <f>MCC_Table6[[#This Row],[START INDEX]]+MCC_Table6[[#This Row],[UNITS USED]]-1</f>
        <v>#N/A</v>
      </c>
      <c r="V425" s="12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</row>
    <row r="426" spans="1:52" x14ac:dyDescent="0.3">
      <c r="A426" s="97"/>
      <c r="B426" s="51"/>
      <c r="C426" s="129"/>
      <c r="D426" s="135"/>
      <c r="E426" s="130"/>
      <c r="F426" s="86">
        <f>IF(ISNUMBER(MCC_Table6[[#This Row],[SIZE]]), MCC_Table6[[#This Row],[SIZE]]/12, 0)</f>
        <v>0</v>
      </c>
      <c r="G426" s="10"/>
      <c r="H426" s="10"/>
      <c r="I426" s="10"/>
      <c r="J426" s="10"/>
      <c r="K426" s="54"/>
      <c r="L426" s="54"/>
      <c r="M426" s="54"/>
      <c r="N426" s="54"/>
      <c r="O426" s="53"/>
      <c r="P426" s="51" t="e">
        <f>_xlfn.NUMBERVALUE(LEFT(MCC_Table6[[#This Row],[BUCKET]],LEN(MCC_Table6[[#This Row],[BUCKET]])-1))</f>
        <v>#VALUE!</v>
      </c>
      <c r="Q426" s="51" t="str">
        <f>RIGHT(MCC_Table6[[#This Row],[BUCKET]],1)</f>
        <v/>
      </c>
      <c r="R426" s="51" t="e">
        <f>VLOOKUP(MCC_Table6[[#This Row],[START UNIT]],UnitMap[],2,FALSE)</f>
        <v>#N/A</v>
      </c>
      <c r="S426" s="51" t="e" cm="1">
        <f t="array" ref="S426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6" s="51">
        <f>IF(ISNUMBER(MCC_Table6[[#This Row],[SIZE]]), MCC_Table6[[#This Row],[SIZE]]/6, 0)</f>
        <v>0</v>
      </c>
      <c r="U426" s="51" t="e">
        <f>MCC_Table6[[#This Row],[START INDEX]]+MCC_Table6[[#This Row],[UNITS USED]]-1</f>
        <v>#N/A</v>
      </c>
      <c r="V426" s="12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</row>
    <row r="427" spans="1:52" x14ac:dyDescent="0.3">
      <c r="A427" s="97"/>
      <c r="B427" s="51"/>
      <c r="C427" s="129"/>
      <c r="D427" s="135"/>
      <c r="E427" s="130"/>
      <c r="F427" s="86">
        <f>IF(ISNUMBER(MCC_Table6[[#This Row],[SIZE]]), MCC_Table6[[#This Row],[SIZE]]/12, 0)</f>
        <v>0</v>
      </c>
      <c r="G427" s="10"/>
      <c r="H427" s="10"/>
      <c r="I427" s="10"/>
      <c r="J427" s="10"/>
      <c r="K427" s="54"/>
      <c r="L427" s="54"/>
      <c r="M427" s="54"/>
      <c r="N427" s="54"/>
      <c r="O427" s="53"/>
      <c r="P427" s="51" t="e">
        <f>_xlfn.NUMBERVALUE(LEFT(MCC_Table6[[#This Row],[BUCKET]],LEN(MCC_Table6[[#This Row],[BUCKET]])-1))</f>
        <v>#VALUE!</v>
      </c>
      <c r="Q427" s="51" t="str">
        <f>RIGHT(MCC_Table6[[#This Row],[BUCKET]],1)</f>
        <v/>
      </c>
      <c r="R427" s="51" t="e">
        <f>VLOOKUP(MCC_Table6[[#This Row],[START UNIT]],UnitMap[],2,FALSE)</f>
        <v>#N/A</v>
      </c>
      <c r="S427" s="51" t="e" cm="1">
        <f t="array" ref="S427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7" s="51">
        <f>IF(ISNUMBER(MCC_Table6[[#This Row],[SIZE]]), MCC_Table6[[#This Row],[SIZE]]/6, 0)</f>
        <v>0</v>
      </c>
      <c r="U427" s="51" t="e">
        <f>MCC_Table6[[#This Row],[START INDEX]]+MCC_Table6[[#This Row],[UNITS USED]]-1</f>
        <v>#N/A</v>
      </c>
      <c r="V427" s="12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</row>
    <row r="428" spans="1:52" x14ac:dyDescent="0.3">
      <c r="A428" s="97"/>
      <c r="B428" s="51"/>
      <c r="C428" s="129"/>
      <c r="D428" s="135"/>
      <c r="E428" s="130"/>
      <c r="F428" s="86">
        <f>IF(ISNUMBER(MCC_Table6[[#This Row],[SIZE]]), MCC_Table6[[#This Row],[SIZE]]/12, 0)</f>
        <v>0</v>
      </c>
      <c r="G428" s="10"/>
      <c r="H428" s="10"/>
      <c r="I428" s="10"/>
      <c r="J428" s="10"/>
      <c r="K428" s="54"/>
      <c r="L428" s="54"/>
      <c r="M428" s="54"/>
      <c r="N428" s="54"/>
      <c r="O428" s="53"/>
      <c r="P428" s="51" t="e">
        <f>_xlfn.NUMBERVALUE(LEFT(MCC_Table6[[#This Row],[BUCKET]],LEN(MCC_Table6[[#This Row],[BUCKET]])-1))</f>
        <v>#VALUE!</v>
      </c>
      <c r="Q428" s="51" t="str">
        <f>RIGHT(MCC_Table6[[#This Row],[BUCKET]],1)</f>
        <v/>
      </c>
      <c r="R428" s="51" t="e">
        <f>VLOOKUP(MCC_Table6[[#This Row],[START UNIT]],UnitMap[],2,FALSE)</f>
        <v>#N/A</v>
      </c>
      <c r="S428" s="51" t="e" cm="1">
        <f t="array" ref="S428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8" s="51">
        <f>IF(ISNUMBER(MCC_Table6[[#This Row],[SIZE]]), MCC_Table6[[#This Row],[SIZE]]/6, 0)</f>
        <v>0</v>
      </c>
      <c r="U428" s="51" t="e">
        <f>MCC_Table6[[#This Row],[START INDEX]]+MCC_Table6[[#This Row],[UNITS USED]]-1</f>
        <v>#N/A</v>
      </c>
      <c r="V428" s="120"/>
      <c r="W428" s="110"/>
      <c r="X428" s="110"/>
      <c r="Y428" s="110"/>
      <c r="Z428" s="110"/>
      <c r="AA428" s="110"/>
      <c r="AB428" s="110"/>
      <c r="AC428" s="110"/>
      <c r="AD428" s="110"/>
      <c r="AE428" s="110"/>
      <c r="AF428" s="110"/>
      <c r="AG428" s="11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</row>
    <row r="429" spans="1:52" x14ac:dyDescent="0.3">
      <c r="A429" s="97"/>
      <c r="B429" s="51"/>
      <c r="C429" s="39"/>
      <c r="D429" s="135"/>
      <c r="E429" s="51"/>
      <c r="F429" s="86">
        <f>IF(ISNUMBER(MCC_Table6[[#This Row],[SIZE]]), MCC_Table6[[#This Row],[SIZE]]/12, 0)</f>
        <v>0</v>
      </c>
      <c r="G429" s="10"/>
      <c r="H429" s="10"/>
      <c r="I429" s="10"/>
      <c r="J429" s="10"/>
      <c r="K429" s="54"/>
      <c r="L429" s="54"/>
      <c r="M429" s="54"/>
      <c r="N429" s="54"/>
      <c r="O429" s="53"/>
      <c r="P429" s="51" t="e">
        <f>_xlfn.NUMBERVALUE(LEFT(MCC_Table6[[#This Row],[BUCKET]],LEN(MCC_Table6[[#This Row],[BUCKET]])-1))</f>
        <v>#VALUE!</v>
      </c>
      <c r="Q429" s="51" t="str">
        <f>RIGHT(MCC_Table6[[#This Row],[BUCKET]],1)</f>
        <v/>
      </c>
      <c r="R429" s="51" t="e">
        <f>VLOOKUP(MCC_Table6[[#This Row],[START UNIT]],UnitMap[],2,FALSE)</f>
        <v>#N/A</v>
      </c>
      <c r="S429" s="51" t="e" cm="1">
        <f t="array" ref="S429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29" s="51">
        <f>IF(ISNUMBER(MCC_Table6[[#This Row],[SIZE]]), MCC_Table6[[#This Row],[SIZE]]/6, 0)</f>
        <v>0</v>
      </c>
      <c r="U429" s="51" t="e">
        <f>MCC_Table6[[#This Row],[START INDEX]]+MCC_Table6[[#This Row],[UNITS USED]]-1</f>
        <v>#N/A</v>
      </c>
      <c r="V429" s="12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</row>
    <row r="430" spans="1:52" x14ac:dyDescent="0.3">
      <c r="A430" s="97"/>
      <c r="B430" s="51"/>
      <c r="C430" s="39"/>
      <c r="D430" s="135"/>
      <c r="E430" s="51"/>
      <c r="F430" s="86">
        <f>IF(ISNUMBER(MCC_Table6[[#This Row],[SIZE]]), MCC_Table6[[#This Row],[SIZE]]/12, 0)</f>
        <v>0</v>
      </c>
      <c r="G430" s="10"/>
      <c r="H430" s="10"/>
      <c r="I430" s="10"/>
      <c r="J430" s="10"/>
      <c r="K430" s="54"/>
      <c r="L430" s="54"/>
      <c r="M430" s="54"/>
      <c r="N430" s="54"/>
      <c r="O430" s="53"/>
      <c r="P430" s="51" t="e">
        <f>_xlfn.NUMBERVALUE(LEFT(MCC_Table6[[#This Row],[BUCKET]],LEN(MCC_Table6[[#This Row],[BUCKET]])-1))</f>
        <v>#VALUE!</v>
      </c>
      <c r="Q430" s="51" t="str">
        <f>RIGHT(MCC_Table6[[#This Row],[BUCKET]],1)</f>
        <v/>
      </c>
      <c r="R430" s="51" t="e">
        <f>VLOOKUP(MCC_Table6[[#This Row],[START UNIT]],UnitMap[],2,FALSE)</f>
        <v>#N/A</v>
      </c>
      <c r="S430" s="51" t="e" cm="1">
        <f t="array" ref="S430">_xlfn.LET(
    _xlpm.next_row_index, ROW() - ROW(MCC_Table6[#Headers]) + 1,
    _xlpm.next_section, IFERROR(INDEX(MCC_Table6[SECTION], _xlpm.next_row_index, 1), ""),
    _xlpm.next_start_index, IFERROR(INDEX(MCC_Table6[START INDEX], _xlpm.next_row_index, 1), 0),
IF(
    AND(MCC_Table6[[#This Row],[SECTION]] = _xlpm.next_section, _xlpm.next_section &lt;&gt; ""),
    (_xlpm.next_start_index - MCC_Table6[[#This Row],[START INDEX]]) * 6,
    (13 - MCC_Table6[[#This Row],[START INDEX]]) * 6
))</f>
        <v>#VALUE!</v>
      </c>
      <c r="T430" s="51">
        <f>IF(ISNUMBER(MCC_Table6[[#This Row],[SIZE]]), MCC_Table6[[#This Row],[SIZE]]/6, 0)</f>
        <v>0</v>
      </c>
      <c r="U430" s="51" t="e">
        <f>MCC_Table6[[#This Row],[START INDEX]]+MCC_Table6[[#This Row],[UNITS USED]]-1</f>
        <v>#N/A</v>
      </c>
      <c r="V430" s="12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</row>
    <row r="431" spans="1:52" x14ac:dyDescent="0.3">
      <c r="A431" s="67"/>
      <c r="B431" s="10"/>
      <c r="C431" s="39"/>
      <c r="D431" s="135"/>
      <c r="E431" s="51"/>
      <c r="F431" s="87"/>
      <c r="G431" s="10"/>
      <c r="H431" s="10"/>
      <c r="I431" s="10"/>
      <c r="J431" s="10"/>
      <c r="K431" s="54"/>
      <c r="L431" s="54"/>
      <c r="M431" s="54"/>
      <c r="N431" s="54"/>
      <c r="O431" s="53"/>
      <c r="P431" s="10"/>
      <c r="Q431" s="10"/>
      <c r="R431" s="10"/>
      <c r="S431" s="10"/>
      <c r="T431" s="10"/>
      <c r="U431" s="10"/>
      <c r="V431" s="111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</row>
  </sheetData>
  <pageMargins left="0.7" right="0.7" top="1" bottom="0.75" header="0.3" footer="0.3"/>
  <pageSetup paperSize="3" scale="78" fitToHeight="0" orientation="landscape" r:id="rId1"/>
  <headerFooter>
    <oddHeader>&amp;L&amp;G&amp;C&amp;"Yu Gothic UI,Bold"&amp;16RL5 MOTOR LIST&amp;R&amp;G</oddHeader>
  </headerFooter>
  <legacyDrawingHF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D1207991E0754FB4AFEED6910B807E" ma:contentTypeVersion="18" ma:contentTypeDescription="Create a new document." ma:contentTypeScope="" ma:versionID="6cd2cd01c2e68c6307541fe4a51a8773">
  <xsd:schema xmlns:xsd="http://www.w3.org/2001/XMLSchema" xmlns:xs="http://www.w3.org/2001/XMLSchema" xmlns:p="http://schemas.microsoft.com/office/2006/metadata/properties" xmlns:ns2="D445F355-425F-4417-9E3B-C9DE79BFA4F3" xmlns:ns3="d445f355-425f-4417-9e3b-c9de79bfa4f3" xmlns:ns4="8019872d-8cd6-4af6-bd46-2a0e9d4aa2a3" targetNamespace="http://schemas.microsoft.com/office/2006/metadata/properties" ma:root="true" ma:fieldsID="248a3ec344354443d6dfb951f997f7d5" ns2:_="" ns3:_="" ns4:_="">
    <xsd:import namespace="D445F355-425F-4417-9E3B-C9DE79BFA4F3"/>
    <xsd:import namespace="d445f355-425f-4417-9e3b-c9de79bfa4f3"/>
    <xsd:import namespace="8019872d-8cd6-4af6-bd46-2a0e9d4aa2a3"/>
    <xsd:element name="properties">
      <xsd:complexType>
        <xsd:sequence>
          <xsd:element name="documentManagement">
            <xsd:complexType>
              <xsd:all>
                <xsd:element ref="ns2:Project_x0020_Number" minOccurs="0"/>
                <xsd:element ref="ns2:Proposal_x0020_Number" minOccurs="0"/>
                <xsd:element ref="ns2:Release_x0020_Number" minOccurs="0"/>
                <xsd:element ref="ns2:Value" minOccurs="0"/>
                <xsd:element ref="ns2:WM_x0020_Owner" minOccurs="0"/>
                <xsd:element ref="ns3:Project_x0020_Type" minOccurs="0"/>
                <xsd:element ref="ns3:Project_x0020_Manager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Customer" minOccurs="0"/>
                <xsd:element ref="ns3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45F355-425F-4417-9E3B-C9DE79BFA4F3" elementFormDefault="qualified">
    <xsd:import namespace="http://schemas.microsoft.com/office/2006/documentManagement/types"/>
    <xsd:import namespace="http://schemas.microsoft.com/office/infopath/2007/PartnerControls"/>
    <xsd:element name="Project_x0020_Number" ma:index="8" nillable="true" ma:displayName="Project Number" ma:default="TBD" ma:indexed="true" ma:internalName="Project_x0020_Number">
      <xsd:simpleType>
        <xsd:restriction base="dms:Text">
          <xsd:maxLength value="255"/>
        </xsd:restriction>
      </xsd:simpleType>
    </xsd:element>
    <xsd:element name="Proposal_x0020_Number" ma:index="9" nillable="true" ma:displayName="Proposal Number" ma:internalName="Proposal_x0020_Number">
      <xsd:simpleType>
        <xsd:restriction base="dms:Text">
          <xsd:maxLength value="255"/>
        </xsd:restriction>
      </xsd:simpleType>
    </xsd:element>
    <xsd:element name="Release_x0020_Number" ma:index="10" nillable="true" ma:displayName="Release Number" ma:default="TBD" ma:internalName="Release_x0020_Number">
      <xsd:simpleType>
        <xsd:restriction base="dms:Text">
          <xsd:maxLength value="255"/>
        </xsd:restriction>
      </xsd:simpleType>
    </xsd:element>
    <xsd:element name="Value" ma:index="11" nillable="true" ma:displayName="Value" ma:LCID="1033" ma:internalName="Value">
      <xsd:simpleType>
        <xsd:restriction base="dms:Currency"/>
      </xsd:simpleType>
    </xsd:element>
    <xsd:element name="WM_x0020_Owner" ma:index="12" nillable="true" ma:displayName="WM Owner" ma:list="UserInfo" ma:SharePointGroup="0" ma:internalName="WM_x0020_Owner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45f355-425f-4417-9e3b-c9de79bfa4f3" elementFormDefault="qualified">
    <xsd:import namespace="http://schemas.microsoft.com/office/2006/documentManagement/types"/>
    <xsd:import namespace="http://schemas.microsoft.com/office/infopath/2007/PartnerControls"/>
    <xsd:element name="Project_x0020_Type" ma:index="13" nillable="true" ma:displayName="Project Type" ma:default="Process" ma:format="Dropdown" ma:indexed="true" ma:internalName="Project_x0020_Type">
      <xsd:simpleType>
        <xsd:restriction base="dms:Choice">
          <xsd:enumeration value="Process"/>
          <xsd:enumeration value="Security"/>
        </xsd:restriction>
      </xsd:simpleType>
    </xsd:element>
    <xsd:element name="Project_x0020_Manager" ma:index="14" nillable="true" ma:displayName="Project Manager" ma:list="UserInfo" ma:SharePointGroup="0" ma:internalName="Project_x0020_Manag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8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9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Customer" ma:index="25" nillable="true" ma:displayName="Customer" ma:internalName="Customer">
      <xsd:simpleType>
        <xsd:restriction base="dms:Text">
          <xsd:maxLength value="255"/>
        </xsd:restriction>
      </xsd:simpleType>
    </xsd:element>
    <xsd:element name="lcf76f155ced4ddcb4097134ff3c332f" ma:index="27" nillable="true" ma:taxonomy="true" ma:internalName="lcf76f155ced4ddcb4097134ff3c332f" ma:taxonomyFieldName="MediaServiceImageTags" ma:displayName="Image Tags" ma:readOnly="false" ma:fieldId="{5cf76f15-5ced-4ddc-b409-7134ff3c332f}" ma:taxonomyMulti="true" ma:sspId="522a6f86-de95-4fd6-b25e-3ad75dfa89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19872d-8cd6-4af6-bd46-2a0e9d4aa2a3" elementFormDefault="qualified">
    <xsd:import namespace="http://schemas.microsoft.com/office/2006/documentManagement/types"/>
    <xsd:import namespace="http://schemas.microsoft.com/office/infopath/2007/PartnerControls"/>
    <xsd:element name="TaxCatchAll" ma:index="28" nillable="true" ma:displayName="Taxonomy Catch All Column" ma:hidden="true" ma:list="{50261065-B80C-46A9-A435-DFB4B610B82E}" ma:internalName="TaxCatchAll" ma:showField="CatchAllData" ma:web="{a6be083a-84f6-4b17-8ad1-e006683f1d48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alue xmlns="D445F355-425F-4417-9E3B-C9DE79BFA4F3" xsi:nil="true"/>
    <lcf76f155ced4ddcb4097134ff3c332f xmlns="d445f355-425f-4417-9e3b-c9de79bfa4f3">
      <Terms xmlns="http://schemas.microsoft.com/office/infopath/2007/PartnerControls"/>
    </lcf76f155ced4ddcb4097134ff3c332f>
    <Project_x0020_Type xmlns="d445f355-425f-4417-9e3b-c9de79bfa4f3">Process</Project_x0020_Type>
    <Customer xmlns="d445f355-425f-4417-9e3b-c9de79bfa4f3" xsi:nil="true"/>
    <WM_x0020_Owner xmlns="D445F355-425F-4417-9E3B-C9DE79BFA4F3">
      <UserInfo>
        <DisplayName/>
        <AccountId xsi:nil="true"/>
        <AccountType/>
      </UserInfo>
    </WM_x0020_Owner>
    <TaxCatchAll xmlns="8019872d-8cd6-4af6-bd46-2a0e9d4aa2a3" xsi:nil="true"/>
    <Release_x0020_Number xmlns="D445F355-425F-4417-9E3B-C9DE79BFA4F3">TBD</Release_x0020_Number>
    <Proposal_x0020_Number xmlns="D445F355-425F-4417-9E3B-C9DE79BFA4F3" xsi:nil="true"/>
    <Project_x0020_Number xmlns="D445F355-425F-4417-9E3B-C9DE79BFA4F3">TBD</Project_x0020_Number>
    <Project_x0020_Manager xmlns="d445f355-425f-4417-9e3b-c9de79bfa4f3">
      <UserInfo>
        <DisplayName/>
        <AccountId xsi:nil="true"/>
        <AccountType/>
      </UserInfo>
    </Project_x0020_Manager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B70ACD-B4B9-437B-B651-B65CD521EB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45F355-425F-4417-9E3B-C9DE79BFA4F3"/>
    <ds:schemaRef ds:uri="d445f355-425f-4417-9e3b-c9de79bfa4f3"/>
    <ds:schemaRef ds:uri="8019872d-8cd6-4af6-bd46-2a0e9d4aa2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AE328F2-C0EB-4ACE-9CED-48D2E9842772}">
  <ds:schemaRefs>
    <ds:schemaRef ds:uri="http://schemas.microsoft.com/office/2006/metadata/properties"/>
    <ds:schemaRef ds:uri="http://schemas.microsoft.com/office/infopath/2007/PartnerControls"/>
    <ds:schemaRef ds:uri="D445F355-425F-4417-9E3B-C9DE79BFA4F3"/>
    <ds:schemaRef ds:uri="d445f355-425f-4417-9e3b-c9de79bfa4f3"/>
    <ds:schemaRef ds:uri="8019872d-8cd6-4af6-bd46-2a0e9d4aa2a3"/>
  </ds:schemaRefs>
</ds:datastoreItem>
</file>

<file path=customXml/itemProps3.xml><?xml version="1.0" encoding="utf-8"?>
<ds:datastoreItem xmlns:ds="http://schemas.openxmlformats.org/officeDocument/2006/customXml" ds:itemID="{820D8A84-7476-4B35-92B6-8B99E90F9C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I-O</vt:lpstr>
      <vt:lpstr>MCC Info</vt:lpstr>
      <vt:lpstr>PNL-DVC</vt:lpstr>
      <vt:lpstr>Prog Over Time</vt:lpstr>
      <vt:lpstr>Progress</vt:lpstr>
      <vt:lpstr>Helper</vt:lpstr>
      <vt:lpstr>MCC Elevs</vt:lpstr>
      <vt:lpstr>Past MCC Data</vt:lpstr>
      <vt:lpstr>'I-O'!Print_Area</vt:lpstr>
      <vt:lpstr>'MCC Info'!Print_Area</vt:lpstr>
      <vt:lpstr>'Past MCC Data'!Print_Area</vt:lpstr>
      <vt:lpstr>'Prog Over Time'!Print_Area</vt:lpstr>
      <vt:lpstr>Progress!Print_Area</vt:lpstr>
      <vt:lpstr>'I-O'!Print_Titles</vt:lpstr>
      <vt:lpstr>'MCC Info'!Print_Titles</vt:lpstr>
      <vt:lpstr>'Past MCC Data'!Print_Titles</vt:lpstr>
      <vt:lpstr>'PNL-DVC'!Print_Titles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Levasseur</dc:creator>
  <cp:keywords/>
  <dc:description/>
  <cp:lastModifiedBy>Kevin Levasseur</cp:lastModifiedBy>
  <cp:revision/>
  <dcterms:created xsi:type="dcterms:W3CDTF">2021-10-15T16:13:40Z</dcterms:created>
  <dcterms:modified xsi:type="dcterms:W3CDTF">2026-02-06T17:40:23Z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0x010100D7D1207991E0754FB4AFEED6910B807E</vt:lpwstr>
  </property>
  <property fmtid="{D5CDD505-2E9C-101B-9397-08002B2CF9AE}" pid="3" name="MediaServiceImageTags">
    <vt:lpwstr/>
  </property>
</Properties>
</file>