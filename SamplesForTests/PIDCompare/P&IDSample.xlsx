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nows\Desktop\test1\"/>
    </mc:Choice>
  </mc:AlternateContent>
  <xr:revisionPtr revIDLastSave="0" documentId="8_{FE147584-C640-4CEB-922E-701DB7E2E7C9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L7" sheetId="1" r:id="rId1"/>
    <sheet name="UTIL" sheetId="2" r:id="rId2"/>
    <sheet name="MCC Info" sheetId="3" r:id="rId3"/>
    <sheet name="NP Needed" sheetId="4" r:id="rId4"/>
    <sheet name="PNL-DVC" sheetId="5" r:id="rId5"/>
    <sheet name="Prog Over Time" sheetId="6" r:id="rId6"/>
    <sheet name="PROGRESS" sheetId="7" r:id="rId7"/>
    <sheet name="Helper" sheetId="8" r:id="rId8"/>
    <sheet name="MCC Elevs" sheetId="9" r:id="rId9"/>
  </sheets>
  <definedNames>
    <definedName name="_xlnm._FilterDatabase" localSheetId="4" hidden="1">'PNL-DVC'!$B$1:$Q$98</definedName>
    <definedName name="ColorCode" comment="Pulls Color Code" localSheetId="1">GET.CELLS(38,UTIL!#REF!)</definedName>
    <definedName name="ColorCode" comment="Pulls Color Code">GET.CELLS(38,'RL7'!#REF!)</definedName>
    <definedName name="_xlnm.Print_Area" localSheetId="2">'MCC Info'!$A$1:$AA$412</definedName>
    <definedName name="_xlnm.Print_Area" localSheetId="5">'Prog Over Time'!$A$1:$L$20</definedName>
    <definedName name="_xlnm.Print_Area" localSheetId="6">PROGRESS!$A$1:$K$36</definedName>
    <definedName name="_xlnm.Print_Area" localSheetId="0">'RL7'!$A$1:$Z$1623</definedName>
    <definedName name="_xlnm.Print_Area" localSheetId="1">UTIL!$A$1:$Z$123</definedName>
    <definedName name="_xlnm.Print_Titles" localSheetId="2">'MCC Info'!$1:$1</definedName>
    <definedName name="_xlnm.Print_Titles" localSheetId="4">'PNL-DVC'!$1:$1</definedName>
    <definedName name="_xlnm.Print_Titles" localSheetId="0">'RL7'!$1:$1</definedName>
    <definedName name="_xlnm.Print_Titles" localSheetId="1">UTIL!$1:$1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H411" i="3" a="1"/>
  <c r="AH411" i="3" s="1"/>
  <c r="AG411" i="3"/>
  <c r="AF411" i="3"/>
  <c r="AE411" i="3"/>
  <c r="AF410" i="3"/>
  <c r="AG410" i="3" s="1"/>
  <c r="AE410" i="3"/>
  <c r="AH409" i="3" a="1"/>
  <c r="AH409" i="3"/>
  <c r="AF409" i="3"/>
  <c r="AG409" i="3" s="1"/>
  <c r="AE409" i="3"/>
  <c r="AF408" i="3"/>
  <c r="AG408" i="3" s="1"/>
  <c r="AE408" i="3"/>
  <c r="AG407" i="3"/>
  <c r="AF407" i="3"/>
  <c r="AE407" i="3"/>
  <c r="AF406" i="3"/>
  <c r="AG406" i="3" s="1"/>
  <c r="AE406" i="3"/>
  <c r="AH405" i="3" a="1"/>
  <c r="AH405" i="3" s="1"/>
  <c r="AF405" i="3"/>
  <c r="AG405" i="3" s="1"/>
  <c r="AE405" i="3"/>
  <c r="AF404" i="3"/>
  <c r="AG404" i="3" s="1"/>
  <c r="AE404" i="3"/>
  <c r="AH403" i="3" a="1"/>
  <c r="AH403" i="3" s="1"/>
  <c r="AG403" i="3"/>
  <c r="AH402" i="3" s="1" a="1"/>
  <c r="AH402" i="3" s="1"/>
  <c r="AF403" i="3"/>
  <c r="AE403" i="3"/>
  <c r="AF402" i="3"/>
  <c r="AG402" i="3" s="1"/>
  <c r="AE402" i="3"/>
  <c r="AF401" i="3"/>
  <c r="AG401" i="3" s="1"/>
  <c r="AE401" i="3"/>
  <c r="AH400" i="3" a="1"/>
  <c r="AH400" i="3" s="1"/>
  <c r="AI400" i="3" s="1"/>
  <c r="AF400" i="3"/>
  <c r="AG400" i="3" s="1"/>
  <c r="AE400" i="3"/>
  <c r="J400" i="3"/>
  <c r="AF399" i="3"/>
  <c r="AG399" i="3" s="1"/>
  <c r="AE399" i="3"/>
  <c r="AF398" i="3"/>
  <c r="AG398" i="3" s="1"/>
  <c r="AE398" i="3"/>
  <c r="AG397" i="3"/>
  <c r="AF397" i="3"/>
  <c r="AE397" i="3"/>
  <c r="AH397" i="3" s="1" a="1"/>
  <c r="AH397" i="3" s="1"/>
  <c r="AG396" i="3"/>
  <c r="AF396" i="3"/>
  <c r="AE396" i="3"/>
  <c r="AH395" i="3" s="1" a="1"/>
  <c r="AH395" i="3" s="1"/>
  <c r="J395" i="3" s="1"/>
  <c r="AI395" i="3"/>
  <c r="AJ395" i="3" s="1"/>
  <c r="AG395" i="3"/>
  <c r="AF395" i="3"/>
  <c r="AE395" i="3"/>
  <c r="AF394" i="3"/>
  <c r="AG394" i="3" s="1"/>
  <c r="AE394" i="3"/>
  <c r="AF393" i="3"/>
  <c r="AG393" i="3" s="1"/>
  <c r="AE393" i="3"/>
  <c r="AG392" i="3"/>
  <c r="AH391" i="3" s="1" a="1"/>
  <c r="AH391" i="3" s="1"/>
  <c r="J391" i="3" s="1"/>
  <c r="AF392" i="3"/>
  <c r="AE392" i="3"/>
  <c r="AF391" i="3"/>
  <c r="AG391" i="3" s="1"/>
  <c r="AE391" i="3"/>
  <c r="AG390" i="3"/>
  <c r="AF390" i="3"/>
  <c r="AE390" i="3"/>
  <c r="AH389" i="3" a="1"/>
  <c r="AH389" i="3" s="1"/>
  <c r="AG389" i="3"/>
  <c r="AF389" i="3"/>
  <c r="AE389" i="3"/>
  <c r="AH388" i="3" a="1"/>
  <c r="AH388" i="3" s="1"/>
  <c r="AI388" i="3" s="1"/>
  <c r="AF388" i="3"/>
  <c r="AG388" i="3" s="1"/>
  <c r="AE388" i="3"/>
  <c r="AH387" i="3" s="1" a="1"/>
  <c r="AH387" i="3"/>
  <c r="J387" i="3" s="1"/>
  <c r="AF387" i="3"/>
  <c r="AG387" i="3" s="1"/>
  <c r="AH386" i="3" s="1" a="1"/>
  <c r="AH386" i="3" s="1"/>
  <c r="AI386" i="3" s="1"/>
  <c r="AE387" i="3"/>
  <c r="AG386" i="3"/>
  <c r="AJ386" i="3" s="1"/>
  <c r="AF386" i="3"/>
  <c r="AE386" i="3"/>
  <c r="J386" i="3"/>
  <c r="AG385" i="3"/>
  <c r="AF385" i="3"/>
  <c r="AE385" i="3"/>
  <c r="AH384" i="3" a="1"/>
  <c r="AH384" i="3" s="1"/>
  <c r="AI384" i="3" s="1"/>
  <c r="AF384" i="3"/>
  <c r="AG384" i="3" s="1"/>
  <c r="AJ384" i="3" s="1"/>
  <c r="AE384" i="3"/>
  <c r="AF383" i="3"/>
  <c r="AG383" i="3" s="1"/>
  <c r="AE383" i="3"/>
  <c r="AF382" i="3"/>
  <c r="AG382" i="3" s="1"/>
  <c r="AE382" i="3"/>
  <c r="AH381" i="3" a="1"/>
  <c r="AH381" i="3" s="1"/>
  <c r="AF381" i="3"/>
  <c r="AG381" i="3" s="1"/>
  <c r="AE381" i="3"/>
  <c r="AH380" i="3" s="1" a="1"/>
  <c r="AH380" i="3" s="1"/>
  <c r="AG380" i="3"/>
  <c r="AF380" i="3"/>
  <c r="AE380" i="3"/>
  <c r="AF379" i="3"/>
  <c r="AG379" i="3" s="1"/>
  <c r="AE379" i="3"/>
  <c r="AG378" i="3"/>
  <c r="AF378" i="3"/>
  <c r="AE378" i="3"/>
  <c r="AH378" i="3" s="1" a="1"/>
  <c r="AH378" i="3" s="1"/>
  <c r="AF377" i="3"/>
  <c r="AG377" i="3" s="1"/>
  <c r="AE377" i="3"/>
  <c r="AF376" i="3"/>
  <c r="AG376" i="3" s="1"/>
  <c r="AE376" i="3"/>
  <c r="AH375" i="3" a="1"/>
  <c r="AH375" i="3" s="1"/>
  <c r="AG375" i="3"/>
  <c r="AF375" i="3"/>
  <c r="AE375" i="3"/>
  <c r="AF374" i="3"/>
  <c r="AG374" i="3" s="1"/>
  <c r="AE374" i="3"/>
  <c r="AH374" i="3" s="1" a="1"/>
  <c r="AH374" i="3" s="1"/>
  <c r="AF373" i="3"/>
  <c r="AG373" i="3" s="1"/>
  <c r="AE373" i="3"/>
  <c r="AF372" i="3"/>
  <c r="AG372" i="3" s="1"/>
  <c r="AE372" i="3"/>
  <c r="AG371" i="3"/>
  <c r="AF371" i="3"/>
  <c r="AE371" i="3"/>
  <c r="AH371" i="3" s="1" a="1"/>
  <c r="AH371" i="3" s="1"/>
  <c r="AG370" i="3"/>
  <c r="AF370" i="3"/>
  <c r="AE370" i="3"/>
  <c r="AG369" i="3"/>
  <c r="AH368" i="3" s="1" a="1"/>
  <c r="AH368" i="3" s="1"/>
  <c r="AF369" i="3"/>
  <c r="AE369" i="3"/>
  <c r="AF368" i="3"/>
  <c r="AG368" i="3" s="1"/>
  <c r="AE368" i="3"/>
  <c r="AH367" i="3" a="1"/>
  <c r="AH367" i="3"/>
  <c r="AF367" i="3"/>
  <c r="AG367" i="3" s="1"/>
  <c r="AE367" i="3"/>
  <c r="AG366" i="3"/>
  <c r="AH365" i="3" s="1" a="1"/>
  <c r="AH365" i="3" s="1"/>
  <c r="AF366" i="3"/>
  <c r="AE366" i="3"/>
  <c r="AG365" i="3"/>
  <c r="AF365" i="3"/>
  <c r="AE365" i="3"/>
  <c r="AF364" i="3"/>
  <c r="AG364" i="3" s="1"/>
  <c r="AE364" i="3"/>
  <c r="AF363" i="3"/>
  <c r="AG363" i="3" s="1"/>
  <c r="AE363" i="3"/>
  <c r="AG362" i="3"/>
  <c r="AF362" i="3"/>
  <c r="AE362" i="3"/>
  <c r="AG361" i="3"/>
  <c r="AF361" i="3"/>
  <c r="AE361" i="3"/>
  <c r="AH360" i="3" s="1" a="1"/>
  <c r="AH360" i="3"/>
  <c r="AG360" i="3"/>
  <c r="AF360" i="3"/>
  <c r="AE360" i="3"/>
  <c r="AH359" i="3" s="1" a="1"/>
  <c r="AH359" i="3" s="1"/>
  <c r="J359" i="3" s="1"/>
  <c r="AI359" i="3"/>
  <c r="AJ359" i="3" s="1"/>
  <c r="AF359" i="3"/>
  <c r="AG359" i="3" s="1"/>
  <c r="AE359" i="3"/>
  <c r="AF358" i="3"/>
  <c r="AG358" i="3" s="1"/>
  <c r="AE358" i="3"/>
  <c r="AG357" i="3"/>
  <c r="AF357" i="3"/>
  <c r="AE357" i="3"/>
  <c r="AG356" i="3"/>
  <c r="AF356" i="3"/>
  <c r="AE356" i="3"/>
  <c r="AH356" i="3" s="1" a="1"/>
  <c r="AH356" i="3" s="1"/>
  <c r="AG355" i="3"/>
  <c r="AF355" i="3"/>
  <c r="AE355" i="3"/>
  <c r="AF354" i="3"/>
  <c r="AG354" i="3" s="1"/>
  <c r="AE354" i="3"/>
  <c r="AG353" i="3"/>
  <c r="AF353" i="3"/>
  <c r="AE353" i="3"/>
  <c r="AG352" i="3"/>
  <c r="AF352" i="3"/>
  <c r="AE352" i="3"/>
  <c r="AF351" i="3"/>
  <c r="AG351" i="3" s="1"/>
  <c r="AE351" i="3"/>
  <c r="AH350" i="3" s="1" a="1"/>
  <c r="AH350" i="3" s="1"/>
  <c r="AG350" i="3"/>
  <c r="AF350" i="3"/>
  <c r="AE350" i="3"/>
  <c r="AF349" i="3"/>
  <c r="AG349" i="3" s="1"/>
  <c r="AE349" i="3"/>
  <c r="AF348" i="3"/>
  <c r="AG348" i="3" s="1"/>
  <c r="AE348" i="3"/>
  <c r="AF347" i="3"/>
  <c r="AG347" i="3" s="1"/>
  <c r="AE347" i="3"/>
  <c r="AF346" i="3"/>
  <c r="AG346" i="3" s="1"/>
  <c r="AE346" i="3"/>
  <c r="AG345" i="3"/>
  <c r="AF345" i="3"/>
  <c r="AE345" i="3"/>
  <c r="AF344" i="3"/>
  <c r="AG344" i="3" s="1"/>
  <c r="AE344" i="3"/>
  <c r="AH343" i="3" s="1" a="1"/>
  <c r="AH343" i="3" s="1"/>
  <c r="AG343" i="3"/>
  <c r="AF343" i="3"/>
  <c r="AE343" i="3"/>
  <c r="AF342" i="3"/>
  <c r="AG342" i="3" s="1"/>
  <c r="AH341" i="3" s="1" a="1"/>
  <c r="AH341" i="3" s="1"/>
  <c r="AE342" i="3"/>
  <c r="AF341" i="3"/>
  <c r="AG341" i="3" s="1"/>
  <c r="AE341" i="3"/>
  <c r="AF340" i="3"/>
  <c r="AG340" i="3" s="1"/>
  <c r="AE340" i="3"/>
  <c r="AF339" i="3"/>
  <c r="AG339" i="3" s="1"/>
  <c r="AH338" i="3" s="1" a="1"/>
  <c r="AH338" i="3" s="1"/>
  <c r="AI338" i="3" s="1"/>
  <c r="AE339" i="3"/>
  <c r="AG338" i="3"/>
  <c r="AJ338" i="3" s="1"/>
  <c r="AF338" i="3"/>
  <c r="AE338" i="3"/>
  <c r="J338" i="3"/>
  <c r="AG337" i="3"/>
  <c r="AH337" i="3" s="1" a="1"/>
  <c r="AH337" i="3" s="1"/>
  <c r="AF337" i="3"/>
  <c r="AE337" i="3"/>
  <c r="AF336" i="3"/>
  <c r="AG336" i="3" s="1"/>
  <c r="AE336" i="3"/>
  <c r="AG335" i="3"/>
  <c r="AH334" i="3" s="1" a="1"/>
  <c r="AH334" i="3" s="1"/>
  <c r="AF335" i="3"/>
  <c r="AE335" i="3"/>
  <c r="AF334" i="3"/>
  <c r="AG334" i="3" s="1"/>
  <c r="AE334" i="3"/>
  <c r="AG333" i="3"/>
  <c r="AF333" i="3"/>
  <c r="AE333" i="3"/>
  <c r="AH332" i="3" s="1" a="1"/>
  <c r="AH332" i="3" s="1"/>
  <c r="AF332" i="3"/>
  <c r="AG332" i="3" s="1"/>
  <c r="AE332" i="3"/>
  <c r="AG331" i="3"/>
  <c r="AF331" i="3"/>
  <c r="AE331" i="3"/>
  <c r="AG330" i="3"/>
  <c r="AF330" i="3"/>
  <c r="AE330" i="3"/>
  <c r="AG329" i="3"/>
  <c r="AF329" i="3"/>
  <c r="AE329" i="3"/>
  <c r="AG328" i="3"/>
  <c r="AF328" i="3"/>
  <c r="AE328" i="3"/>
  <c r="AG327" i="3"/>
  <c r="AF327" i="3"/>
  <c r="AE327" i="3"/>
  <c r="AH326" i="3" s="1" a="1"/>
  <c r="AH326" i="3" s="1"/>
  <c r="AF326" i="3"/>
  <c r="AG326" i="3" s="1"/>
  <c r="AE326" i="3"/>
  <c r="AH325" i="3" a="1"/>
  <c r="AH325" i="3" s="1"/>
  <c r="AF325" i="3"/>
  <c r="AG325" i="3" s="1"/>
  <c r="AE325" i="3"/>
  <c r="AH324" i="3" a="1"/>
  <c r="AH324" i="3" s="1"/>
  <c r="AI324" i="3" s="1"/>
  <c r="AJ324" i="3" s="1"/>
  <c r="AG324" i="3"/>
  <c r="AF324" i="3"/>
  <c r="AE324" i="3"/>
  <c r="AG323" i="3"/>
  <c r="AF323" i="3"/>
  <c r="AE323" i="3"/>
  <c r="AH322" i="3" s="1" a="1"/>
  <c r="AH322" i="3"/>
  <c r="AI322" i="3" s="1"/>
  <c r="AJ322" i="3" s="1"/>
  <c r="AG322" i="3"/>
  <c r="AF322" i="3"/>
  <c r="AE322" i="3"/>
  <c r="AG321" i="3"/>
  <c r="AF321" i="3"/>
  <c r="AE321" i="3"/>
  <c r="AH320" i="3" s="1" a="1"/>
  <c r="AH320" i="3" s="1"/>
  <c r="AF320" i="3"/>
  <c r="AG320" i="3" s="1"/>
  <c r="AE320" i="3"/>
  <c r="AF319" i="3"/>
  <c r="AG319" i="3" s="1"/>
  <c r="AE319" i="3"/>
  <c r="AG318" i="3"/>
  <c r="AF318" i="3"/>
  <c r="AE318" i="3"/>
  <c r="AF317" i="3"/>
  <c r="AG317" i="3" s="1"/>
  <c r="AE317" i="3"/>
  <c r="AJ316" i="3"/>
  <c r="AH316" i="3" a="1"/>
  <c r="AH316" i="3"/>
  <c r="AI316" i="3" s="1"/>
  <c r="AF316" i="3"/>
  <c r="AG316" i="3" s="1"/>
  <c r="AE316" i="3"/>
  <c r="J316" i="3"/>
  <c r="AF315" i="3"/>
  <c r="AG315" i="3" s="1"/>
  <c r="AE315" i="3"/>
  <c r="AG314" i="3"/>
  <c r="AF314" i="3"/>
  <c r="AE314" i="3"/>
  <c r="AH313" i="3" s="1" a="1"/>
  <c r="AH313" i="3" s="1"/>
  <c r="AI313" i="3" s="1"/>
  <c r="AG313" i="3"/>
  <c r="AF313" i="3"/>
  <c r="AE313" i="3"/>
  <c r="AF312" i="3"/>
  <c r="AG312" i="3" s="1"/>
  <c r="AE312" i="3"/>
  <c r="AF311" i="3"/>
  <c r="AG311" i="3" s="1"/>
  <c r="AE311" i="3"/>
  <c r="AG310" i="3"/>
  <c r="AH309" i="3" s="1" a="1"/>
  <c r="AH309" i="3" s="1"/>
  <c r="AF310" i="3"/>
  <c r="AE310" i="3"/>
  <c r="AF309" i="3"/>
  <c r="AG309" i="3" s="1"/>
  <c r="AE309" i="3"/>
  <c r="AG308" i="3"/>
  <c r="AF308" i="3"/>
  <c r="AE308" i="3"/>
  <c r="AF307" i="3"/>
  <c r="AG307" i="3" s="1"/>
  <c r="AE307" i="3"/>
  <c r="AG306" i="3"/>
  <c r="AF306" i="3"/>
  <c r="AE306" i="3"/>
  <c r="AH305" i="3" s="1" a="1"/>
  <c r="AH305" i="3" s="1"/>
  <c r="J305" i="3" s="1"/>
  <c r="AI305" i="3"/>
  <c r="AJ305" i="3" s="1"/>
  <c r="AG305" i="3"/>
  <c r="AF305" i="3"/>
  <c r="AE305" i="3"/>
  <c r="AH304" i="3" a="1"/>
  <c r="AH304" i="3" s="1"/>
  <c r="AI304" i="3" s="1"/>
  <c r="AG304" i="3"/>
  <c r="AF304" i="3"/>
  <c r="AE304" i="3"/>
  <c r="AG303" i="3"/>
  <c r="AF303" i="3"/>
  <c r="AE303" i="3"/>
  <c r="AG302" i="3"/>
  <c r="AF302" i="3"/>
  <c r="AE302" i="3"/>
  <c r="AH301" i="3" a="1"/>
  <c r="AH301" i="3" s="1"/>
  <c r="AF301" i="3"/>
  <c r="AG301" i="3" s="1"/>
  <c r="AE301" i="3"/>
  <c r="AF300" i="3"/>
  <c r="AG300" i="3" s="1"/>
  <c r="AE300" i="3"/>
  <c r="AH299" i="3" a="1"/>
  <c r="AH299" i="3" s="1"/>
  <c r="J299" i="3" s="1"/>
  <c r="AF299" i="3"/>
  <c r="AG299" i="3" s="1"/>
  <c r="AE299" i="3"/>
  <c r="AG298" i="3"/>
  <c r="AF298" i="3"/>
  <c r="AE298" i="3"/>
  <c r="AH297" i="3" s="1" a="1"/>
  <c r="AH297" i="3"/>
  <c r="AI297" i="3" s="1"/>
  <c r="AJ297" i="3" s="1"/>
  <c r="AG297" i="3"/>
  <c r="AF297" i="3"/>
  <c r="AE297" i="3"/>
  <c r="AF296" i="3"/>
  <c r="AG296" i="3" s="1"/>
  <c r="AE296" i="3"/>
  <c r="AF295" i="3"/>
  <c r="AG295" i="3" s="1"/>
  <c r="AE295" i="3"/>
  <c r="AF294" i="3"/>
  <c r="AG294" i="3" s="1"/>
  <c r="AE294" i="3"/>
  <c r="AH293" i="3" s="1" a="1"/>
  <c r="AH293" i="3" s="1"/>
  <c r="AF293" i="3"/>
  <c r="AG293" i="3" s="1"/>
  <c r="AE293" i="3"/>
  <c r="AF292" i="3"/>
  <c r="AG292" i="3" s="1"/>
  <c r="AE292" i="3"/>
  <c r="AJ291" i="3"/>
  <c r="AH291" i="3" a="1"/>
  <c r="AH291" i="3"/>
  <c r="AI291" i="3" s="1"/>
  <c r="AF291" i="3"/>
  <c r="AG291" i="3" s="1"/>
  <c r="AE291" i="3"/>
  <c r="J291" i="3"/>
  <c r="AF290" i="3"/>
  <c r="AG290" i="3" s="1"/>
  <c r="AE290" i="3"/>
  <c r="AG289" i="3"/>
  <c r="AF289" i="3"/>
  <c r="AE289" i="3"/>
  <c r="AH288" i="3" s="1" a="1"/>
  <c r="AH288" i="3" s="1"/>
  <c r="AI288" i="3" s="1"/>
  <c r="AG288" i="3"/>
  <c r="AF288" i="3"/>
  <c r="AE288" i="3"/>
  <c r="J288" i="3"/>
  <c r="AF287" i="3"/>
  <c r="AG287" i="3" s="1"/>
  <c r="AH287" i="3" s="1" a="1"/>
  <c r="AH287" i="3" s="1"/>
  <c r="AE287" i="3"/>
  <c r="AH286" i="3" s="1" a="1"/>
  <c r="AH286" i="3" s="1"/>
  <c r="AF286" i="3"/>
  <c r="AG286" i="3" s="1"/>
  <c r="AE286" i="3"/>
  <c r="AF285" i="3"/>
  <c r="AG285" i="3" s="1"/>
  <c r="AE285" i="3"/>
  <c r="AG284" i="3"/>
  <c r="AF284" i="3"/>
  <c r="AE284" i="3"/>
  <c r="AH283" i="3" a="1"/>
  <c r="AH283" i="3" s="1"/>
  <c r="AG283" i="3"/>
  <c r="AF283" i="3"/>
  <c r="AE283" i="3"/>
  <c r="AF282" i="3"/>
  <c r="AG282" i="3" s="1"/>
  <c r="AE282" i="3"/>
  <c r="AF281" i="3"/>
  <c r="AG281" i="3" s="1"/>
  <c r="AE281" i="3"/>
  <c r="AF280" i="3"/>
  <c r="AG280" i="3" s="1"/>
  <c r="AE280" i="3"/>
  <c r="AG279" i="3"/>
  <c r="AF279" i="3"/>
  <c r="AE279" i="3"/>
  <c r="AG278" i="3"/>
  <c r="AF278" i="3"/>
  <c r="AE278" i="3"/>
  <c r="AG277" i="3"/>
  <c r="AF277" i="3"/>
  <c r="AE277" i="3"/>
  <c r="AH276" i="3" a="1"/>
  <c r="AH276" i="3" s="1"/>
  <c r="AF276" i="3"/>
  <c r="AG276" i="3" s="1"/>
  <c r="AE276" i="3"/>
  <c r="AG275" i="3"/>
  <c r="AF275" i="3"/>
  <c r="AE275" i="3"/>
  <c r="AF274" i="3"/>
  <c r="AG274" i="3" s="1"/>
  <c r="AE274" i="3"/>
  <c r="AG273" i="3"/>
  <c r="AF273" i="3"/>
  <c r="AE273" i="3"/>
  <c r="AG272" i="3"/>
  <c r="AF272" i="3"/>
  <c r="AE272" i="3"/>
  <c r="AF271" i="3"/>
  <c r="AG271" i="3" s="1"/>
  <c r="AE271" i="3"/>
  <c r="AF270" i="3"/>
  <c r="AG270" i="3" s="1"/>
  <c r="AE270" i="3"/>
  <c r="AF269" i="3"/>
  <c r="AG269" i="3" s="1"/>
  <c r="AE269" i="3"/>
  <c r="AF268" i="3"/>
  <c r="AG268" i="3" s="1"/>
  <c r="AE268" i="3"/>
  <c r="AF267" i="3"/>
  <c r="AG267" i="3" s="1"/>
  <c r="AE267" i="3"/>
  <c r="AG266" i="3"/>
  <c r="AH266" i="3" s="1" a="1"/>
  <c r="AH266" i="3" s="1"/>
  <c r="AF266" i="3"/>
  <c r="AE266" i="3"/>
  <c r="AH265" i="3" s="1" a="1"/>
  <c r="AH265" i="3" s="1"/>
  <c r="AF265" i="3"/>
  <c r="AG265" i="3" s="1"/>
  <c r="AE265" i="3"/>
  <c r="AF264" i="3"/>
  <c r="AG264" i="3" s="1"/>
  <c r="AE264" i="3"/>
  <c r="AH263" i="3" s="1" a="1"/>
  <c r="AH263" i="3" s="1"/>
  <c r="AI263" i="3" s="1"/>
  <c r="AG263" i="3"/>
  <c r="AF263" i="3"/>
  <c r="AE263" i="3"/>
  <c r="AF262" i="3"/>
  <c r="AG262" i="3" s="1"/>
  <c r="AE262" i="3"/>
  <c r="AF261" i="3"/>
  <c r="AG261" i="3" s="1"/>
  <c r="AE261" i="3"/>
  <c r="AF260" i="3"/>
  <c r="AG260" i="3" s="1"/>
  <c r="AE260" i="3"/>
  <c r="AG259" i="3"/>
  <c r="AF259" i="3"/>
  <c r="AE259" i="3"/>
  <c r="AG258" i="3"/>
  <c r="AF258" i="3"/>
  <c r="AE258" i="3"/>
  <c r="AH257" i="3" s="1" a="1"/>
  <c r="AH257" i="3" s="1"/>
  <c r="AI257" i="3" s="1"/>
  <c r="AJ257" i="3" s="1"/>
  <c r="AG257" i="3"/>
  <c r="AF257" i="3"/>
  <c r="AE257" i="3"/>
  <c r="AG256" i="3"/>
  <c r="AH255" i="3" s="1" a="1"/>
  <c r="AH255" i="3" s="1"/>
  <c r="AF256" i="3"/>
  <c r="AE256" i="3"/>
  <c r="AF255" i="3"/>
  <c r="AG255" i="3" s="1"/>
  <c r="AE255" i="3"/>
  <c r="AH254" i="3" s="1" a="1"/>
  <c r="AH254" i="3" s="1"/>
  <c r="AF254" i="3"/>
  <c r="AG254" i="3" s="1"/>
  <c r="AH253" i="3" s="1" a="1"/>
  <c r="AH253" i="3" s="1"/>
  <c r="AE254" i="3"/>
  <c r="AG253" i="3"/>
  <c r="AF253" i="3"/>
  <c r="AE253" i="3"/>
  <c r="AH252" i="3" a="1"/>
  <c r="AH252" i="3"/>
  <c r="AI252" i="3" s="1"/>
  <c r="AJ252" i="3" s="1"/>
  <c r="AF252" i="3"/>
  <c r="AG252" i="3" s="1"/>
  <c r="AE252" i="3"/>
  <c r="J252" i="3"/>
  <c r="AG251" i="3"/>
  <c r="AF251" i="3"/>
  <c r="AE251" i="3"/>
  <c r="AF250" i="3"/>
  <c r="AG250" i="3" s="1"/>
  <c r="AE250" i="3"/>
  <c r="AH249" i="3" a="1"/>
  <c r="AH249" i="3" s="1"/>
  <c r="AG249" i="3"/>
  <c r="AF249" i="3"/>
  <c r="AE249" i="3"/>
  <c r="AF248" i="3"/>
  <c r="AG248" i="3" s="1"/>
  <c r="AE248" i="3"/>
  <c r="AG247" i="3"/>
  <c r="AF247" i="3"/>
  <c r="AE247" i="3"/>
  <c r="AH246" i="3" a="1"/>
  <c r="AH246" i="3" s="1"/>
  <c r="AF246" i="3"/>
  <c r="AG246" i="3" s="1"/>
  <c r="AE246" i="3"/>
  <c r="AG245" i="3"/>
  <c r="AF245" i="3"/>
  <c r="AE245" i="3"/>
  <c r="AF244" i="3"/>
  <c r="AG244" i="3" s="1"/>
  <c r="AE244" i="3"/>
  <c r="AF243" i="3"/>
  <c r="AG243" i="3" s="1"/>
  <c r="AE243" i="3"/>
  <c r="AF242" i="3"/>
  <c r="AG242" i="3" s="1"/>
  <c r="AE242" i="3"/>
  <c r="AH242" i="3" s="1" a="1"/>
  <c r="AH242" i="3" s="1"/>
  <c r="AG241" i="3"/>
  <c r="AF241" i="3"/>
  <c r="AE241" i="3"/>
  <c r="AG240" i="3"/>
  <c r="AF240" i="3"/>
  <c r="AE240" i="3"/>
  <c r="AH239" i="3" a="1"/>
  <c r="AH239" i="3" s="1"/>
  <c r="AI239" i="3" s="1"/>
  <c r="AJ239" i="3" s="1"/>
  <c r="AG239" i="3"/>
  <c r="AF239" i="3"/>
  <c r="AE239" i="3"/>
  <c r="AG238" i="3"/>
  <c r="AH237" i="3" s="1" a="1"/>
  <c r="AH237" i="3" s="1"/>
  <c r="AF238" i="3"/>
  <c r="AE238" i="3"/>
  <c r="AF237" i="3"/>
  <c r="AG237" i="3" s="1"/>
  <c r="AE237" i="3"/>
  <c r="AG236" i="3"/>
  <c r="AF236" i="3"/>
  <c r="AE236" i="3"/>
  <c r="AG235" i="3"/>
  <c r="AF235" i="3"/>
  <c r="AE235" i="3"/>
  <c r="AG234" i="3"/>
  <c r="AF234" i="3"/>
  <c r="AE234" i="3"/>
  <c r="AH233" i="3" s="1" a="1"/>
  <c r="AH233" i="3" s="1"/>
  <c r="AF233" i="3"/>
  <c r="AG233" i="3" s="1"/>
  <c r="AE233" i="3"/>
  <c r="AG232" i="3"/>
  <c r="AF232" i="3"/>
  <c r="AE232" i="3"/>
  <c r="AF231" i="3"/>
  <c r="AG231" i="3" s="1"/>
  <c r="AE231" i="3"/>
  <c r="AF230" i="3"/>
  <c r="AG230" i="3" s="1"/>
  <c r="AE230" i="3"/>
  <c r="AF229" i="3"/>
  <c r="AG229" i="3" s="1"/>
  <c r="AE229" i="3"/>
  <c r="AF228" i="3"/>
  <c r="AG228" i="3" s="1"/>
  <c r="AE228" i="3"/>
  <c r="AF227" i="3"/>
  <c r="AG227" i="3" s="1"/>
  <c r="AE227" i="3"/>
  <c r="AG226" i="3"/>
  <c r="AF226" i="3"/>
  <c r="AE226" i="3"/>
  <c r="AH225" i="3" s="1" a="1"/>
  <c r="AH225" i="3" s="1"/>
  <c r="AG225" i="3"/>
  <c r="AF225" i="3"/>
  <c r="AE225" i="3"/>
  <c r="AH224" i="3" s="1" a="1"/>
  <c r="AH224" i="3" s="1"/>
  <c r="AG224" i="3"/>
  <c r="AF224" i="3"/>
  <c r="AE224" i="3"/>
  <c r="AH223" i="3" a="1"/>
  <c r="AH223" i="3" s="1"/>
  <c r="AI223" i="3" s="1"/>
  <c r="AJ223" i="3" s="1"/>
  <c r="AG223" i="3"/>
  <c r="AF223" i="3"/>
  <c r="AE223" i="3"/>
  <c r="AF222" i="3"/>
  <c r="AG222" i="3" s="1"/>
  <c r="AE222" i="3"/>
  <c r="AH222" i="3" s="1" a="1"/>
  <c r="AH222" i="3" s="1"/>
  <c r="AF221" i="3"/>
  <c r="AG221" i="3" s="1"/>
  <c r="AE221" i="3"/>
  <c r="AH220" i="3" s="1" a="1"/>
  <c r="AH220" i="3" s="1"/>
  <c r="AG220" i="3"/>
  <c r="AF220" i="3"/>
  <c r="AE220" i="3"/>
  <c r="AG219" i="3"/>
  <c r="AF219" i="3"/>
  <c r="AE219" i="3"/>
  <c r="AH218" i="3" s="1" a="1"/>
  <c r="AH218" i="3" s="1"/>
  <c r="AI218" i="3" s="1"/>
  <c r="AF218" i="3"/>
  <c r="AG218" i="3" s="1"/>
  <c r="AJ218" i="3" s="1"/>
  <c r="AE218" i="3"/>
  <c r="AF217" i="3"/>
  <c r="AG217" i="3" s="1"/>
  <c r="AE217" i="3"/>
  <c r="AG216" i="3"/>
  <c r="AF216" i="3"/>
  <c r="AE216" i="3"/>
  <c r="AH215" i="3" a="1"/>
  <c r="AH215" i="3" s="1"/>
  <c r="J215" i="3" s="1"/>
  <c r="AF215" i="3"/>
  <c r="AG215" i="3" s="1"/>
  <c r="AE215" i="3"/>
  <c r="AF214" i="3"/>
  <c r="AG214" i="3" s="1"/>
  <c r="AE214" i="3"/>
  <c r="AF213" i="3"/>
  <c r="AG213" i="3" s="1"/>
  <c r="AH212" i="3" s="1" a="1"/>
  <c r="AH212" i="3" s="1"/>
  <c r="AE213" i="3"/>
  <c r="AG212" i="3"/>
  <c r="AF212" i="3"/>
  <c r="AE212" i="3"/>
  <c r="AH211" i="3" s="1" a="1"/>
  <c r="AH211" i="3" s="1"/>
  <c r="AG211" i="3"/>
  <c r="AF211" i="3"/>
  <c r="AE211" i="3"/>
  <c r="AF210" i="3"/>
  <c r="AG210" i="3" s="1"/>
  <c r="AE210" i="3"/>
  <c r="AG209" i="3"/>
  <c r="AF209" i="3"/>
  <c r="AE209" i="3"/>
  <c r="AG208" i="3"/>
  <c r="AF208" i="3"/>
  <c r="AE208" i="3"/>
  <c r="AH207" i="3" s="1" a="1"/>
  <c r="AH207" i="3" s="1"/>
  <c r="AG207" i="3"/>
  <c r="AF207" i="3"/>
  <c r="AE207" i="3"/>
  <c r="AG206" i="3"/>
  <c r="AF206" i="3"/>
  <c r="AE206" i="3"/>
  <c r="AH205" i="3" s="1" a="1"/>
  <c r="AH205" i="3" s="1"/>
  <c r="AG205" i="3"/>
  <c r="AF205" i="3"/>
  <c r="AE205" i="3"/>
  <c r="AH204" i="3" a="1"/>
  <c r="AH204" i="3" s="1"/>
  <c r="AF204" i="3"/>
  <c r="AG204" i="3" s="1"/>
  <c r="AE204" i="3"/>
  <c r="AH203" i="3" s="1" a="1"/>
  <c r="AH203" i="3" s="1"/>
  <c r="AF203" i="3"/>
  <c r="AG203" i="3" s="1"/>
  <c r="AE203" i="3"/>
  <c r="AG202" i="3"/>
  <c r="AF202" i="3"/>
  <c r="AE202" i="3"/>
  <c r="AH201" i="3" s="1" a="1"/>
  <c r="AH201" i="3" s="1"/>
  <c r="AG201" i="3"/>
  <c r="AF201" i="3"/>
  <c r="AE201" i="3"/>
  <c r="AF200" i="3"/>
  <c r="AG200" i="3" s="1"/>
  <c r="AE200" i="3"/>
  <c r="AF199" i="3"/>
  <c r="AG199" i="3" s="1"/>
  <c r="AE199" i="3"/>
  <c r="AF198" i="3"/>
  <c r="AG198" i="3" s="1"/>
  <c r="AE198" i="3"/>
  <c r="AF197" i="3"/>
  <c r="AG197" i="3" s="1"/>
  <c r="AE197" i="3"/>
  <c r="AG196" i="3"/>
  <c r="AF196" i="3"/>
  <c r="AE196" i="3"/>
  <c r="AH195" i="3" s="1" a="1"/>
  <c r="AH195" i="3" s="1"/>
  <c r="AG195" i="3"/>
  <c r="AF195" i="3"/>
  <c r="AE195" i="3"/>
  <c r="AH194" i="3" s="1" a="1"/>
  <c r="AH194" i="3" s="1"/>
  <c r="AG194" i="3"/>
  <c r="AF194" i="3"/>
  <c r="AE194" i="3"/>
  <c r="AF193" i="3"/>
  <c r="AG193" i="3" s="1"/>
  <c r="AE193" i="3"/>
  <c r="AG192" i="3"/>
  <c r="AF192" i="3"/>
  <c r="AE192" i="3"/>
  <c r="AF191" i="3"/>
  <c r="AG191" i="3" s="1"/>
  <c r="AE191" i="3"/>
  <c r="AH191" i="3" s="1" a="1"/>
  <c r="AH191" i="3" s="1"/>
  <c r="AF190" i="3"/>
  <c r="AG190" i="3" s="1"/>
  <c r="AE190" i="3"/>
  <c r="AG189" i="3"/>
  <c r="AH188" i="3" s="1" a="1"/>
  <c r="AH188" i="3" s="1"/>
  <c r="AF189" i="3"/>
  <c r="AE189" i="3"/>
  <c r="AG188" i="3"/>
  <c r="AF188" i="3"/>
  <c r="AE188" i="3"/>
  <c r="AG187" i="3"/>
  <c r="AF187" i="3"/>
  <c r="AE187" i="3"/>
  <c r="AF186" i="3"/>
  <c r="AG186" i="3" s="1"/>
  <c r="AE186" i="3"/>
  <c r="AF185" i="3"/>
  <c r="AG185" i="3" s="1"/>
  <c r="AE185" i="3"/>
  <c r="AF184" i="3"/>
  <c r="AG184" i="3" s="1"/>
  <c r="AE184" i="3"/>
  <c r="AG183" i="3"/>
  <c r="AF183" i="3"/>
  <c r="AE183" i="3"/>
  <c r="AH182" i="3" s="1" a="1"/>
  <c r="AH182" i="3" s="1"/>
  <c r="AF182" i="3"/>
  <c r="AG182" i="3" s="1"/>
  <c r="AE182" i="3"/>
  <c r="AF181" i="3"/>
  <c r="AG181" i="3" s="1"/>
  <c r="AE181" i="3"/>
  <c r="AG180" i="3"/>
  <c r="AF180" i="3"/>
  <c r="AE180" i="3"/>
  <c r="AG179" i="3"/>
  <c r="AF179" i="3"/>
  <c r="AE179" i="3"/>
  <c r="AF178" i="3"/>
  <c r="AG178" i="3" s="1"/>
  <c r="AE178" i="3"/>
  <c r="AH178" i="3" s="1" a="1"/>
  <c r="AH178" i="3" s="1"/>
  <c r="AF177" i="3"/>
  <c r="AG177" i="3" s="1"/>
  <c r="AE177" i="3"/>
  <c r="AF176" i="3"/>
  <c r="AG176" i="3" s="1"/>
  <c r="AE176" i="3"/>
  <c r="AG175" i="3"/>
  <c r="AF175" i="3"/>
  <c r="AE175" i="3"/>
  <c r="AF174" i="3"/>
  <c r="AG174" i="3" s="1"/>
  <c r="AE174" i="3"/>
  <c r="AG173" i="3"/>
  <c r="AF173" i="3"/>
  <c r="AE173" i="3"/>
  <c r="AG172" i="3"/>
  <c r="AF172" i="3"/>
  <c r="AE172" i="3"/>
  <c r="AG171" i="3"/>
  <c r="AF171" i="3"/>
  <c r="AE171" i="3"/>
  <c r="AH170" i="3" a="1"/>
  <c r="AH170" i="3" s="1"/>
  <c r="J170" i="3" s="1"/>
  <c r="AG170" i="3"/>
  <c r="AH169" i="3" s="1" a="1"/>
  <c r="AH169" i="3" s="1"/>
  <c r="AF170" i="3"/>
  <c r="AE170" i="3"/>
  <c r="AF169" i="3"/>
  <c r="AG169" i="3" s="1"/>
  <c r="AE169" i="3"/>
  <c r="AF168" i="3"/>
  <c r="AG168" i="3" s="1"/>
  <c r="AE168" i="3"/>
  <c r="AF167" i="3"/>
  <c r="AG167" i="3" s="1"/>
  <c r="AE167" i="3"/>
  <c r="AG166" i="3"/>
  <c r="AF166" i="3"/>
  <c r="AE166" i="3"/>
  <c r="AH165" i="3" s="1" a="1"/>
  <c r="AH165" i="3" s="1"/>
  <c r="AG165" i="3"/>
  <c r="AF165" i="3"/>
  <c r="AE165" i="3"/>
  <c r="AH164" i="3" s="1" a="1"/>
  <c r="AH164" i="3" s="1"/>
  <c r="AG164" i="3"/>
  <c r="AF164" i="3"/>
  <c r="AE164" i="3"/>
  <c r="AG163" i="3"/>
  <c r="AF163" i="3"/>
  <c r="AE163" i="3"/>
  <c r="AH162" i="3" a="1"/>
  <c r="AH162" i="3" s="1"/>
  <c r="AG162" i="3"/>
  <c r="AF162" i="3"/>
  <c r="AE162" i="3"/>
  <c r="AF161" i="3"/>
  <c r="AG161" i="3" s="1"/>
  <c r="AE161" i="3"/>
  <c r="AG160" i="3"/>
  <c r="AF160" i="3"/>
  <c r="AE160" i="3"/>
  <c r="AG159" i="3"/>
  <c r="AF159" i="3"/>
  <c r="AE159" i="3"/>
  <c r="AF158" i="3"/>
  <c r="AG158" i="3" s="1"/>
  <c r="AE158" i="3"/>
  <c r="AH157" i="3" s="1" a="1"/>
  <c r="AH157" i="3" s="1"/>
  <c r="AG157" i="3"/>
  <c r="AF157" i="3"/>
  <c r="AE157" i="3"/>
  <c r="AF156" i="3"/>
  <c r="AG156" i="3" s="1"/>
  <c r="AE156" i="3"/>
  <c r="AF155" i="3"/>
  <c r="AG155" i="3" s="1"/>
  <c r="AE155" i="3"/>
  <c r="AF154" i="3"/>
  <c r="AG154" i="3" s="1"/>
  <c r="AE154" i="3"/>
  <c r="AG153" i="3"/>
  <c r="AF153" i="3"/>
  <c r="AE153" i="3"/>
  <c r="AF152" i="3"/>
  <c r="AG152" i="3" s="1"/>
  <c r="AE152" i="3"/>
  <c r="AF151" i="3"/>
  <c r="AG151" i="3" s="1"/>
  <c r="AE151" i="3"/>
  <c r="AF150" i="3"/>
  <c r="AG150" i="3" s="1"/>
  <c r="AE150" i="3"/>
  <c r="AH149" i="3" s="1" a="1"/>
  <c r="AH149" i="3" s="1"/>
  <c r="AF149" i="3"/>
  <c r="AG149" i="3" s="1"/>
  <c r="AE149" i="3"/>
  <c r="AG148" i="3"/>
  <c r="AF148" i="3"/>
  <c r="AE148" i="3"/>
  <c r="AF147" i="3"/>
  <c r="AG147" i="3" s="1"/>
  <c r="AE147" i="3"/>
  <c r="AG146" i="3"/>
  <c r="AF146" i="3"/>
  <c r="AE146" i="3"/>
  <c r="AF145" i="3"/>
  <c r="AG145" i="3" s="1"/>
  <c r="AE145" i="3"/>
  <c r="AF144" i="3"/>
  <c r="AG144" i="3" s="1"/>
  <c r="AE144" i="3"/>
  <c r="AF143" i="3"/>
  <c r="AG143" i="3" s="1"/>
  <c r="AE143" i="3"/>
  <c r="AG142" i="3"/>
  <c r="AF142" i="3"/>
  <c r="AE142" i="3"/>
  <c r="AG141" i="3"/>
  <c r="AF141" i="3"/>
  <c r="AE141" i="3"/>
  <c r="AH140" i="3" s="1" a="1"/>
  <c r="AH140" i="3" s="1"/>
  <c r="AG140" i="3"/>
  <c r="AF140" i="3"/>
  <c r="AE140" i="3"/>
  <c r="AH139" i="3" s="1" a="1"/>
  <c r="AH139" i="3" s="1"/>
  <c r="AG139" i="3"/>
  <c r="AF139" i="3"/>
  <c r="AE139" i="3"/>
  <c r="AF138" i="3"/>
  <c r="AG138" i="3" s="1"/>
  <c r="AH137" i="3" s="1" a="1"/>
  <c r="AH137" i="3" s="1"/>
  <c r="AE138" i="3"/>
  <c r="AF137" i="3"/>
  <c r="AG137" i="3" s="1"/>
  <c r="AE137" i="3"/>
  <c r="AG136" i="3"/>
  <c r="AH135" i="3" s="1" a="1"/>
  <c r="AH135" i="3" s="1"/>
  <c r="AF136" i="3"/>
  <c r="AE136" i="3"/>
  <c r="AG135" i="3"/>
  <c r="AF135" i="3"/>
  <c r="AE135" i="3"/>
  <c r="AH134" i="3" s="1" a="1"/>
  <c r="AH134" i="3" s="1"/>
  <c r="AG134" i="3"/>
  <c r="AH133" i="3" s="1" a="1"/>
  <c r="AH133" i="3" s="1"/>
  <c r="AF134" i="3"/>
  <c r="AE134" i="3"/>
  <c r="AG133" i="3"/>
  <c r="AF133" i="3"/>
  <c r="AE133" i="3"/>
  <c r="AF132" i="3"/>
  <c r="AG132" i="3" s="1"/>
  <c r="AE132" i="3"/>
  <c r="AG131" i="3"/>
  <c r="AF131" i="3"/>
  <c r="AE131" i="3"/>
  <c r="AF130" i="3"/>
  <c r="AG130" i="3" s="1"/>
  <c r="AE130" i="3"/>
  <c r="AF129" i="3"/>
  <c r="AG129" i="3" s="1"/>
  <c r="AE129" i="3"/>
  <c r="AF128" i="3"/>
  <c r="AG128" i="3" s="1"/>
  <c r="AE128" i="3"/>
  <c r="AF127" i="3"/>
  <c r="AG127" i="3" s="1"/>
  <c r="AE127" i="3"/>
  <c r="AF126" i="3"/>
  <c r="AG126" i="3" s="1"/>
  <c r="AE126" i="3"/>
  <c r="AG125" i="3"/>
  <c r="AF125" i="3"/>
  <c r="AE125" i="3"/>
  <c r="AH124" i="3" a="1"/>
  <c r="AH124" i="3" s="1"/>
  <c r="AI124" i="3" s="1"/>
  <c r="AG124" i="3"/>
  <c r="AJ124" i="3" s="1"/>
  <c r="AF124" i="3"/>
  <c r="AE124" i="3"/>
  <c r="AH123" i="3" s="1" a="1"/>
  <c r="AH123" i="3" s="1"/>
  <c r="AF123" i="3"/>
  <c r="AG123" i="3" s="1"/>
  <c r="AE123" i="3"/>
  <c r="AF122" i="3"/>
  <c r="AG122" i="3" s="1"/>
  <c r="AE122" i="3"/>
  <c r="AF121" i="3"/>
  <c r="AG121" i="3" s="1"/>
  <c r="AE121" i="3"/>
  <c r="AF120" i="3"/>
  <c r="AG120" i="3" s="1"/>
  <c r="AE120" i="3"/>
  <c r="AF119" i="3"/>
  <c r="AG119" i="3" s="1"/>
  <c r="AE119" i="3"/>
  <c r="AF118" i="3"/>
  <c r="AG118" i="3" s="1"/>
  <c r="AE118" i="3"/>
  <c r="AG117" i="3"/>
  <c r="AF117" i="3"/>
  <c r="AE117" i="3"/>
  <c r="AH116" i="3" s="1" a="1"/>
  <c r="AH116" i="3" s="1"/>
  <c r="AG116" i="3"/>
  <c r="AF116" i="3"/>
  <c r="AE116" i="3"/>
  <c r="AF115" i="3"/>
  <c r="AG115" i="3" s="1"/>
  <c r="AE115" i="3"/>
  <c r="AF114" i="3"/>
  <c r="AG114" i="3" s="1"/>
  <c r="AE114" i="3"/>
  <c r="AF113" i="3"/>
  <c r="AG113" i="3" s="1"/>
  <c r="AE113" i="3"/>
  <c r="AF112" i="3"/>
  <c r="AG112" i="3" s="1"/>
  <c r="AE112" i="3"/>
  <c r="AG111" i="3"/>
  <c r="AF111" i="3"/>
  <c r="AE111" i="3"/>
  <c r="AH110" i="3" a="1"/>
  <c r="AH110" i="3" s="1"/>
  <c r="AG110" i="3"/>
  <c r="AF110" i="3"/>
  <c r="AE110" i="3"/>
  <c r="AF109" i="3"/>
  <c r="AG109" i="3" s="1"/>
  <c r="AE109" i="3"/>
  <c r="AG108" i="3"/>
  <c r="AF108" i="3"/>
  <c r="AE108" i="3"/>
  <c r="AF107" i="3"/>
  <c r="AG107" i="3" s="1"/>
  <c r="AE107" i="3"/>
  <c r="AG106" i="3"/>
  <c r="AF106" i="3"/>
  <c r="AE106" i="3"/>
  <c r="AG105" i="3"/>
  <c r="AF105" i="3"/>
  <c r="AE105" i="3"/>
  <c r="AF104" i="3"/>
  <c r="AG104" i="3" s="1"/>
  <c r="AE104" i="3"/>
  <c r="AF103" i="3"/>
  <c r="AG103" i="3" s="1"/>
  <c r="AE103" i="3"/>
  <c r="AF102" i="3"/>
  <c r="AG102" i="3" s="1"/>
  <c r="AE102" i="3"/>
  <c r="AH101" i="3" s="1" a="1"/>
  <c r="AH101" i="3" s="1"/>
  <c r="AG101" i="3"/>
  <c r="AF101" i="3"/>
  <c r="AE101" i="3"/>
  <c r="AF100" i="3"/>
  <c r="AG100" i="3" s="1"/>
  <c r="AE100" i="3"/>
  <c r="AG99" i="3"/>
  <c r="AF99" i="3"/>
  <c r="AE99" i="3"/>
  <c r="AF98" i="3"/>
  <c r="AG98" i="3" s="1"/>
  <c r="AE98" i="3"/>
  <c r="AH98" i="3" s="1" a="1"/>
  <c r="AH98" i="3" s="1"/>
  <c r="AF97" i="3"/>
  <c r="AG97" i="3" s="1"/>
  <c r="AE97" i="3"/>
  <c r="AF96" i="3"/>
  <c r="AG96" i="3" s="1"/>
  <c r="AE96" i="3"/>
  <c r="AF95" i="3"/>
  <c r="AG95" i="3" s="1"/>
  <c r="AE95" i="3"/>
  <c r="AG94" i="3"/>
  <c r="AF94" i="3"/>
  <c r="AE94" i="3"/>
  <c r="AH93" i="3" a="1"/>
  <c r="AH93" i="3" s="1"/>
  <c r="AG93" i="3"/>
  <c r="AF93" i="3"/>
  <c r="AE93" i="3"/>
  <c r="AH92" i="3" s="1" a="1"/>
  <c r="AH92" i="3" s="1"/>
  <c r="AF92" i="3"/>
  <c r="AG92" i="3" s="1"/>
  <c r="AE92" i="3"/>
  <c r="AF91" i="3"/>
  <c r="AG91" i="3" s="1"/>
  <c r="AE91" i="3"/>
  <c r="AF90" i="3"/>
  <c r="AG90" i="3" s="1"/>
  <c r="AE90" i="3"/>
  <c r="AH89" i="3" s="1" a="1"/>
  <c r="AH89" i="3" s="1"/>
  <c r="AF89" i="3"/>
  <c r="AG89" i="3" s="1"/>
  <c r="AE89" i="3"/>
  <c r="AG88" i="3"/>
  <c r="AF88" i="3"/>
  <c r="AE88" i="3"/>
  <c r="AH87" i="3" s="1" a="1"/>
  <c r="AH87" i="3" s="1"/>
  <c r="AG87" i="3"/>
  <c r="AF87" i="3"/>
  <c r="AE87" i="3"/>
  <c r="AF86" i="3"/>
  <c r="AG86" i="3" s="1"/>
  <c r="AE86" i="3"/>
  <c r="AH85" i="3" s="1" a="1"/>
  <c r="AH85" i="3" s="1"/>
  <c r="AG85" i="3"/>
  <c r="AF85" i="3"/>
  <c r="AE85" i="3"/>
  <c r="AH84" i="3" s="1" a="1"/>
  <c r="AH84" i="3" s="1"/>
  <c r="AG84" i="3"/>
  <c r="AF84" i="3"/>
  <c r="AE84" i="3"/>
  <c r="AF83" i="3"/>
  <c r="AG83" i="3" s="1"/>
  <c r="AE83" i="3"/>
  <c r="AH82" i="3" s="1" a="1"/>
  <c r="AH82" i="3" s="1"/>
  <c r="AG82" i="3"/>
  <c r="AF82" i="3"/>
  <c r="AE82" i="3"/>
  <c r="AF81" i="3"/>
  <c r="AG81" i="3" s="1"/>
  <c r="AE81" i="3"/>
  <c r="AF80" i="3"/>
  <c r="AG80" i="3" s="1"/>
  <c r="AE80" i="3"/>
  <c r="AG79" i="3"/>
  <c r="AF79" i="3"/>
  <c r="AE79" i="3"/>
  <c r="AG78" i="3"/>
  <c r="AF78" i="3"/>
  <c r="AE78" i="3"/>
  <c r="AH77" i="3" s="1" a="1"/>
  <c r="AH77" i="3" s="1"/>
  <c r="AF77" i="3"/>
  <c r="AG77" i="3" s="1"/>
  <c r="AE77" i="3"/>
  <c r="AG76" i="3"/>
  <c r="AF76" i="3"/>
  <c r="AE76" i="3"/>
  <c r="AF75" i="3"/>
  <c r="AG75" i="3" s="1"/>
  <c r="AE75" i="3"/>
  <c r="AH74" i="3" s="1" a="1"/>
  <c r="AH74" i="3" s="1"/>
  <c r="AF74" i="3"/>
  <c r="AG74" i="3" s="1"/>
  <c r="AE74" i="3"/>
  <c r="AG73" i="3"/>
  <c r="AF73" i="3"/>
  <c r="AE73" i="3"/>
  <c r="AH72" i="3" s="1" a="1"/>
  <c r="AH72" i="3" s="1"/>
  <c r="AF72" i="3"/>
  <c r="AG72" i="3" s="1"/>
  <c r="AE72" i="3"/>
  <c r="AH71" i="3" s="1" a="1"/>
  <c r="AH71" i="3" s="1"/>
  <c r="AG71" i="3"/>
  <c r="AF71" i="3"/>
  <c r="AE71" i="3"/>
  <c r="AG70" i="3"/>
  <c r="AF70" i="3"/>
  <c r="AE70" i="3"/>
  <c r="AH69" i="3" s="1" a="1"/>
  <c r="AH69" i="3" s="1"/>
  <c r="AF69" i="3"/>
  <c r="AG69" i="3" s="1"/>
  <c r="AE69" i="3"/>
  <c r="AF68" i="3"/>
  <c r="AG68" i="3" s="1"/>
  <c r="AE68" i="3"/>
  <c r="AH67" i="3" s="1" a="1"/>
  <c r="AH67" i="3" s="1"/>
  <c r="AG67" i="3"/>
  <c r="AF67" i="3"/>
  <c r="AE67" i="3"/>
  <c r="AF66" i="3"/>
  <c r="AG66" i="3" s="1"/>
  <c r="AE66" i="3"/>
  <c r="AF65" i="3"/>
  <c r="AG65" i="3" s="1"/>
  <c r="AE65" i="3"/>
  <c r="AH64" i="3" s="1" a="1"/>
  <c r="AH64" i="3" s="1"/>
  <c r="AG64" i="3"/>
  <c r="AF64" i="3"/>
  <c r="AE64" i="3"/>
  <c r="AF63" i="3"/>
  <c r="AG63" i="3" s="1"/>
  <c r="AE63" i="3"/>
  <c r="AG62" i="3"/>
  <c r="AF62" i="3"/>
  <c r="AE62" i="3"/>
  <c r="AH61" i="3" a="1"/>
  <c r="AH61" i="3" s="1"/>
  <c r="AG61" i="3"/>
  <c r="AF61" i="3"/>
  <c r="AE61" i="3"/>
  <c r="AH60" i="3" a="1"/>
  <c r="AH60" i="3" s="1"/>
  <c r="AG60" i="3"/>
  <c r="AF60" i="3"/>
  <c r="AE60" i="3"/>
  <c r="AF59" i="3"/>
  <c r="AG59" i="3" s="1"/>
  <c r="AE59" i="3"/>
  <c r="AG58" i="3"/>
  <c r="AF58" i="3"/>
  <c r="AE58" i="3"/>
  <c r="AG57" i="3"/>
  <c r="AF57" i="3"/>
  <c r="AE57" i="3"/>
  <c r="AG56" i="3"/>
  <c r="AF56" i="3"/>
  <c r="AE56" i="3"/>
  <c r="AG55" i="3"/>
  <c r="AF55" i="3"/>
  <c r="AE55" i="3"/>
  <c r="AH55" i="3" s="1" a="1"/>
  <c r="AH55" i="3" s="1"/>
  <c r="AF54" i="3"/>
  <c r="AG54" i="3" s="1"/>
  <c r="AE54" i="3"/>
  <c r="AH53" i="3" s="1" a="1"/>
  <c r="AH53" i="3" s="1"/>
  <c r="AG53" i="3"/>
  <c r="AH52" i="3" s="1" a="1"/>
  <c r="AH52" i="3" s="1"/>
  <c r="AF53" i="3"/>
  <c r="AE53" i="3"/>
  <c r="AG52" i="3"/>
  <c r="AF52" i="3"/>
  <c r="AE52" i="3"/>
  <c r="AH51" i="3" s="1" a="1"/>
  <c r="AH51" i="3" s="1"/>
  <c r="AG51" i="3"/>
  <c r="AF51" i="3"/>
  <c r="AE51" i="3"/>
  <c r="AF50" i="3"/>
  <c r="AG50" i="3" s="1"/>
  <c r="AE50" i="3"/>
  <c r="AG49" i="3"/>
  <c r="AF49" i="3"/>
  <c r="AE49" i="3"/>
  <c r="AH48" i="3" s="1" a="1"/>
  <c r="AH48" i="3" s="1"/>
  <c r="AG48" i="3"/>
  <c r="AF48" i="3"/>
  <c r="AE48" i="3"/>
  <c r="AF47" i="3"/>
  <c r="AG47" i="3" s="1"/>
  <c r="AE47" i="3"/>
  <c r="AG46" i="3"/>
  <c r="AF46" i="3"/>
  <c r="AE46" i="3"/>
  <c r="AF45" i="3"/>
  <c r="AG45" i="3" s="1"/>
  <c r="AE45" i="3"/>
  <c r="AF44" i="3"/>
  <c r="AG44" i="3" s="1"/>
  <c r="AE44" i="3"/>
  <c r="AG43" i="3"/>
  <c r="AF43" i="3"/>
  <c r="AE43" i="3"/>
  <c r="AG42" i="3"/>
  <c r="AF42" i="3"/>
  <c r="AE42" i="3"/>
  <c r="AF41" i="3"/>
  <c r="AG41" i="3" s="1"/>
  <c r="AE41" i="3"/>
  <c r="AG40" i="3"/>
  <c r="AF40" i="3"/>
  <c r="AE40" i="3"/>
  <c r="AF39" i="3"/>
  <c r="AG39" i="3" s="1"/>
  <c r="AE39" i="3"/>
  <c r="AF38" i="3"/>
  <c r="AG38" i="3" s="1"/>
  <c r="AE38" i="3"/>
  <c r="AG37" i="3"/>
  <c r="AF37" i="3"/>
  <c r="AE37" i="3"/>
  <c r="AH36" i="3" s="1" a="1"/>
  <c r="AH36" i="3" s="1"/>
  <c r="AF36" i="3"/>
  <c r="AG36" i="3" s="1"/>
  <c r="AE36" i="3"/>
  <c r="AG35" i="3"/>
  <c r="AF35" i="3"/>
  <c r="AE35" i="3"/>
  <c r="AG34" i="3"/>
  <c r="AF34" i="3"/>
  <c r="AE34" i="3"/>
  <c r="AF33" i="3"/>
  <c r="AG33" i="3" s="1"/>
  <c r="AE33" i="3"/>
  <c r="AF32" i="3"/>
  <c r="AG32" i="3" s="1"/>
  <c r="AE32" i="3"/>
  <c r="AH31" i="3" s="1" a="1"/>
  <c r="AH31" i="3" s="1"/>
  <c r="AG31" i="3"/>
  <c r="AF31" i="3"/>
  <c r="AE31" i="3"/>
  <c r="AF30" i="3"/>
  <c r="AG30" i="3" s="1"/>
  <c r="AE30" i="3"/>
  <c r="AF29" i="3"/>
  <c r="AG29" i="3" s="1"/>
  <c r="AE29" i="3"/>
  <c r="AH28" i="3" s="1" a="1"/>
  <c r="AH28" i="3" s="1"/>
  <c r="AG28" i="3"/>
  <c r="AF28" i="3"/>
  <c r="AE28" i="3"/>
  <c r="AF27" i="3"/>
  <c r="AG27" i="3" s="1"/>
  <c r="AE27" i="3"/>
  <c r="AF26" i="3"/>
  <c r="AG26" i="3" s="1"/>
  <c r="AE26" i="3"/>
  <c r="AG25" i="3"/>
  <c r="AF25" i="3"/>
  <c r="AE25" i="3"/>
  <c r="AF24" i="3"/>
  <c r="AG24" i="3" s="1"/>
  <c r="AE24" i="3"/>
  <c r="AG23" i="3"/>
  <c r="AF23" i="3"/>
  <c r="AE23" i="3"/>
  <c r="AH22" i="3" a="1"/>
  <c r="AH22" i="3" s="1"/>
  <c r="AG22" i="3"/>
  <c r="AF22" i="3"/>
  <c r="AE22" i="3"/>
  <c r="AH21" i="3" a="1"/>
  <c r="AH21" i="3" s="1"/>
  <c r="AG21" i="3"/>
  <c r="AF21" i="3"/>
  <c r="AE21" i="3"/>
  <c r="AF20" i="3"/>
  <c r="AG20" i="3" s="1"/>
  <c r="AE20" i="3"/>
  <c r="AH19" i="3" s="1" a="1"/>
  <c r="AH19" i="3" s="1"/>
  <c r="AG19" i="3"/>
  <c r="AF19" i="3"/>
  <c r="AE19" i="3"/>
  <c r="AF18" i="3"/>
  <c r="AG18" i="3" s="1"/>
  <c r="AE18" i="3"/>
  <c r="AF17" i="3"/>
  <c r="AG17" i="3" s="1"/>
  <c r="AE17" i="3"/>
  <c r="AH16" i="3" s="1" a="1"/>
  <c r="AH16" i="3" s="1"/>
  <c r="AG16" i="3"/>
  <c r="AF16" i="3"/>
  <c r="AE16" i="3"/>
  <c r="AG15" i="3"/>
  <c r="AF15" i="3"/>
  <c r="AE15" i="3"/>
  <c r="AH14" i="3" s="1" a="1"/>
  <c r="AH14" i="3" s="1"/>
  <c r="AF14" i="3"/>
  <c r="AG14" i="3" s="1"/>
  <c r="AE14" i="3"/>
  <c r="AG13" i="3"/>
  <c r="AH12" i="3" s="1" a="1"/>
  <c r="AH12" i="3" s="1"/>
  <c r="AF13" i="3"/>
  <c r="AE13" i="3"/>
  <c r="AF12" i="3"/>
  <c r="AG12" i="3" s="1"/>
  <c r="AE12" i="3"/>
  <c r="AG11" i="3"/>
  <c r="AF11" i="3"/>
  <c r="AE11" i="3"/>
  <c r="AG10" i="3"/>
  <c r="AF10" i="3"/>
  <c r="AE10" i="3"/>
  <c r="AH10" i="3" s="1" a="1"/>
  <c r="AH10" i="3" s="1"/>
  <c r="AF9" i="3"/>
  <c r="AG9" i="3" s="1"/>
  <c r="AE9" i="3"/>
  <c r="AH8" i="3" s="1" a="1"/>
  <c r="AH8" i="3" s="1"/>
  <c r="AF8" i="3"/>
  <c r="AG8" i="3" s="1"/>
  <c r="AE8" i="3"/>
  <c r="AG7" i="3"/>
  <c r="AF7" i="3"/>
  <c r="AE7" i="3"/>
  <c r="AF6" i="3"/>
  <c r="AG6" i="3" s="1"/>
  <c r="AE6" i="3"/>
  <c r="AG5" i="3"/>
  <c r="AH4" i="3" s="1" a="1"/>
  <c r="AH4" i="3" s="1"/>
  <c r="AF5" i="3"/>
  <c r="AE5" i="3"/>
  <c r="AG4" i="3"/>
  <c r="AF4" i="3"/>
  <c r="AE4" i="3"/>
  <c r="AH3" i="3" s="1" a="1"/>
  <c r="AH3" i="3" s="1"/>
  <c r="AG3" i="3"/>
  <c r="AF3" i="3"/>
  <c r="AE3" i="3"/>
  <c r="AF2" i="3"/>
  <c r="AG2" i="3" s="1"/>
  <c r="AE2" i="3"/>
  <c r="S121" i="2"/>
  <c r="S120" i="2"/>
  <c r="Q120" i="2"/>
  <c r="Q121" i="2" s="1"/>
  <c r="P120" i="2"/>
  <c r="P121" i="2" s="1"/>
  <c r="Y119" i="2"/>
  <c r="Y120" i="2" s="1"/>
  <c r="Y121" i="2" s="1"/>
  <c r="X119" i="2"/>
  <c r="W119" i="2"/>
  <c r="W120" i="2" s="1"/>
  <c r="W121" i="2" s="1"/>
  <c r="V119" i="2"/>
  <c r="U119" i="2"/>
  <c r="U120" i="2" s="1"/>
  <c r="U121" i="2" s="1"/>
  <c r="T119" i="2"/>
  <c r="S119" i="2"/>
  <c r="Q119" i="2"/>
  <c r="P119" i="2"/>
  <c r="Y118" i="2"/>
  <c r="X118" i="2"/>
  <c r="X120" i="2" s="1"/>
  <c r="X121" i="2" s="1"/>
  <c r="W118" i="2"/>
  <c r="V118" i="2"/>
  <c r="V120" i="2" s="1"/>
  <c r="V121" i="2" s="1"/>
  <c r="U118" i="2"/>
  <c r="T118" i="2"/>
  <c r="T120" i="2" s="1"/>
  <c r="T121" i="2" s="1"/>
  <c r="S118" i="2"/>
  <c r="Q118" i="2"/>
  <c r="P118" i="2"/>
  <c r="R115" i="2"/>
  <c r="X114" i="2"/>
  <c r="X115" i="2" s="1"/>
  <c r="R114" i="2"/>
  <c r="Y113" i="2"/>
  <c r="X113" i="2"/>
  <c r="W113" i="2"/>
  <c r="V113" i="2"/>
  <c r="U113" i="2"/>
  <c r="T113" i="2"/>
  <c r="S113" i="2"/>
  <c r="S114" i="2" s="1"/>
  <c r="S115" i="2" s="1"/>
  <c r="R113" i="2"/>
  <c r="Q113" i="2"/>
  <c r="Q114" i="2" s="1"/>
  <c r="Q115" i="2" s="1"/>
  <c r="P113" i="2"/>
  <c r="P114" i="2" s="1"/>
  <c r="P115" i="2" s="1"/>
  <c r="Y112" i="2"/>
  <c r="Y114" i="2" s="1"/>
  <c r="Y115" i="2" s="1"/>
  <c r="X112" i="2"/>
  <c r="W112" i="2"/>
  <c r="W114" i="2" s="1"/>
  <c r="W115" i="2" s="1"/>
  <c r="V112" i="2"/>
  <c r="V114" i="2" s="1"/>
  <c r="V115" i="2" s="1"/>
  <c r="U112" i="2"/>
  <c r="U114" i="2" s="1"/>
  <c r="U115" i="2" s="1"/>
  <c r="T112" i="2"/>
  <c r="T114" i="2" s="1"/>
  <c r="T115" i="2" s="1"/>
  <c r="S112" i="2"/>
  <c r="R112" i="2"/>
  <c r="Q112" i="2"/>
  <c r="P112" i="2"/>
  <c r="Y108" i="2"/>
  <c r="Y109" i="2" s="1"/>
  <c r="W108" i="2"/>
  <c r="W109" i="2" s="1"/>
  <c r="V108" i="2"/>
  <c r="V109" i="2" s="1"/>
  <c r="U108" i="2"/>
  <c r="U109" i="2" s="1"/>
  <c r="T108" i="2"/>
  <c r="T109" i="2" s="1"/>
  <c r="S108" i="2"/>
  <c r="S109" i="2" s="1"/>
  <c r="P108" i="2"/>
  <c r="P109" i="2" s="1"/>
  <c r="Y107" i="2"/>
  <c r="X107" i="2"/>
  <c r="W107" i="2"/>
  <c r="V107" i="2"/>
  <c r="U107" i="2"/>
  <c r="T107" i="2"/>
  <c r="S107" i="2"/>
  <c r="R107" i="2"/>
  <c r="Q107" i="2"/>
  <c r="P107" i="2"/>
  <c r="Y106" i="2"/>
  <c r="X106" i="2"/>
  <c r="X108" i="2" s="1"/>
  <c r="X109" i="2" s="1"/>
  <c r="W106" i="2"/>
  <c r="V106" i="2"/>
  <c r="U106" i="2"/>
  <c r="T106" i="2"/>
  <c r="S106" i="2"/>
  <c r="R106" i="2"/>
  <c r="R108" i="2" s="1"/>
  <c r="R109" i="2" s="1"/>
  <c r="Q106" i="2"/>
  <c r="Q108" i="2" s="1"/>
  <c r="Q109" i="2" s="1"/>
  <c r="P106" i="2"/>
  <c r="T102" i="2"/>
  <c r="T103" i="2" s="1"/>
  <c r="Q102" i="2"/>
  <c r="Q103" i="2" s="1"/>
  <c r="Y101" i="2"/>
  <c r="Y102" i="2" s="1"/>
  <c r="Y103" i="2" s="1"/>
  <c r="X101" i="2"/>
  <c r="X102" i="2" s="1"/>
  <c r="X103" i="2" s="1"/>
  <c r="W101" i="2"/>
  <c r="W102" i="2" s="1"/>
  <c r="W103" i="2" s="1"/>
  <c r="V101" i="2"/>
  <c r="U101" i="2"/>
  <c r="T101" i="2"/>
  <c r="S101" i="2"/>
  <c r="R101" i="2"/>
  <c r="Q101" i="2"/>
  <c r="P101" i="2"/>
  <c r="Y100" i="2"/>
  <c r="X100" i="2"/>
  <c r="W100" i="2"/>
  <c r="V100" i="2"/>
  <c r="V102" i="2" s="1"/>
  <c r="V103" i="2" s="1"/>
  <c r="U100" i="2"/>
  <c r="U102" i="2" s="1"/>
  <c r="U103" i="2" s="1"/>
  <c r="T100" i="2"/>
  <c r="S100" i="2"/>
  <c r="S102" i="2" s="1"/>
  <c r="S103" i="2" s="1"/>
  <c r="R100" i="2"/>
  <c r="R102" i="2" s="1"/>
  <c r="R103" i="2" s="1"/>
  <c r="Q100" i="2"/>
  <c r="P100" i="2"/>
  <c r="P102" i="2" s="1"/>
  <c r="P103" i="2" s="1"/>
  <c r="R97" i="2"/>
  <c r="X96" i="2"/>
  <c r="X97" i="2" s="1"/>
  <c r="R96" i="2"/>
  <c r="Y95" i="2"/>
  <c r="X95" i="2"/>
  <c r="W95" i="2"/>
  <c r="V95" i="2"/>
  <c r="U95" i="2"/>
  <c r="T95" i="2"/>
  <c r="S95" i="2"/>
  <c r="S96" i="2" s="1"/>
  <c r="S97" i="2" s="1"/>
  <c r="R95" i="2"/>
  <c r="Q95" i="2"/>
  <c r="Q96" i="2" s="1"/>
  <c r="Q97" i="2" s="1"/>
  <c r="P95" i="2"/>
  <c r="P96" i="2" s="1"/>
  <c r="P97" i="2" s="1"/>
  <c r="Y94" i="2"/>
  <c r="Y96" i="2" s="1"/>
  <c r="Y97" i="2" s="1"/>
  <c r="X94" i="2"/>
  <c r="W94" i="2"/>
  <c r="W96" i="2" s="1"/>
  <c r="W97" i="2" s="1"/>
  <c r="V94" i="2"/>
  <c r="V96" i="2" s="1"/>
  <c r="V97" i="2" s="1"/>
  <c r="U94" i="2"/>
  <c r="U96" i="2" s="1"/>
  <c r="U97" i="2" s="1"/>
  <c r="T94" i="2"/>
  <c r="T96" i="2" s="1"/>
  <c r="T97" i="2" s="1"/>
  <c r="S94" i="2"/>
  <c r="R94" i="2"/>
  <c r="Q94" i="2"/>
  <c r="P94" i="2"/>
  <c r="Y90" i="2"/>
  <c r="Y91" i="2" s="1"/>
  <c r="W90" i="2"/>
  <c r="W91" i="2" s="1"/>
  <c r="V90" i="2"/>
  <c r="V91" i="2" s="1"/>
  <c r="U90" i="2"/>
  <c r="U91" i="2" s="1"/>
  <c r="T90" i="2"/>
  <c r="T91" i="2" s="1"/>
  <c r="S90" i="2"/>
  <c r="S91" i="2" s="1"/>
  <c r="P90" i="2"/>
  <c r="P91" i="2" s="1"/>
  <c r="Y89" i="2"/>
  <c r="X89" i="2"/>
  <c r="W89" i="2"/>
  <c r="V89" i="2"/>
  <c r="U89" i="2"/>
  <c r="T89" i="2"/>
  <c r="S89" i="2"/>
  <c r="R89" i="2"/>
  <c r="Q89" i="2"/>
  <c r="P89" i="2"/>
  <c r="Y88" i="2"/>
  <c r="X88" i="2"/>
  <c r="X90" i="2" s="1"/>
  <c r="X91" i="2" s="1"/>
  <c r="W88" i="2"/>
  <c r="V88" i="2"/>
  <c r="U88" i="2"/>
  <c r="T88" i="2"/>
  <c r="S88" i="2"/>
  <c r="R88" i="2"/>
  <c r="R90" i="2" s="1"/>
  <c r="R91" i="2" s="1"/>
  <c r="Q88" i="2"/>
  <c r="Q90" i="2" s="1"/>
  <c r="Q91" i="2" s="1"/>
  <c r="P88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Y1660" i="1"/>
  <c r="X1660" i="1"/>
  <c r="W1660" i="1"/>
  <c r="V1660" i="1"/>
  <c r="V1661" i="1" s="1"/>
  <c r="V1662" i="1" s="1"/>
  <c r="U1660" i="1"/>
  <c r="T1660" i="1"/>
  <c r="T1661" i="1" s="1"/>
  <c r="T1662" i="1" s="1"/>
  <c r="S1660" i="1"/>
  <c r="S1661" i="1" s="1"/>
  <c r="S1662" i="1" s="1"/>
  <c r="Q1660" i="1"/>
  <c r="Q1661" i="1" s="1"/>
  <c r="Q1662" i="1" s="1"/>
  <c r="P1660" i="1"/>
  <c r="P1661" i="1" s="1"/>
  <c r="P1662" i="1" s="1"/>
  <c r="Y1659" i="1"/>
  <c r="Y1661" i="1" s="1"/>
  <c r="Y1662" i="1" s="1"/>
  <c r="X1659" i="1"/>
  <c r="X1661" i="1" s="1"/>
  <c r="X1662" i="1" s="1"/>
  <c r="W1659" i="1"/>
  <c r="W1661" i="1" s="1"/>
  <c r="W1662" i="1" s="1"/>
  <c r="V1659" i="1"/>
  <c r="U1659" i="1"/>
  <c r="U1661" i="1" s="1"/>
  <c r="U1662" i="1" s="1"/>
  <c r="T1659" i="1"/>
  <c r="S1659" i="1"/>
  <c r="Q1659" i="1"/>
  <c r="P1659" i="1"/>
  <c r="Y1655" i="1"/>
  <c r="Y1656" i="1" s="1"/>
  <c r="X1655" i="1"/>
  <c r="X1656" i="1" s="1"/>
  <c r="W1655" i="1"/>
  <c r="W1656" i="1" s="1"/>
  <c r="U1655" i="1"/>
  <c r="U1656" i="1" s="1"/>
  <c r="Y1654" i="1"/>
  <c r="X1654" i="1"/>
  <c r="W1654" i="1"/>
  <c r="V1654" i="1"/>
  <c r="U1654" i="1"/>
  <c r="T1654" i="1"/>
  <c r="S1654" i="1"/>
  <c r="R1654" i="1"/>
  <c r="Q1654" i="1"/>
  <c r="P1654" i="1"/>
  <c r="P1655" i="1" s="1"/>
  <c r="P1656" i="1" s="1"/>
  <c r="Y1653" i="1"/>
  <c r="X1653" i="1"/>
  <c r="W1653" i="1"/>
  <c r="V1653" i="1"/>
  <c r="V1655" i="1" s="1"/>
  <c r="V1656" i="1" s="1"/>
  <c r="U1653" i="1"/>
  <c r="T1653" i="1"/>
  <c r="T1655" i="1" s="1"/>
  <c r="T1656" i="1" s="1"/>
  <c r="S1653" i="1"/>
  <c r="S1655" i="1" s="1"/>
  <c r="S1656" i="1" s="1"/>
  <c r="R1653" i="1"/>
  <c r="R1655" i="1" s="1"/>
  <c r="R1656" i="1" s="1"/>
  <c r="Q1653" i="1"/>
  <c r="Q1655" i="1" s="1"/>
  <c r="Q1656" i="1" s="1"/>
  <c r="P1653" i="1"/>
  <c r="R1650" i="1"/>
  <c r="Q1650" i="1"/>
  <c r="X1649" i="1"/>
  <c r="X1650" i="1" s="1"/>
  <c r="Q1649" i="1"/>
  <c r="P1649" i="1"/>
  <c r="P1650" i="1" s="1"/>
  <c r="Y1648" i="1"/>
  <c r="X1648" i="1"/>
  <c r="W1648" i="1"/>
  <c r="V1648" i="1"/>
  <c r="U1648" i="1"/>
  <c r="U1649" i="1" s="1"/>
  <c r="U1650" i="1" s="1"/>
  <c r="T1648" i="1"/>
  <c r="S1648" i="1"/>
  <c r="R1648" i="1"/>
  <c r="R1649" i="1" s="1"/>
  <c r="Q1648" i="1"/>
  <c r="P1648" i="1"/>
  <c r="Y1647" i="1"/>
  <c r="Y1649" i="1" s="1"/>
  <c r="Y1650" i="1" s="1"/>
  <c r="X1647" i="1"/>
  <c r="W1647" i="1"/>
  <c r="V1647" i="1"/>
  <c r="V1649" i="1" s="1"/>
  <c r="V1650" i="1" s="1"/>
  <c r="U1647" i="1"/>
  <c r="T1647" i="1"/>
  <c r="T1649" i="1" s="1"/>
  <c r="T1650" i="1" s="1"/>
  <c r="S1647" i="1"/>
  <c r="S1649" i="1" s="1"/>
  <c r="S1650" i="1" s="1"/>
  <c r="R1647" i="1"/>
  <c r="Q1647" i="1"/>
  <c r="P1647" i="1"/>
  <c r="V1644" i="1"/>
  <c r="X1643" i="1"/>
  <c r="X1644" i="1" s="1"/>
  <c r="U1643" i="1"/>
  <c r="U1644" i="1" s="1"/>
  <c r="T1643" i="1"/>
  <c r="T1644" i="1" s="1"/>
  <c r="Y1642" i="1"/>
  <c r="X1642" i="1"/>
  <c r="W1642" i="1"/>
  <c r="V1642" i="1"/>
  <c r="V1643" i="1" s="1"/>
  <c r="U1642" i="1"/>
  <c r="T1642" i="1"/>
  <c r="S1642" i="1"/>
  <c r="R1642" i="1"/>
  <c r="Q1642" i="1"/>
  <c r="P1642" i="1"/>
  <c r="Y1641" i="1"/>
  <c r="Y1643" i="1" s="1"/>
  <c r="Y1644" i="1" s="1"/>
  <c r="X1641" i="1"/>
  <c r="W1641" i="1"/>
  <c r="W1643" i="1" s="1"/>
  <c r="W1644" i="1" s="1"/>
  <c r="V1641" i="1"/>
  <c r="U1641" i="1"/>
  <c r="T1641" i="1"/>
  <c r="S1641" i="1"/>
  <c r="S1643" i="1" s="1"/>
  <c r="S1644" i="1" s="1"/>
  <c r="R1641" i="1"/>
  <c r="Q1641" i="1"/>
  <c r="P1641" i="1"/>
  <c r="P1643" i="1" s="1"/>
  <c r="P1644" i="1" s="1"/>
  <c r="X1637" i="1"/>
  <c r="X1638" i="1" s="1"/>
  <c r="W1637" i="1"/>
  <c r="W1638" i="1" s="1"/>
  <c r="S1637" i="1"/>
  <c r="S1638" i="1" s="1"/>
  <c r="Q1637" i="1"/>
  <c r="Q1638" i="1" s="1"/>
  <c r="P1637" i="1"/>
  <c r="P1638" i="1" s="1"/>
  <c r="Y1636" i="1"/>
  <c r="X1636" i="1"/>
  <c r="W1636" i="1"/>
  <c r="V1636" i="1"/>
  <c r="U1636" i="1"/>
  <c r="T1636" i="1"/>
  <c r="S1636" i="1"/>
  <c r="R1636" i="1"/>
  <c r="Q1636" i="1"/>
  <c r="P1636" i="1"/>
  <c r="Y1635" i="1"/>
  <c r="Y1637" i="1" s="1"/>
  <c r="Y1638" i="1" s="1"/>
  <c r="X1635" i="1"/>
  <c r="W1635" i="1"/>
  <c r="V1635" i="1"/>
  <c r="U1635" i="1"/>
  <c r="U1637" i="1" s="1"/>
  <c r="U1638" i="1" s="1"/>
  <c r="T1635" i="1"/>
  <c r="T1637" i="1" s="1"/>
  <c r="T1638" i="1" s="1"/>
  <c r="S1635" i="1"/>
  <c r="R1635" i="1"/>
  <c r="R1637" i="1" s="1"/>
  <c r="R1638" i="1" s="1"/>
  <c r="Q1635" i="1"/>
  <c r="P1635" i="1"/>
  <c r="D1635" i="1"/>
  <c r="D1634" i="1"/>
  <c r="D1633" i="1"/>
  <c r="D1632" i="1"/>
  <c r="Q1631" i="1"/>
  <c r="Q1632" i="1" s="1"/>
  <c r="D1631" i="1"/>
  <c r="Y1630" i="1"/>
  <c r="Y1631" i="1" s="1"/>
  <c r="Y1632" i="1" s="1"/>
  <c r="X1630" i="1"/>
  <c r="X1631" i="1" s="1"/>
  <c r="X1632" i="1" s="1"/>
  <c r="W1630" i="1"/>
  <c r="V1630" i="1"/>
  <c r="V1631" i="1" s="1"/>
  <c r="V1632" i="1" s="1"/>
  <c r="U1630" i="1"/>
  <c r="U1631" i="1" s="1"/>
  <c r="U1632" i="1" s="1"/>
  <c r="T1630" i="1"/>
  <c r="T1631" i="1" s="1"/>
  <c r="T1632" i="1" s="1"/>
  <c r="S1630" i="1"/>
  <c r="R1630" i="1"/>
  <c r="Q1630" i="1"/>
  <c r="P1630" i="1"/>
  <c r="P1631" i="1" s="1"/>
  <c r="P1632" i="1" s="1"/>
  <c r="D1630" i="1"/>
  <c r="D1637" i="1" s="1"/>
  <c r="Y1629" i="1"/>
  <c r="X1629" i="1"/>
  <c r="W1629" i="1"/>
  <c r="V1629" i="1"/>
  <c r="U1629" i="1"/>
  <c r="T1629" i="1"/>
  <c r="S1629" i="1"/>
  <c r="R1629" i="1"/>
  <c r="R1631" i="1" s="1"/>
  <c r="R1632" i="1" s="1"/>
  <c r="Q1629" i="1"/>
  <c r="P1629" i="1"/>
  <c r="D1629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J8" i="3" l="1"/>
  <c r="AI8" i="3"/>
  <c r="AI36" i="3"/>
  <c r="J36" i="3"/>
  <c r="J82" i="3"/>
  <c r="AI82" i="3"/>
  <c r="AJ82" i="3" s="1"/>
  <c r="AH161" i="3" a="1"/>
  <c r="AH161" i="3" s="1"/>
  <c r="AJ225" i="3"/>
  <c r="AH260" i="3" a="1"/>
  <c r="AH260" i="3" s="1"/>
  <c r="AH26" i="3" a="1"/>
  <c r="AH26" i="3" s="1"/>
  <c r="AH27" i="3" a="1"/>
  <c r="AH27" i="3" s="1"/>
  <c r="AH46" i="3" a="1"/>
  <c r="AH46" i="3" s="1"/>
  <c r="AH83" i="3" a="1"/>
  <c r="AH83" i="3" s="1"/>
  <c r="AH102" i="3" a="1"/>
  <c r="AH102" i="3" s="1"/>
  <c r="AH111" i="3" a="1"/>
  <c r="AH111" i="3" s="1"/>
  <c r="AH151" i="3" a="1"/>
  <c r="AH151" i="3" s="1"/>
  <c r="AI169" i="3"/>
  <c r="J169" i="3"/>
  <c r="AH198" i="3" a="1"/>
  <c r="AH198" i="3" s="1"/>
  <c r="J207" i="3"/>
  <c r="AI207" i="3"/>
  <c r="AJ207" i="3" s="1"/>
  <c r="AI225" i="3"/>
  <c r="J225" i="3"/>
  <c r="AH261" i="3" a="1"/>
  <c r="AH261" i="3" s="1"/>
  <c r="AH289" i="3" a="1"/>
  <c r="AH289" i="3" s="1"/>
  <c r="AH18" i="3" a="1"/>
  <c r="AH18" i="3" s="1"/>
  <c r="AH62" i="3" a="1"/>
  <c r="AH62" i="3" s="1"/>
  <c r="AH63" i="3" a="1"/>
  <c r="AH63" i="3" s="1"/>
  <c r="AI92" i="3"/>
  <c r="AJ92" i="3" s="1"/>
  <c r="J92" i="3"/>
  <c r="AH132" i="3" a="1"/>
  <c r="AH132" i="3" s="1"/>
  <c r="AH131" i="3" a="1"/>
  <c r="AH131" i="3" s="1"/>
  <c r="AH197" i="3" a="1"/>
  <c r="AH197" i="3" s="1"/>
  <c r="J403" i="3"/>
  <c r="AI403" i="3"/>
  <c r="J10" i="3"/>
  <c r="AI10" i="3"/>
  <c r="AJ10" i="3" s="1"/>
  <c r="AH47" i="3" a="1"/>
  <c r="AH47" i="3" s="1"/>
  <c r="AJ93" i="3"/>
  <c r="AH112" i="3" a="1"/>
  <c r="AH112" i="3" s="1"/>
  <c r="AH122" i="3" a="1"/>
  <c r="AH122" i="3" s="1"/>
  <c r="AJ123" i="3"/>
  <c r="AH152" i="3" a="1"/>
  <c r="AH152" i="3" s="1"/>
  <c r="AI188" i="3"/>
  <c r="AJ188" i="3" s="1"/>
  <c r="J188" i="3"/>
  <c r="AH217" i="3" a="1"/>
  <c r="AH217" i="3" s="1"/>
  <c r="AH73" i="3" a="1"/>
  <c r="AH73" i="3" s="1"/>
  <c r="J93" i="3"/>
  <c r="AI93" i="3"/>
  <c r="AH103" i="3" a="1"/>
  <c r="AH103" i="3" s="1"/>
  <c r="AI123" i="3"/>
  <c r="J123" i="3"/>
  <c r="AJ133" i="3"/>
  <c r="AI332" i="3"/>
  <c r="AJ332" i="3" s="1"/>
  <c r="J332" i="3"/>
  <c r="J341" i="3"/>
  <c r="AI341" i="3"/>
  <c r="AI368" i="3"/>
  <c r="AJ368" i="3" s="1"/>
  <c r="J368" i="3"/>
  <c r="AH2" i="3" a="1"/>
  <c r="AH2" i="3" s="1"/>
  <c r="AH65" i="3" a="1"/>
  <c r="AH65" i="3" s="1"/>
  <c r="AJ85" i="3"/>
  <c r="J134" i="3"/>
  <c r="AI134" i="3"/>
  <c r="AJ134" i="3" s="1"/>
  <c r="AH153" i="3" a="1"/>
  <c r="AH153" i="3" s="1"/>
  <c r="AH227" i="3" a="1"/>
  <c r="AH227" i="3" s="1"/>
  <c r="J254" i="3"/>
  <c r="AI254" i="3"/>
  <c r="AJ254" i="3" s="1"/>
  <c r="AI283" i="3"/>
  <c r="J283" i="3"/>
  <c r="AI325" i="3"/>
  <c r="J325" i="3"/>
  <c r="AI343" i="3"/>
  <c r="AJ343" i="3" s="1"/>
  <c r="J343" i="3"/>
  <c r="AI371" i="3"/>
  <c r="J371" i="3"/>
  <c r="AH200" i="3" a="1"/>
  <c r="AH200" i="3" s="1"/>
  <c r="AH143" i="3" a="1"/>
  <c r="AH143" i="3" s="1"/>
  <c r="AH142" i="3" a="1"/>
  <c r="AH142" i="3" s="1"/>
  <c r="AJ21" i="3"/>
  <c r="AH29" i="3" a="1"/>
  <c r="AH29" i="3" s="1"/>
  <c r="AH66" i="3" a="1"/>
  <c r="AH66" i="3" s="1"/>
  <c r="AH75" i="3" a="1"/>
  <c r="AH75" i="3" s="1"/>
  <c r="J85" i="3"/>
  <c r="AI85" i="3"/>
  <c r="AH114" i="3" a="1"/>
  <c r="AH114" i="3" s="1"/>
  <c r="AI201" i="3"/>
  <c r="AJ201" i="3" s="1"/>
  <c r="J201" i="3"/>
  <c r="AH209" i="3" a="1"/>
  <c r="AH209" i="3" s="1"/>
  <c r="AH228" i="3" a="1"/>
  <c r="AH228" i="3" s="1"/>
  <c r="J237" i="3"/>
  <c r="AI237" i="3"/>
  <c r="AJ237" i="3" s="1"/>
  <c r="AI301" i="3"/>
  <c r="AJ301" i="3" s="1"/>
  <c r="J301" i="3"/>
  <c r="J380" i="3"/>
  <c r="AI380" i="3"/>
  <c r="AJ380" i="3" s="1"/>
  <c r="J19" i="3"/>
  <c r="AI19" i="3"/>
  <c r="AJ19" i="3" s="1"/>
  <c r="AH113" i="3" a="1"/>
  <c r="AH113" i="3" s="1"/>
  <c r="W1649" i="1"/>
  <c r="W1650" i="1" s="1"/>
  <c r="AH11" i="3" a="1"/>
  <c r="AH11" i="3" s="1"/>
  <c r="AI21" i="3"/>
  <c r="J21" i="3"/>
  <c r="AH30" i="3" a="1"/>
  <c r="AH30" i="3" s="1"/>
  <c r="AH39" i="3" a="1"/>
  <c r="AH39" i="3" s="1"/>
  <c r="AH49" i="3" a="1"/>
  <c r="AH49" i="3" s="1"/>
  <c r="AH76" i="3" a="1"/>
  <c r="AH76" i="3" s="1"/>
  <c r="AH115" i="3" a="1"/>
  <c r="AH115" i="3" s="1"/>
  <c r="AJ135" i="3"/>
  <c r="AH154" i="3" a="1"/>
  <c r="AH154" i="3" s="1"/>
  <c r="AI182" i="3"/>
  <c r="AJ182" i="3" s="1"/>
  <c r="J182" i="3"/>
  <c r="AJ265" i="3"/>
  <c r="AJ371" i="3"/>
  <c r="AH40" i="3" a="1"/>
  <c r="AH40" i="3" s="1"/>
  <c r="AH58" i="3" a="1"/>
  <c r="AH58" i="3" s="1"/>
  <c r="AJ67" i="3"/>
  <c r="AJ77" i="3"/>
  <c r="AH95" i="3" a="1"/>
  <c r="AH95" i="3" s="1"/>
  <c r="AH96" i="3" a="1"/>
  <c r="AH96" i="3" s="1"/>
  <c r="AI265" i="3"/>
  <c r="J265" i="3"/>
  <c r="AI326" i="3"/>
  <c r="AJ326" i="3" s="1"/>
  <c r="J326" i="3"/>
  <c r="AI334" i="3"/>
  <c r="AJ334" i="3" s="1"/>
  <c r="J334" i="3"/>
  <c r="AI381" i="3"/>
  <c r="AJ381" i="3" s="1"/>
  <c r="J381" i="3"/>
  <c r="AI3" i="3"/>
  <c r="AJ3" i="3" s="1"/>
  <c r="J3" i="3"/>
  <c r="AJ31" i="3"/>
  <c r="J67" i="3"/>
  <c r="AI67" i="3"/>
  <c r="AI77" i="3"/>
  <c r="J77" i="3"/>
  <c r="AI164" i="3"/>
  <c r="AJ164" i="3" s="1"/>
  <c r="J164" i="3"/>
  <c r="AJ211" i="3"/>
  <c r="J220" i="3"/>
  <c r="AI220" i="3"/>
  <c r="AJ220" i="3" s="1"/>
  <c r="AH229" i="3" a="1"/>
  <c r="AH229" i="3" s="1"/>
  <c r="AH248" i="3" a="1"/>
  <c r="AH248" i="3" s="1"/>
  <c r="AH247" i="3" a="1"/>
  <c r="AH247" i="3" s="1"/>
  <c r="AI255" i="3"/>
  <c r="AJ255" i="3" s="1"/>
  <c r="J255" i="3"/>
  <c r="AJ293" i="3"/>
  <c r="AH292" i="3" a="1"/>
  <c r="AH292" i="3" s="1"/>
  <c r="AI309" i="3"/>
  <c r="AJ309" i="3" s="1"/>
  <c r="J309" i="3"/>
  <c r="AH318" i="3" a="1"/>
  <c r="AH318" i="3" s="1"/>
  <c r="AH37" i="3" a="1"/>
  <c r="AH37" i="3" s="1"/>
  <c r="J28" i="3"/>
  <c r="AI28" i="3"/>
  <c r="AJ28" i="3" s="1"/>
  <c r="AH20" i="3" a="1"/>
  <c r="AH20" i="3" s="1"/>
  <c r="AI12" i="3"/>
  <c r="AJ12" i="3" s="1"/>
  <c r="J12" i="3"/>
  <c r="J31" i="3"/>
  <c r="AI31" i="3"/>
  <c r="AH41" i="3" a="1"/>
  <c r="AH41" i="3" s="1"/>
  <c r="AH59" i="3" a="1"/>
  <c r="AH59" i="3" s="1"/>
  <c r="AJ87" i="3"/>
  <c r="AH106" i="3" a="1"/>
  <c r="AH106" i="3" s="1"/>
  <c r="AH107" i="3" a="1"/>
  <c r="AH107" i="3" s="1"/>
  <c r="AI116" i="3"/>
  <c r="AJ116" i="3" s="1"/>
  <c r="J116" i="3"/>
  <c r="J135" i="3"/>
  <c r="AI135" i="3"/>
  <c r="AI211" i="3"/>
  <c r="J211" i="3"/>
  <c r="AI266" i="3"/>
  <c r="AJ266" i="3" s="1"/>
  <c r="J266" i="3"/>
  <c r="AI276" i="3"/>
  <c r="AJ276" i="3" s="1"/>
  <c r="J276" i="3"/>
  <c r="AH284" i="3" a="1"/>
  <c r="AH284" i="3" s="1"/>
  <c r="AI293" i="3"/>
  <c r="J293" i="3"/>
  <c r="AI356" i="3"/>
  <c r="J356" i="3"/>
  <c r="AH363" i="3" a="1"/>
  <c r="AH363" i="3" s="1"/>
  <c r="AI74" i="3"/>
  <c r="AJ74" i="3" s="1"/>
  <c r="J74" i="3"/>
  <c r="AH180" i="3" a="1"/>
  <c r="AH180" i="3" s="1"/>
  <c r="AH181" i="3" a="1"/>
  <c r="AH181" i="3" s="1"/>
  <c r="J22" i="3"/>
  <c r="AI22" i="3"/>
  <c r="AJ22" i="3" s="1"/>
  <c r="AI87" i="3"/>
  <c r="J87" i="3"/>
  <c r="AI98" i="3"/>
  <c r="AJ98" i="3" s="1"/>
  <c r="J98" i="3"/>
  <c r="AH126" i="3" a="1"/>
  <c r="AH126" i="3" s="1"/>
  <c r="AJ165" i="3"/>
  <c r="AH174" i="3" a="1"/>
  <c r="AH174" i="3" s="1"/>
  <c r="AH183" i="3" a="1"/>
  <c r="AH183" i="3" s="1"/>
  <c r="AI203" i="3"/>
  <c r="AJ203" i="3" s="1"/>
  <c r="J203" i="3"/>
  <c r="J222" i="3"/>
  <c r="AI222" i="3"/>
  <c r="AH230" i="3" a="1"/>
  <c r="AH230" i="3" s="1"/>
  <c r="AH336" i="3" a="1"/>
  <c r="AH336" i="3" s="1"/>
  <c r="AI84" i="3"/>
  <c r="AJ84" i="3" s="1"/>
  <c r="J84" i="3"/>
  <c r="AI405" i="3"/>
  <c r="J405" i="3"/>
  <c r="AI246" i="3"/>
  <c r="AJ246" i="3" s="1"/>
  <c r="J246" i="3"/>
  <c r="V1637" i="1"/>
  <c r="V1638" i="1" s="1"/>
  <c r="AH13" i="3" a="1"/>
  <c r="AH13" i="3" s="1"/>
  <c r="AJ14" i="3"/>
  <c r="AI51" i="3"/>
  <c r="AJ51" i="3" s="1"/>
  <c r="J51" i="3"/>
  <c r="AJ60" i="3"/>
  <c r="AH68" i="3" a="1"/>
  <c r="AH68" i="3" s="1"/>
  <c r="AJ69" i="3"/>
  <c r="AH127" i="3" a="1"/>
  <c r="AH127" i="3" s="1"/>
  <c r="AH136" i="3" a="1"/>
  <c r="AH136" i="3" s="1"/>
  <c r="AI165" i="3"/>
  <c r="J165" i="3"/>
  <c r="AH184" i="3" a="1"/>
  <c r="AH184" i="3" s="1"/>
  <c r="AJ212" i="3"/>
  <c r="AH221" i="3" a="1"/>
  <c r="AH221" i="3" s="1"/>
  <c r="AJ222" i="3"/>
  <c r="AH231" i="3" a="1"/>
  <c r="AH231" i="3" s="1"/>
  <c r="AJ286" i="3"/>
  <c r="AH311" i="3" a="1"/>
  <c r="AH311" i="3" s="1"/>
  <c r="AH319" i="3" a="1"/>
  <c r="AH319" i="3" s="1"/>
  <c r="AJ320" i="3"/>
  <c r="AJ356" i="3"/>
  <c r="AI374" i="3"/>
  <c r="AJ374" i="3" s="1"/>
  <c r="J374" i="3"/>
  <c r="AJ325" i="3"/>
  <c r="J14" i="3"/>
  <c r="AI14" i="3"/>
  <c r="AH32" i="3" a="1"/>
  <c r="AH32" i="3" s="1"/>
  <c r="AI60" i="3"/>
  <c r="J60" i="3"/>
  <c r="J69" i="3"/>
  <c r="AI69" i="3"/>
  <c r="AH146" i="3" a="1"/>
  <c r="AH146" i="3" s="1"/>
  <c r="J157" i="3"/>
  <c r="AI157" i="3"/>
  <c r="AJ157" i="3" s="1"/>
  <c r="AI194" i="3"/>
  <c r="AJ194" i="3" s="1"/>
  <c r="J194" i="3"/>
  <c r="AI204" i="3"/>
  <c r="AJ204" i="3" s="1"/>
  <c r="J204" i="3"/>
  <c r="AI249" i="3"/>
  <c r="AJ249" i="3" s="1"/>
  <c r="J249" i="3"/>
  <c r="J286" i="3"/>
  <c r="AI286" i="3"/>
  <c r="AH294" i="3" a="1"/>
  <c r="AH294" i="3" s="1"/>
  <c r="AH295" i="3" a="1"/>
  <c r="AH295" i="3" s="1"/>
  <c r="AH312" i="3" a="1"/>
  <c r="AH312" i="3" s="1"/>
  <c r="J320" i="3"/>
  <c r="AI320" i="3"/>
  <c r="AI337" i="3"/>
  <c r="AJ337" i="3" s="1"/>
  <c r="J337" i="3"/>
  <c r="AJ365" i="3"/>
  <c r="AJ400" i="3"/>
  <c r="AH399" i="3" a="1"/>
  <c r="AH399" i="3" s="1"/>
  <c r="J4" i="3"/>
  <c r="AI4" i="3"/>
  <c r="AJ4" i="3" s="1"/>
  <c r="AH33" i="3" a="1"/>
  <c r="AH33" i="3" s="1"/>
  <c r="AJ52" i="3"/>
  <c r="AH117" i="3" a="1"/>
  <c r="AH117" i="3" s="1"/>
  <c r="J137" i="3"/>
  <c r="AI137" i="3"/>
  <c r="AJ137" i="3" s="1"/>
  <c r="AI212" i="3"/>
  <c r="J212" i="3"/>
  <c r="AH267" i="3" a="1"/>
  <c r="AH267" i="3" s="1"/>
  <c r="AI287" i="3"/>
  <c r="AJ287" i="3" s="1"/>
  <c r="J287" i="3"/>
  <c r="S1631" i="1"/>
  <c r="S1632" i="1" s="1"/>
  <c r="AH5" i="3" a="1"/>
  <c r="AH5" i="3" s="1"/>
  <c r="AH23" i="3" a="1"/>
  <c r="AH23" i="3" s="1"/>
  <c r="AH88" i="3" a="1"/>
  <c r="AH88" i="3" s="1"/>
  <c r="AH118" i="3" a="1"/>
  <c r="AH118" i="3" s="1"/>
  <c r="AH128" i="3" a="1"/>
  <c r="AH128" i="3" s="1"/>
  <c r="AH158" i="3" a="1"/>
  <c r="AH158" i="3" s="1"/>
  <c r="AJ195" i="3"/>
  <c r="AJ304" i="3"/>
  <c r="J195" i="3"/>
  <c r="AI195" i="3"/>
  <c r="AH213" i="3" a="1"/>
  <c r="AH213" i="3" s="1"/>
  <c r="AI365" i="3"/>
  <c r="J365" i="3"/>
  <c r="AH175" i="3" a="1"/>
  <c r="AH175" i="3" s="1"/>
  <c r="AH43" i="3" a="1"/>
  <c r="AH43" i="3" s="1"/>
  <c r="AH99" i="3" a="1"/>
  <c r="AH99" i="3" s="1"/>
  <c r="AH167" i="3" a="1"/>
  <c r="AH167" i="3" s="1"/>
  <c r="AI205" i="3"/>
  <c r="AJ205" i="3" s="1"/>
  <c r="J205" i="3"/>
  <c r="AH214" i="3" a="1"/>
  <c r="AH214" i="3" s="1"/>
  <c r="AI233" i="3"/>
  <c r="AJ233" i="3" s="1"/>
  <c r="J233" i="3"/>
  <c r="J242" i="3"/>
  <c r="AI242" i="3"/>
  <c r="AJ242" i="3" s="1"/>
  <c r="AH358" i="3" a="1"/>
  <c r="AH358" i="3" s="1"/>
  <c r="J162" i="3"/>
  <c r="AI162" i="3"/>
  <c r="AJ162" i="3" s="1"/>
  <c r="AI191" i="3"/>
  <c r="AJ191" i="3" s="1"/>
  <c r="J191" i="3"/>
  <c r="AI48" i="3"/>
  <c r="AJ48" i="3" s="1"/>
  <c r="J48" i="3"/>
  <c r="AI397" i="3"/>
  <c r="AJ397" i="3" s="1"/>
  <c r="J397" i="3"/>
  <c r="J52" i="3"/>
  <c r="AI52" i="3"/>
  <c r="AI139" i="3"/>
  <c r="AJ139" i="3" s="1"/>
  <c r="J139" i="3"/>
  <c r="AH392" i="3" a="1"/>
  <c r="AH392" i="3" s="1"/>
  <c r="AI133" i="3"/>
  <c r="J133" i="3"/>
  <c r="AJ283" i="3"/>
  <c r="Q1643" i="1"/>
  <c r="Q1644" i="1" s="1"/>
  <c r="AH79" i="3" a="1"/>
  <c r="AH79" i="3" s="1"/>
  <c r="R1643" i="1"/>
  <c r="R1644" i="1" s="1"/>
  <c r="AH129" i="3" a="1"/>
  <c r="AH129" i="3" s="1"/>
  <c r="J16" i="3"/>
  <c r="AI16" i="3"/>
  <c r="AH45" i="3" a="1"/>
  <c r="AH45" i="3" s="1"/>
  <c r="AH44" i="3" a="1"/>
  <c r="AH44" i="3" s="1"/>
  <c r="AI71" i="3"/>
  <c r="AJ71" i="3" s="1"/>
  <c r="J71" i="3"/>
  <c r="AH90" i="3" a="1"/>
  <c r="AH90" i="3" s="1"/>
  <c r="J110" i="3"/>
  <c r="AI110" i="3"/>
  <c r="AJ110" i="3" s="1"/>
  <c r="AI149" i="3"/>
  <c r="AJ149" i="3" s="1"/>
  <c r="J149" i="3"/>
  <c r="AI178" i="3"/>
  <c r="J178" i="3"/>
  <c r="J64" i="3"/>
  <c r="AI64" i="3"/>
  <c r="AJ64" i="3" s="1"/>
  <c r="AH199" i="3" a="1"/>
  <c r="AH199" i="3" s="1"/>
  <c r="AI253" i="3"/>
  <c r="J253" i="3"/>
  <c r="J89" i="3"/>
  <c r="AI89" i="3"/>
  <c r="AJ89" i="3" s="1"/>
  <c r="AH6" i="3" a="1"/>
  <c r="AH6" i="3" s="1"/>
  <c r="J61" i="3"/>
  <c r="AI61" i="3"/>
  <c r="AJ61" i="3" s="1"/>
  <c r="AH109" i="3" a="1"/>
  <c r="AH109" i="3" s="1"/>
  <c r="AH269" i="3" a="1"/>
  <c r="AH269" i="3" s="1"/>
  <c r="AH270" i="3" a="1"/>
  <c r="AH270" i="3" s="1"/>
  <c r="W1631" i="1"/>
  <c r="W1632" i="1" s="1"/>
  <c r="AH25" i="3" a="1"/>
  <c r="AH25" i="3" s="1"/>
  <c r="AH35" i="3" a="1"/>
  <c r="AH35" i="3" s="1"/>
  <c r="J55" i="3"/>
  <c r="AI55" i="3"/>
  <c r="AJ55" i="3" s="1"/>
  <c r="AH91" i="3" a="1"/>
  <c r="AH91" i="3" s="1"/>
  <c r="AH120" i="3" a="1"/>
  <c r="AH120" i="3" s="1"/>
  <c r="AJ169" i="3"/>
  <c r="AH168" i="3" a="1"/>
  <c r="AH168" i="3" s="1"/>
  <c r="AJ178" i="3"/>
  <c r="AI224" i="3"/>
  <c r="AJ224" i="3" s="1"/>
  <c r="J224" i="3"/>
  <c r="AH259" i="3" a="1"/>
  <c r="AH259" i="3" s="1"/>
  <c r="AH38" i="3" a="1"/>
  <c r="AH38" i="3" s="1"/>
  <c r="AJ16" i="3"/>
  <c r="AI53" i="3"/>
  <c r="J53" i="3"/>
  <c r="AH81" i="3" a="1"/>
  <c r="AH81" i="3" s="1"/>
  <c r="AH80" i="3" a="1"/>
  <c r="AH80" i="3" s="1"/>
  <c r="AH7" i="3" a="1"/>
  <c r="AH7" i="3" s="1"/>
  <c r="AJ8" i="3"/>
  <c r="AH17" i="3" a="1"/>
  <c r="AH17" i="3" s="1"/>
  <c r="AJ36" i="3"/>
  <c r="AI72" i="3"/>
  <c r="AJ72" i="3" s="1"/>
  <c r="J72" i="3"/>
  <c r="AI101" i="3"/>
  <c r="AJ101" i="3" s="1"/>
  <c r="J101" i="3"/>
  <c r="AH121" i="3" a="1"/>
  <c r="AH121" i="3" s="1"/>
  <c r="J140" i="3"/>
  <c r="AI140" i="3"/>
  <c r="AJ140" i="3" s="1"/>
  <c r="AH160" i="3" a="1"/>
  <c r="AH160" i="3" s="1"/>
  <c r="AH279" i="3" a="1"/>
  <c r="AH279" i="3" s="1"/>
  <c r="J350" i="3"/>
  <c r="AI350" i="3"/>
  <c r="AH376" i="3" a="1"/>
  <c r="AH376" i="3" s="1"/>
  <c r="AH56" i="3" a="1"/>
  <c r="AH56" i="3" s="1"/>
  <c r="AH147" i="3" a="1"/>
  <c r="AH147" i="3" s="1"/>
  <c r="AH192" i="3" a="1"/>
  <c r="AH192" i="3" s="1"/>
  <c r="AJ405" i="3"/>
  <c r="J124" i="3"/>
  <c r="AH130" i="3" a="1"/>
  <c r="AH130" i="3" s="1"/>
  <c r="AH177" i="3" a="1"/>
  <c r="AH177" i="3" s="1"/>
  <c r="AH274" i="3" a="1"/>
  <c r="AH274" i="3" s="1"/>
  <c r="AH278" i="3" a="1"/>
  <c r="AH278" i="3" s="1"/>
  <c r="AH282" i="3" a="1"/>
  <c r="AH282" i="3" s="1"/>
  <c r="AH290" i="3" a="1"/>
  <c r="AH290" i="3" s="1"/>
  <c r="AI299" i="3"/>
  <c r="AJ299" i="3" s="1"/>
  <c r="J304" i="3"/>
  <c r="AH315" i="3" a="1"/>
  <c r="AH315" i="3" s="1"/>
  <c r="AH328" i="3" a="1"/>
  <c r="AH328" i="3" s="1"/>
  <c r="AH373" i="3" a="1"/>
  <c r="AH373" i="3" s="1"/>
  <c r="AI378" i="3"/>
  <c r="AJ378" i="3" s="1"/>
  <c r="J378" i="3"/>
  <c r="J384" i="3"/>
  <c r="AH173" i="3" a="1"/>
  <c r="AH173" i="3" s="1"/>
  <c r="J223" i="3"/>
  <c r="AH241" i="3" a="1"/>
  <c r="AH241" i="3" s="1"/>
  <c r="AH245" i="3" a="1"/>
  <c r="AH245" i="3" s="1"/>
  <c r="AH303" i="3" a="1"/>
  <c r="AH303" i="3" s="1"/>
  <c r="AH355" i="3" a="1"/>
  <c r="AH355" i="3" s="1"/>
  <c r="AH364" i="3" a="1"/>
  <c r="AH364" i="3" s="1"/>
  <c r="AH383" i="3" a="1"/>
  <c r="AH383" i="3" s="1"/>
  <c r="AJ53" i="3"/>
  <c r="AH141" i="3" a="1"/>
  <c r="AH141" i="3" s="1"/>
  <c r="AH148" i="3" a="1"/>
  <c r="AH148" i="3" s="1"/>
  <c r="AH307" i="3" a="1"/>
  <c r="AH307" i="3" s="1"/>
  <c r="AH24" i="3" a="1"/>
  <c r="AH24" i="3" s="1"/>
  <c r="AH50" i="3" a="1"/>
  <c r="AH50" i="3" s="1"/>
  <c r="AH86" i="3" a="1"/>
  <c r="AH86" i="3" s="1"/>
  <c r="AH144" i="3" a="1"/>
  <c r="AH144" i="3" s="1"/>
  <c r="AH155" i="3" a="1"/>
  <c r="AH155" i="3" s="1"/>
  <c r="AH159" i="3" a="1"/>
  <c r="AH159" i="3" s="1"/>
  <c r="AI170" i="3"/>
  <c r="AJ170" i="3" s="1"/>
  <c r="AH196" i="3" a="1"/>
  <c r="AH196" i="3" s="1"/>
  <c r="AI215" i="3"/>
  <c r="AJ215" i="3" s="1"/>
  <c r="AH219" i="3" a="1"/>
  <c r="AH219" i="3" s="1"/>
  <c r="AH258" i="3" a="1"/>
  <c r="AH258" i="3" s="1"/>
  <c r="AH333" i="3" a="1"/>
  <c r="AH333" i="3" s="1"/>
  <c r="AH351" i="3" a="1"/>
  <c r="AH351" i="3" s="1"/>
  <c r="J389" i="3"/>
  <c r="AI389" i="3"/>
  <c r="AJ389" i="3" s="1"/>
  <c r="AH166" i="3" a="1"/>
  <c r="AH166" i="3" s="1"/>
  <c r="AH226" i="3" a="1"/>
  <c r="AH226" i="3" s="1"/>
  <c r="AH346" i="3" a="1"/>
  <c r="AH346" i="3" s="1"/>
  <c r="AI360" i="3"/>
  <c r="AJ360" i="3" s="1"/>
  <c r="J360" i="3"/>
  <c r="AH34" i="3" a="1"/>
  <c r="AH34" i="3" s="1"/>
  <c r="AH70" i="3" a="1"/>
  <c r="AH70" i="3" s="1"/>
  <c r="AH138" i="3" a="1"/>
  <c r="AH138" i="3" s="1"/>
  <c r="AH193" i="3" a="1"/>
  <c r="AH193" i="3" s="1"/>
  <c r="AH208" i="3" a="1"/>
  <c r="AH208" i="3" s="1"/>
  <c r="AH234" i="3" a="1"/>
  <c r="AH234" i="3" s="1"/>
  <c r="AH238" i="3" a="1"/>
  <c r="AH238" i="3" s="1"/>
  <c r="AH250" i="3" a="1"/>
  <c r="AH250" i="3" s="1"/>
  <c r="AH262" i="3" a="1"/>
  <c r="AH262" i="3" s="1"/>
  <c r="AH275" i="3" a="1"/>
  <c r="AH275" i="3" s="1"/>
  <c r="AH300" i="3" a="1"/>
  <c r="AH300" i="3" s="1"/>
  <c r="AH308" i="3" a="1"/>
  <c r="AH308" i="3" s="1"/>
  <c r="AH15" i="3" a="1"/>
  <c r="AH15" i="3" s="1"/>
  <c r="AH57" i="3" a="1"/>
  <c r="AH57" i="3" s="1"/>
  <c r="AH145" i="3" a="1"/>
  <c r="AH145" i="3" s="1"/>
  <c r="AH189" i="3" a="1"/>
  <c r="AH189" i="3" s="1"/>
  <c r="J313" i="3"/>
  <c r="AH329" i="3" a="1"/>
  <c r="AH329" i="3" s="1"/>
  <c r="AH379" i="3" a="1"/>
  <c r="AH379" i="3" s="1"/>
  <c r="AH406" i="3" a="1"/>
  <c r="AH406" i="3" s="1"/>
  <c r="AH156" i="3" a="1"/>
  <c r="AH156" i="3" s="1"/>
  <c r="AH185" i="3" a="1"/>
  <c r="AH185" i="3" s="1"/>
  <c r="J239" i="3"/>
  <c r="J263" i="3"/>
  <c r="J297" i="3"/>
  <c r="AH317" i="3" a="1"/>
  <c r="AH317" i="3" s="1"/>
  <c r="J322" i="3"/>
  <c r="AH347" i="3" a="1"/>
  <c r="AH347" i="3" s="1"/>
  <c r="AH369" i="3" a="1"/>
  <c r="AH369" i="3" s="1"/>
  <c r="AH407" i="3" a="1"/>
  <c r="AH407" i="3" s="1"/>
  <c r="AH408" i="3" a="1"/>
  <c r="AH408" i="3" s="1"/>
  <c r="AH9" i="3" a="1"/>
  <c r="AH9" i="3" s="1"/>
  <c r="AH54" i="3" a="1"/>
  <c r="AH54" i="3" s="1"/>
  <c r="AH97" i="3" a="1"/>
  <c r="AH97" i="3" s="1"/>
  <c r="AH100" i="3" a="1"/>
  <c r="AH100" i="3" s="1"/>
  <c r="AH104" i="3" a="1"/>
  <c r="AH104" i="3" s="1"/>
  <c r="AH251" i="3" a="1"/>
  <c r="AH251" i="3" s="1"/>
  <c r="AJ288" i="3"/>
  <c r="AH296" i="3" a="1"/>
  <c r="AH296" i="3" s="1"/>
  <c r="AH321" i="3" a="1"/>
  <c r="AH321" i="3" s="1"/>
  <c r="AH342" i="3" a="1"/>
  <c r="AH342" i="3" s="1"/>
  <c r="AH361" i="3" a="1"/>
  <c r="AH361" i="3" s="1"/>
  <c r="AH163" i="3" a="1"/>
  <c r="AH163" i="3" s="1"/>
  <c r="AH271" i="3" a="1"/>
  <c r="AH271" i="3" s="1"/>
  <c r="AJ313" i="3"/>
  <c r="AH370" i="3" a="1"/>
  <c r="AH370" i="3" s="1"/>
  <c r="AH190" i="3" a="1"/>
  <c r="AH190" i="3" s="1"/>
  <c r="AH216" i="3" a="1"/>
  <c r="AH216" i="3" s="1"/>
  <c r="AJ263" i="3"/>
  <c r="AJ375" i="3"/>
  <c r="AJ391" i="3"/>
  <c r="AH390" i="3" a="1"/>
  <c r="AH390" i="3" s="1"/>
  <c r="AI375" i="3"/>
  <c r="J375" i="3"/>
  <c r="AI391" i="3"/>
  <c r="AH171" i="3" a="1"/>
  <c r="AH171" i="3" s="1"/>
  <c r="AH186" i="3" a="1"/>
  <c r="AH186" i="3" s="1"/>
  <c r="AH366" i="3" a="1"/>
  <c r="AH366" i="3" s="1"/>
  <c r="AH396" i="3" a="1"/>
  <c r="AH396" i="3" s="1"/>
  <c r="AH179" i="3" a="1"/>
  <c r="AH179" i="3" s="1"/>
  <c r="AH243" i="3" a="1"/>
  <c r="AH243" i="3" s="1"/>
  <c r="AH331" i="3" a="1"/>
  <c r="AH331" i="3" s="1"/>
  <c r="AH330" i="3" a="1"/>
  <c r="AH330" i="3" s="1"/>
  <c r="AH357" i="3" a="1"/>
  <c r="AH357" i="3" s="1"/>
  <c r="AH94" i="3" a="1"/>
  <c r="AH94" i="3" s="1"/>
  <c r="AH125" i="3" a="1"/>
  <c r="AH125" i="3" s="1"/>
  <c r="AH272" i="3" a="1"/>
  <c r="AH272" i="3" s="1"/>
  <c r="J409" i="3"/>
  <c r="AI409" i="3"/>
  <c r="AH105" i="3" a="1"/>
  <c r="AH105" i="3" s="1"/>
  <c r="AH232" i="3" a="1"/>
  <c r="AH232" i="3" s="1"/>
  <c r="AH235" i="3" a="1"/>
  <c r="AH235" i="3" s="1"/>
  <c r="AH280" i="3" a="1"/>
  <c r="AH280" i="3" s="1"/>
  <c r="AH339" i="3" a="1"/>
  <c r="AH339" i="3" s="1"/>
  <c r="AH348" i="3" a="1"/>
  <c r="AH348" i="3" s="1"/>
  <c r="AH352" i="3" a="1"/>
  <c r="AH352" i="3" s="1"/>
  <c r="AI402" i="3"/>
  <c r="AJ402" i="3" s="1"/>
  <c r="J402" i="3"/>
  <c r="AH42" i="3" a="1"/>
  <c r="AH42" i="3" s="1"/>
  <c r="AH78" i="3" a="1"/>
  <c r="AH78" i="3" s="1"/>
  <c r="AH108" i="3" a="1"/>
  <c r="AH108" i="3" s="1"/>
  <c r="AH172" i="3" a="1"/>
  <c r="AH172" i="3" s="1"/>
  <c r="AH187" i="3" a="1"/>
  <c r="AH187" i="3" s="1"/>
  <c r="AH202" i="3" a="1"/>
  <c r="AH202" i="3" s="1"/>
  <c r="AH244" i="3" a="1"/>
  <c r="AH244" i="3" s="1"/>
  <c r="AH281" i="3" a="1"/>
  <c r="AH281" i="3" s="1"/>
  <c r="AH353" i="3" a="1"/>
  <c r="AH353" i="3" s="1"/>
  <c r="J367" i="3"/>
  <c r="AI367" i="3"/>
  <c r="AJ367" i="3" s="1"/>
  <c r="J218" i="3"/>
  <c r="AH240" i="3" a="1"/>
  <c r="AH240" i="3" s="1"/>
  <c r="J257" i="3"/>
  <c r="AH264" i="3" a="1"/>
  <c r="AH264" i="3" s="1"/>
  <c r="AH268" i="3" a="1"/>
  <c r="AH268" i="3" s="1"/>
  <c r="AH285" i="3" a="1"/>
  <c r="AH285" i="3" s="1"/>
  <c r="AH314" i="3" a="1"/>
  <c r="AH314" i="3" s="1"/>
  <c r="AH323" i="3" a="1"/>
  <c r="AH323" i="3" s="1"/>
  <c r="AH327" i="3" a="1"/>
  <c r="AH327" i="3" s="1"/>
  <c r="AH150" i="3" a="1"/>
  <c r="AH150" i="3" s="1"/>
  <c r="AH256" i="3" a="1"/>
  <c r="AH256" i="3" s="1"/>
  <c r="AH302" i="3" a="1"/>
  <c r="AH302" i="3" s="1"/>
  <c r="AH306" i="3" a="1"/>
  <c r="AH306" i="3" s="1"/>
  <c r="AH310" i="3" a="1"/>
  <c r="AH310" i="3" s="1"/>
  <c r="AH362" i="3" a="1"/>
  <c r="AH362" i="3" s="1"/>
  <c r="AI387" i="3"/>
  <c r="AH206" i="3" a="1"/>
  <c r="AH206" i="3" s="1"/>
  <c r="AH236" i="3" a="1"/>
  <c r="AH236" i="3" s="1"/>
  <c r="AH277" i="3" a="1"/>
  <c r="AH277" i="3" s="1"/>
  <c r="J324" i="3"/>
  <c r="AJ387" i="3"/>
  <c r="AJ403" i="3"/>
  <c r="AH119" i="3" a="1"/>
  <c r="AH119" i="3" s="1"/>
  <c r="AH176" i="3" a="1"/>
  <c r="AH176" i="3" s="1"/>
  <c r="AJ253" i="3"/>
  <c r="J388" i="3"/>
  <c r="AH210" i="3" a="1"/>
  <c r="AH210" i="3" s="1"/>
  <c r="AH273" i="3" a="1"/>
  <c r="AH273" i="3" s="1"/>
  <c r="AH298" i="3" a="1"/>
  <c r="AH298" i="3" s="1"/>
  <c r="AH345" i="3" a="1"/>
  <c r="AH345" i="3" s="1"/>
  <c r="AJ350" i="3"/>
  <c r="AH349" i="3" a="1"/>
  <c r="AH349" i="3" s="1"/>
  <c r="AH354" i="3" a="1"/>
  <c r="AH354" i="3" s="1"/>
  <c r="AH377" i="3" a="1"/>
  <c r="AH377" i="3" s="1"/>
  <c r="AH340" i="3" a="1"/>
  <c r="AH340" i="3" s="1"/>
  <c r="AH372" i="3" a="1"/>
  <c r="AH372" i="3" s="1"/>
  <c r="AJ388" i="3"/>
  <c r="AH393" i="3" a="1"/>
  <c r="AH393" i="3" s="1"/>
  <c r="AH404" i="3" a="1"/>
  <c r="AH404" i="3" s="1"/>
  <c r="AJ341" i="3"/>
  <c r="AH344" i="3" a="1"/>
  <c r="AH344" i="3" s="1"/>
  <c r="AJ409" i="3"/>
  <c r="AH385" i="3" a="1"/>
  <c r="AH385" i="3" s="1"/>
  <c r="AH401" i="3" a="1"/>
  <c r="AH401" i="3" s="1"/>
  <c r="AH382" i="3" a="1"/>
  <c r="AH382" i="3" s="1"/>
  <c r="AH398" i="3" a="1"/>
  <c r="AH398" i="3" s="1"/>
  <c r="AH410" i="3" a="1"/>
  <c r="AH410" i="3" s="1"/>
  <c r="AJ411" i="3"/>
  <c r="AH394" i="3" a="1"/>
  <c r="AH394" i="3" s="1"/>
  <c r="J411" i="3"/>
  <c r="AI411" i="3"/>
  <c r="AH335" i="3" a="1"/>
  <c r="AH335" i="3" s="1"/>
  <c r="AI310" i="3" l="1"/>
  <c r="AJ310" i="3" s="1"/>
  <c r="J310" i="3"/>
  <c r="J373" i="3"/>
  <c r="AI373" i="3"/>
  <c r="AJ373" i="3" s="1"/>
  <c r="AI75" i="3"/>
  <c r="AJ75" i="3" s="1"/>
  <c r="J75" i="3"/>
  <c r="AI111" i="3"/>
  <c r="AJ111" i="3" s="1"/>
  <c r="J111" i="3"/>
  <c r="J349" i="3"/>
  <c r="AI349" i="3"/>
  <c r="AJ349" i="3" s="1"/>
  <c r="AI346" i="3"/>
  <c r="AJ346" i="3" s="1"/>
  <c r="J346" i="3"/>
  <c r="AI68" i="3"/>
  <c r="AJ68" i="3" s="1"/>
  <c r="J68" i="3"/>
  <c r="J66" i="3"/>
  <c r="AI66" i="3"/>
  <c r="AJ66" i="3" s="1"/>
  <c r="AI102" i="3"/>
  <c r="AJ102" i="3" s="1"/>
  <c r="J102" i="3"/>
  <c r="J354" i="3"/>
  <c r="AI354" i="3"/>
  <c r="AJ354" i="3" s="1"/>
  <c r="AI105" i="3"/>
  <c r="AJ105" i="3" s="1"/>
  <c r="J105" i="3"/>
  <c r="J24" i="3"/>
  <c r="AI24" i="3"/>
  <c r="AJ24" i="3" s="1"/>
  <c r="J25" i="3"/>
  <c r="AI25" i="3"/>
  <c r="AJ25" i="3" s="1"/>
  <c r="AI153" i="3"/>
  <c r="AJ153" i="3" s="1"/>
  <c r="J153" i="3"/>
  <c r="AI394" i="3"/>
  <c r="AJ394" i="3" s="1"/>
  <c r="J394" i="3"/>
  <c r="AI306" i="3"/>
  <c r="AJ306" i="3" s="1"/>
  <c r="J306" i="3"/>
  <c r="J104" i="3"/>
  <c r="AI104" i="3"/>
  <c r="AJ104" i="3" s="1"/>
  <c r="AI328" i="3"/>
  <c r="AJ328" i="3" s="1"/>
  <c r="J328" i="3"/>
  <c r="AI131" i="3"/>
  <c r="AJ131" i="3" s="1"/>
  <c r="J131" i="3"/>
  <c r="AI302" i="3"/>
  <c r="AJ302" i="3" s="1"/>
  <c r="J302" i="3"/>
  <c r="AI353" i="3"/>
  <c r="AJ353" i="3" s="1"/>
  <c r="J353" i="3"/>
  <c r="AI100" i="3"/>
  <c r="AJ100" i="3" s="1"/>
  <c r="J100" i="3"/>
  <c r="AI226" i="3"/>
  <c r="AJ226" i="3" s="1"/>
  <c r="J226" i="3"/>
  <c r="J307" i="3"/>
  <c r="AI307" i="3"/>
  <c r="AJ307" i="3" s="1"/>
  <c r="AI315" i="3"/>
  <c r="AJ315" i="3" s="1"/>
  <c r="J315" i="3"/>
  <c r="J279" i="3"/>
  <c r="AI279" i="3"/>
  <c r="AJ279" i="3" s="1"/>
  <c r="J292" i="3"/>
  <c r="AI292" i="3"/>
  <c r="AJ292" i="3" s="1"/>
  <c r="AI217" i="3"/>
  <c r="AJ217" i="3" s="1"/>
  <c r="J217" i="3"/>
  <c r="AI132" i="3"/>
  <c r="AJ132" i="3" s="1"/>
  <c r="J132" i="3"/>
  <c r="AI83" i="3"/>
  <c r="AJ83" i="3" s="1"/>
  <c r="J83" i="3"/>
  <c r="AI410" i="3"/>
  <c r="AJ410" i="3" s="1"/>
  <c r="J410" i="3"/>
  <c r="J27" i="3"/>
  <c r="AI27" i="3"/>
  <c r="AJ27" i="3" s="1"/>
  <c r="AI244" i="3"/>
  <c r="AJ244" i="3" s="1"/>
  <c r="J244" i="3"/>
  <c r="J408" i="3"/>
  <c r="AI408" i="3"/>
  <c r="AJ408" i="3" s="1"/>
  <c r="AI145" i="3"/>
  <c r="AJ145" i="3" s="1"/>
  <c r="J145" i="3"/>
  <c r="J282" i="3"/>
  <c r="AI282" i="3"/>
  <c r="AJ282" i="3" s="1"/>
  <c r="AI259" i="3"/>
  <c r="AJ259" i="3" s="1"/>
  <c r="J259" i="3"/>
  <c r="AI128" i="3"/>
  <c r="AJ128" i="3" s="1"/>
  <c r="J128" i="3"/>
  <c r="J33" i="3"/>
  <c r="AI33" i="3"/>
  <c r="AJ33" i="3" s="1"/>
  <c r="AI319" i="3"/>
  <c r="AJ319" i="3" s="1"/>
  <c r="J319" i="3"/>
  <c r="AI363" i="3"/>
  <c r="AJ363" i="3" s="1"/>
  <c r="J363" i="3"/>
  <c r="J247" i="3"/>
  <c r="AI247" i="3"/>
  <c r="AJ247" i="3" s="1"/>
  <c r="AI142" i="3"/>
  <c r="AJ142" i="3" s="1"/>
  <c r="J142" i="3"/>
  <c r="AI281" i="3"/>
  <c r="AJ281" i="3" s="1"/>
  <c r="J281" i="3"/>
  <c r="AI121" i="3"/>
  <c r="AJ121" i="3" s="1"/>
  <c r="J121" i="3"/>
  <c r="J154" i="3"/>
  <c r="AI154" i="3"/>
  <c r="AJ154" i="3" s="1"/>
  <c r="AI143" i="3"/>
  <c r="AJ143" i="3" s="1"/>
  <c r="J143" i="3"/>
  <c r="AI65" i="3"/>
  <c r="AJ65" i="3" s="1"/>
  <c r="J65" i="3"/>
  <c r="AI152" i="3"/>
  <c r="AJ152" i="3" s="1"/>
  <c r="J152" i="3"/>
  <c r="J63" i="3"/>
  <c r="AI63" i="3"/>
  <c r="AJ63" i="3" s="1"/>
  <c r="AI26" i="3"/>
  <c r="AJ26" i="3" s="1"/>
  <c r="J26" i="3"/>
  <c r="J270" i="3"/>
  <c r="AI270" i="3"/>
  <c r="AJ270" i="3" s="1"/>
  <c r="AI214" i="3"/>
  <c r="AJ214" i="3" s="1"/>
  <c r="J214" i="3"/>
  <c r="J2" i="3"/>
  <c r="AI2" i="3"/>
  <c r="AJ2" i="3" s="1"/>
  <c r="AI272" i="3"/>
  <c r="AJ272" i="3" s="1"/>
  <c r="J272" i="3"/>
  <c r="J46" i="3"/>
  <c r="AI46" i="3"/>
  <c r="AJ46" i="3" s="1"/>
  <c r="J311" i="3"/>
  <c r="AI311" i="3"/>
  <c r="AJ311" i="3" s="1"/>
  <c r="J160" i="3"/>
  <c r="AI160" i="3"/>
  <c r="AJ160" i="3" s="1"/>
  <c r="AI158" i="3"/>
  <c r="AJ158" i="3" s="1"/>
  <c r="J158" i="3"/>
  <c r="AI407" i="3"/>
  <c r="AJ407" i="3" s="1"/>
  <c r="J407" i="3"/>
  <c r="AI357" i="3"/>
  <c r="AJ357" i="3" s="1"/>
  <c r="J357" i="3"/>
  <c r="J190" i="3"/>
  <c r="AI190" i="3"/>
  <c r="AJ190" i="3" s="1"/>
  <c r="AI45" i="3"/>
  <c r="AJ45" i="3" s="1"/>
  <c r="J45" i="3"/>
  <c r="AI115" i="3"/>
  <c r="AJ115" i="3" s="1"/>
  <c r="J115" i="3"/>
  <c r="AI62" i="3"/>
  <c r="AJ62" i="3" s="1"/>
  <c r="J62" i="3"/>
  <c r="AI327" i="3"/>
  <c r="AJ327" i="3" s="1"/>
  <c r="J327" i="3"/>
  <c r="AI347" i="3"/>
  <c r="AJ347" i="3" s="1"/>
  <c r="J347" i="3"/>
  <c r="J333" i="3"/>
  <c r="AI333" i="3"/>
  <c r="AJ333" i="3" s="1"/>
  <c r="AI130" i="3"/>
  <c r="AJ130" i="3" s="1"/>
  <c r="J130" i="3"/>
  <c r="AI6" i="3"/>
  <c r="AJ6" i="3" s="1"/>
  <c r="J6" i="3"/>
  <c r="J88" i="3"/>
  <c r="AI88" i="3"/>
  <c r="AJ88" i="3" s="1"/>
  <c r="AI41" i="3"/>
  <c r="AJ41" i="3" s="1"/>
  <c r="J41" i="3"/>
  <c r="AI229" i="3"/>
  <c r="AJ229" i="3" s="1"/>
  <c r="J229" i="3"/>
  <c r="AI122" i="3"/>
  <c r="AJ122" i="3" s="1"/>
  <c r="J122" i="3"/>
  <c r="AI18" i="3"/>
  <c r="AJ18" i="3" s="1"/>
  <c r="J18" i="3"/>
  <c r="AI109" i="3"/>
  <c r="AJ109" i="3" s="1"/>
  <c r="J109" i="3"/>
  <c r="AI15" i="3"/>
  <c r="AJ15" i="3" s="1"/>
  <c r="J15" i="3"/>
  <c r="AI172" i="3"/>
  <c r="AJ172" i="3" s="1"/>
  <c r="J172" i="3"/>
  <c r="J369" i="3"/>
  <c r="AI369" i="3"/>
  <c r="AJ369" i="3" s="1"/>
  <c r="J177" i="3"/>
  <c r="AI177" i="3"/>
  <c r="AJ177" i="3" s="1"/>
  <c r="J99" i="3"/>
  <c r="AI99" i="3"/>
  <c r="AJ99" i="3" s="1"/>
  <c r="AI231" i="3"/>
  <c r="AJ231" i="3" s="1"/>
  <c r="J231" i="3"/>
  <c r="AI59" i="3"/>
  <c r="AJ59" i="3" s="1"/>
  <c r="J59" i="3"/>
  <c r="J200" i="3"/>
  <c r="AI200" i="3"/>
  <c r="AJ200" i="3" s="1"/>
  <c r="AI108" i="3"/>
  <c r="AJ108" i="3" s="1"/>
  <c r="J108" i="3"/>
  <c r="AI383" i="3"/>
  <c r="AJ383" i="3" s="1"/>
  <c r="J383" i="3"/>
  <c r="J323" i="3"/>
  <c r="AI323" i="3"/>
  <c r="AJ323" i="3" s="1"/>
  <c r="AI78" i="3"/>
  <c r="AJ78" i="3" s="1"/>
  <c r="J78" i="3"/>
  <c r="AI330" i="3"/>
  <c r="AJ330" i="3" s="1"/>
  <c r="J330" i="3"/>
  <c r="AI308" i="3"/>
  <c r="AJ308" i="3" s="1"/>
  <c r="J308" i="3"/>
  <c r="J258" i="3"/>
  <c r="AI258" i="3"/>
  <c r="AJ258" i="3" s="1"/>
  <c r="J364" i="3"/>
  <c r="AI364" i="3"/>
  <c r="AJ364" i="3" s="1"/>
  <c r="AI221" i="3"/>
  <c r="AJ221" i="3" s="1"/>
  <c r="J221" i="3"/>
  <c r="J76" i="3"/>
  <c r="AI76" i="3"/>
  <c r="AJ76" i="3" s="1"/>
  <c r="AI112" i="3"/>
  <c r="AJ112" i="3" s="1"/>
  <c r="J112" i="3"/>
  <c r="AI260" i="3"/>
  <c r="AJ260" i="3" s="1"/>
  <c r="J260" i="3"/>
  <c r="AI183" i="3"/>
  <c r="AJ183" i="3" s="1"/>
  <c r="J183" i="3"/>
  <c r="AI166" i="3"/>
  <c r="AJ166" i="3" s="1"/>
  <c r="J166" i="3"/>
  <c r="AI126" i="3"/>
  <c r="AJ126" i="3" s="1"/>
  <c r="J126" i="3"/>
  <c r="AI351" i="3"/>
  <c r="AJ351" i="3" s="1"/>
  <c r="J351" i="3"/>
  <c r="AI344" i="3"/>
  <c r="AJ344" i="3" s="1"/>
  <c r="J344" i="3"/>
  <c r="J317" i="3"/>
  <c r="AI317" i="3"/>
  <c r="AJ317" i="3" s="1"/>
  <c r="AI300" i="3"/>
  <c r="AJ300" i="3" s="1"/>
  <c r="J300" i="3"/>
  <c r="J219" i="3"/>
  <c r="AI219" i="3"/>
  <c r="AJ219" i="3" s="1"/>
  <c r="J355" i="3"/>
  <c r="AI355" i="3"/>
  <c r="AJ355" i="3" s="1"/>
  <c r="AI168" i="3"/>
  <c r="AJ168" i="3" s="1"/>
  <c r="J168" i="3"/>
  <c r="J43" i="3"/>
  <c r="AI43" i="3"/>
  <c r="AJ43" i="3" s="1"/>
  <c r="J399" i="3"/>
  <c r="AI399" i="3"/>
  <c r="AJ399" i="3" s="1"/>
  <c r="J228" i="3"/>
  <c r="AI228" i="3"/>
  <c r="AJ228" i="3" s="1"/>
  <c r="AI289" i="3"/>
  <c r="AJ289" i="3" s="1"/>
  <c r="J289" i="3"/>
  <c r="J298" i="3"/>
  <c r="AI298" i="3"/>
  <c r="AJ298" i="3" s="1"/>
  <c r="J210" i="3"/>
  <c r="AI210" i="3"/>
  <c r="AJ210" i="3" s="1"/>
  <c r="AI38" i="3"/>
  <c r="AJ38" i="3" s="1"/>
  <c r="J38" i="3"/>
  <c r="J141" i="3"/>
  <c r="AI141" i="3"/>
  <c r="AJ141" i="3" s="1"/>
  <c r="AI202" i="3"/>
  <c r="AJ202" i="3" s="1"/>
  <c r="J202" i="3"/>
  <c r="AI248" i="3"/>
  <c r="AJ248" i="3" s="1"/>
  <c r="J248" i="3"/>
  <c r="AI42" i="3"/>
  <c r="AJ42" i="3" s="1"/>
  <c r="J42" i="3"/>
  <c r="AI119" i="3"/>
  <c r="AJ119" i="3" s="1"/>
  <c r="J119" i="3"/>
  <c r="AI179" i="3"/>
  <c r="AJ179" i="3" s="1"/>
  <c r="J179" i="3"/>
  <c r="AI271" i="3"/>
  <c r="AJ271" i="3" s="1"/>
  <c r="J271" i="3"/>
  <c r="AI262" i="3"/>
  <c r="AJ262" i="3" s="1"/>
  <c r="J262" i="3"/>
  <c r="AI196" i="3"/>
  <c r="AJ196" i="3" s="1"/>
  <c r="J196" i="3"/>
  <c r="AI303" i="3"/>
  <c r="AJ303" i="3" s="1"/>
  <c r="J303" i="3"/>
  <c r="AI175" i="3"/>
  <c r="AJ175" i="3" s="1"/>
  <c r="J175" i="3"/>
  <c r="AI284" i="3"/>
  <c r="AJ284" i="3" s="1"/>
  <c r="J284" i="3"/>
  <c r="AI39" i="3"/>
  <c r="AJ39" i="3" s="1"/>
  <c r="J39" i="3"/>
  <c r="AI161" i="3"/>
  <c r="AJ161" i="3" s="1"/>
  <c r="J161" i="3"/>
  <c r="AI117" i="3"/>
  <c r="AJ117" i="3" s="1"/>
  <c r="J117" i="3"/>
  <c r="AI29" i="3"/>
  <c r="AJ29" i="3" s="1"/>
  <c r="J29" i="3"/>
  <c r="AI290" i="3"/>
  <c r="AJ290" i="3" s="1"/>
  <c r="J290" i="3"/>
  <c r="AI57" i="3"/>
  <c r="AJ57" i="3" s="1"/>
  <c r="J57" i="3"/>
  <c r="AI94" i="3"/>
  <c r="AJ94" i="3" s="1"/>
  <c r="J94" i="3"/>
  <c r="AI243" i="3"/>
  <c r="AJ243" i="3" s="1"/>
  <c r="J243" i="3"/>
  <c r="AI23" i="3"/>
  <c r="AJ23" i="3" s="1"/>
  <c r="J23" i="3"/>
  <c r="AI285" i="3"/>
  <c r="AJ285" i="3" s="1"/>
  <c r="J285" i="3"/>
  <c r="J393" i="3"/>
  <c r="AI393" i="3"/>
  <c r="AJ393" i="3" s="1"/>
  <c r="AI352" i="3"/>
  <c r="AJ352" i="3" s="1"/>
  <c r="J352" i="3"/>
  <c r="AI163" i="3"/>
  <c r="AJ163" i="3" s="1"/>
  <c r="J163" i="3"/>
  <c r="AI250" i="3"/>
  <c r="AJ250" i="3" s="1"/>
  <c r="J250" i="3"/>
  <c r="J245" i="3"/>
  <c r="AI245" i="3"/>
  <c r="AJ245" i="3" s="1"/>
  <c r="AI17" i="3"/>
  <c r="AJ17" i="3" s="1"/>
  <c r="J17" i="3"/>
  <c r="J129" i="3"/>
  <c r="AI129" i="3"/>
  <c r="AJ129" i="3" s="1"/>
  <c r="J5" i="3"/>
  <c r="AI5" i="3"/>
  <c r="AJ5" i="3" s="1"/>
  <c r="J184" i="3"/>
  <c r="AI184" i="3"/>
  <c r="AJ184" i="3" s="1"/>
  <c r="J30" i="3"/>
  <c r="AI30" i="3"/>
  <c r="AJ30" i="3" s="1"/>
  <c r="AI47" i="3"/>
  <c r="AJ47" i="3" s="1"/>
  <c r="J47" i="3"/>
  <c r="J261" i="3"/>
  <c r="AI261" i="3"/>
  <c r="AJ261" i="3" s="1"/>
  <c r="AI97" i="3"/>
  <c r="AJ97" i="3" s="1"/>
  <c r="J97" i="3"/>
  <c r="AI398" i="3"/>
  <c r="AJ398" i="3" s="1"/>
  <c r="J398" i="3"/>
  <c r="J106" i="3"/>
  <c r="AI106" i="3"/>
  <c r="AJ106" i="3" s="1"/>
  <c r="J268" i="3"/>
  <c r="AI268" i="3"/>
  <c r="AJ268" i="3" s="1"/>
  <c r="AI390" i="3"/>
  <c r="AJ390" i="3" s="1"/>
  <c r="J390" i="3"/>
  <c r="AI44" i="3"/>
  <c r="AJ44" i="3" s="1"/>
  <c r="J44" i="3"/>
  <c r="AI54" i="3"/>
  <c r="AJ54" i="3" s="1"/>
  <c r="J54" i="3"/>
  <c r="AI189" i="3"/>
  <c r="AJ189" i="3" s="1"/>
  <c r="J189" i="3"/>
  <c r="AI150" i="3"/>
  <c r="AJ150" i="3" s="1"/>
  <c r="J150" i="3"/>
  <c r="J13" i="3"/>
  <c r="AI13" i="3"/>
  <c r="AJ13" i="3" s="1"/>
  <c r="J274" i="3"/>
  <c r="AI274" i="3"/>
  <c r="AJ274" i="3" s="1"/>
  <c r="AI176" i="3"/>
  <c r="AJ176" i="3" s="1"/>
  <c r="J176" i="3"/>
  <c r="J49" i="3"/>
  <c r="AI49" i="3"/>
  <c r="AJ49" i="3" s="1"/>
  <c r="J185" i="3"/>
  <c r="AI185" i="3"/>
  <c r="AJ185" i="3" s="1"/>
  <c r="J339" i="3"/>
  <c r="AI339" i="3"/>
  <c r="AJ339" i="3" s="1"/>
  <c r="J11" i="3"/>
  <c r="AI11" i="3"/>
  <c r="AJ11" i="3" s="1"/>
  <c r="J392" i="3"/>
  <c r="AI392" i="3"/>
  <c r="AJ392" i="3" s="1"/>
  <c r="J273" i="3"/>
  <c r="AI273" i="3"/>
  <c r="AJ273" i="3" s="1"/>
  <c r="AI401" i="3"/>
  <c r="AJ401" i="3" s="1"/>
  <c r="J401" i="3"/>
  <c r="AI216" i="3"/>
  <c r="AJ216" i="3" s="1"/>
  <c r="J216" i="3"/>
  <c r="AI275" i="3"/>
  <c r="AJ275" i="3" s="1"/>
  <c r="J275" i="3"/>
  <c r="AI396" i="3"/>
  <c r="AJ396" i="3" s="1"/>
  <c r="J396" i="3"/>
  <c r="J159" i="3"/>
  <c r="AI159" i="3"/>
  <c r="AJ159" i="3" s="1"/>
  <c r="J96" i="3"/>
  <c r="AI96" i="3"/>
  <c r="AJ96" i="3" s="1"/>
  <c r="AI264" i="3"/>
  <c r="AJ264" i="3" s="1"/>
  <c r="J264" i="3"/>
  <c r="J361" i="3"/>
  <c r="AI361" i="3"/>
  <c r="AJ361" i="3" s="1"/>
  <c r="J336" i="3"/>
  <c r="AI336" i="3"/>
  <c r="AJ336" i="3" s="1"/>
  <c r="AI147" i="3"/>
  <c r="AJ147" i="3" s="1"/>
  <c r="J147" i="3"/>
  <c r="J240" i="3"/>
  <c r="AI240" i="3"/>
  <c r="AJ240" i="3" s="1"/>
  <c r="AI406" i="3"/>
  <c r="AJ406" i="3" s="1"/>
  <c r="J406" i="3"/>
  <c r="AI193" i="3"/>
  <c r="AJ193" i="3" s="1"/>
  <c r="J193" i="3"/>
  <c r="AI56" i="3"/>
  <c r="AJ56" i="3" s="1"/>
  <c r="J56" i="3"/>
  <c r="J79" i="3"/>
  <c r="AI79" i="3"/>
  <c r="AJ79" i="3" s="1"/>
  <c r="AI213" i="3"/>
  <c r="AJ213" i="3" s="1"/>
  <c r="J213" i="3"/>
  <c r="J267" i="3"/>
  <c r="AI267" i="3"/>
  <c r="AJ267" i="3" s="1"/>
  <c r="J37" i="3"/>
  <c r="AI37" i="3"/>
  <c r="AJ37" i="3" s="1"/>
  <c r="AI114" i="3"/>
  <c r="AJ114" i="3" s="1"/>
  <c r="J114" i="3"/>
  <c r="AI269" i="3"/>
  <c r="AJ269" i="3" s="1"/>
  <c r="J269" i="3"/>
  <c r="AI382" i="3"/>
  <c r="AJ382" i="3" s="1"/>
  <c r="J382" i="3"/>
  <c r="J370" i="3"/>
  <c r="AI370" i="3"/>
  <c r="AJ370" i="3" s="1"/>
  <c r="AI312" i="3"/>
  <c r="AJ312" i="3" s="1"/>
  <c r="J312" i="3"/>
  <c r="AI136" i="3"/>
  <c r="AJ136" i="3" s="1"/>
  <c r="J136" i="3"/>
  <c r="J230" i="3"/>
  <c r="AI230" i="3"/>
  <c r="AJ230" i="3" s="1"/>
  <c r="J180" i="3"/>
  <c r="AI180" i="3"/>
  <c r="AJ180" i="3" s="1"/>
  <c r="AI103" i="3"/>
  <c r="AJ103" i="3" s="1"/>
  <c r="J103" i="3"/>
  <c r="AI198" i="3"/>
  <c r="AJ198" i="3" s="1"/>
  <c r="J198" i="3"/>
  <c r="AI107" i="3"/>
  <c r="AJ107" i="3" s="1"/>
  <c r="J107" i="3"/>
  <c r="J148" i="3"/>
  <c r="AI148" i="3"/>
  <c r="AJ148" i="3" s="1"/>
  <c r="AI9" i="3"/>
  <c r="AJ9" i="3" s="1"/>
  <c r="J9" i="3"/>
  <c r="AI167" i="3"/>
  <c r="AJ167" i="3" s="1"/>
  <c r="J167" i="3"/>
  <c r="AI187" i="3"/>
  <c r="AJ187" i="3" s="1"/>
  <c r="J187" i="3"/>
  <c r="AI331" i="3"/>
  <c r="AJ331" i="3" s="1"/>
  <c r="J331" i="3"/>
  <c r="AI146" i="3"/>
  <c r="AJ146" i="3" s="1"/>
  <c r="J146" i="3"/>
  <c r="J241" i="3"/>
  <c r="AI241" i="3"/>
  <c r="AJ241" i="3" s="1"/>
  <c r="AI20" i="3"/>
  <c r="AJ20" i="3" s="1"/>
  <c r="J20" i="3"/>
  <c r="AI156" i="3"/>
  <c r="AJ156" i="3" s="1"/>
  <c r="J156" i="3"/>
  <c r="AI199" i="3"/>
  <c r="AJ199" i="3" s="1"/>
  <c r="J199" i="3"/>
  <c r="J342" i="3"/>
  <c r="AI342" i="3"/>
  <c r="AJ342" i="3" s="1"/>
  <c r="AI95" i="3"/>
  <c r="AJ95" i="3" s="1"/>
  <c r="J95" i="3"/>
  <c r="AI321" i="3"/>
  <c r="AJ321" i="3" s="1"/>
  <c r="J321" i="3"/>
  <c r="AI138" i="3"/>
  <c r="AJ138" i="3" s="1"/>
  <c r="J138" i="3"/>
  <c r="J379" i="3"/>
  <c r="AI379" i="3"/>
  <c r="AJ379" i="3" s="1"/>
  <c r="J70" i="3"/>
  <c r="AI70" i="3"/>
  <c r="AJ70" i="3" s="1"/>
  <c r="J376" i="3"/>
  <c r="AI376" i="3"/>
  <c r="AJ376" i="3" s="1"/>
  <c r="J127" i="3"/>
  <c r="AI127" i="3"/>
  <c r="AJ127" i="3" s="1"/>
  <c r="J58" i="3"/>
  <c r="AI58" i="3"/>
  <c r="AJ58" i="3" s="1"/>
  <c r="J113" i="3"/>
  <c r="AI113" i="3"/>
  <c r="AJ113" i="3" s="1"/>
  <c r="AI227" i="3"/>
  <c r="AJ227" i="3" s="1"/>
  <c r="J227" i="3"/>
  <c r="J345" i="3"/>
  <c r="AI345" i="3"/>
  <c r="AJ345" i="3" s="1"/>
  <c r="AI90" i="3"/>
  <c r="AJ90" i="3" s="1"/>
  <c r="J90" i="3"/>
  <c r="AI256" i="3"/>
  <c r="AJ256" i="3" s="1"/>
  <c r="J256" i="3"/>
  <c r="J278" i="3"/>
  <c r="AI278" i="3"/>
  <c r="AJ278" i="3" s="1"/>
  <c r="AI385" i="3"/>
  <c r="AJ385" i="3" s="1"/>
  <c r="J385" i="3"/>
  <c r="J118" i="3"/>
  <c r="AI118" i="3"/>
  <c r="AJ118" i="3" s="1"/>
  <c r="J314" i="3"/>
  <c r="AI314" i="3"/>
  <c r="AJ314" i="3" s="1"/>
  <c r="AI209" i="3"/>
  <c r="AJ209" i="3" s="1"/>
  <c r="J209" i="3"/>
  <c r="AI404" i="3"/>
  <c r="AJ404" i="3" s="1"/>
  <c r="J404" i="3"/>
  <c r="J120" i="3"/>
  <c r="AI120" i="3"/>
  <c r="AJ120" i="3" s="1"/>
  <c r="AI366" i="3"/>
  <c r="AJ366" i="3" s="1"/>
  <c r="J366" i="3"/>
  <c r="J155" i="3"/>
  <c r="AI155" i="3"/>
  <c r="AJ155" i="3" s="1"/>
  <c r="J7" i="3"/>
  <c r="AI7" i="3"/>
  <c r="AJ7" i="3" s="1"/>
  <c r="AI208" i="3"/>
  <c r="AJ208" i="3" s="1"/>
  <c r="J208" i="3"/>
  <c r="J181" i="3"/>
  <c r="AI181" i="3"/>
  <c r="AJ181" i="3" s="1"/>
  <c r="AI277" i="3"/>
  <c r="AJ277" i="3" s="1"/>
  <c r="J277" i="3"/>
  <c r="AI236" i="3"/>
  <c r="AJ236" i="3" s="1"/>
  <c r="J236" i="3"/>
  <c r="AI171" i="3"/>
  <c r="AJ171" i="3" s="1"/>
  <c r="J171" i="3"/>
  <c r="AI86" i="3"/>
  <c r="AJ86" i="3" s="1"/>
  <c r="J86" i="3"/>
  <c r="J206" i="3"/>
  <c r="AI206" i="3"/>
  <c r="AJ206" i="3" s="1"/>
  <c r="AI280" i="3"/>
  <c r="AJ280" i="3" s="1"/>
  <c r="J280" i="3"/>
  <c r="AI335" i="3"/>
  <c r="AJ335" i="3" s="1"/>
  <c r="J335" i="3"/>
  <c r="AI377" i="3"/>
  <c r="AJ377" i="3" s="1"/>
  <c r="J377" i="3"/>
  <c r="J235" i="3"/>
  <c r="AI235" i="3"/>
  <c r="AJ235" i="3" s="1"/>
  <c r="AI251" i="3"/>
  <c r="AJ251" i="3" s="1"/>
  <c r="J251" i="3"/>
  <c r="AI329" i="3"/>
  <c r="AJ329" i="3" s="1"/>
  <c r="J329" i="3"/>
  <c r="J34" i="3"/>
  <c r="AI34" i="3"/>
  <c r="AJ34" i="3" s="1"/>
  <c r="AI50" i="3"/>
  <c r="AJ50" i="3" s="1"/>
  <c r="J50" i="3"/>
  <c r="AI80" i="3"/>
  <c r="AJ80" i="3" s="1"/>
  <c r="J80" i="3"/>
  <c r="AI358" i="3"/>
  <c r="AJ358" i="3" s="1"/>
  <c r="J358" i="3"/>
  <c r="J295" i="3"/>
  <c r="AI295" i="3"/>
  <c r="AJ295" i="3" s="1"/>
  <c r="AI32" i="3"/>
  <c r="AJ32" i="3" s="1"/>
  <c r="J32" i="3"/>
  <c r="AI318" i="3"/>
  <c r="AJ318" i="3" s="1"/>
  <c r="J318" i="3"/>
  <c r="AI174" i="3"/>
  <c r="AJ174" i="3" s="1"/>
  <c r="J174" i="3"/>
  <c r="AI125" i="3"/>
  <c r="AJ125" i="3" s="1"/>
  <c r="J125" i="3"/>
  <c r="AI238" i="3"/>
  <c r="AJ238" i="3" s="1"/>
  <c r="J238" i="3"/>
  <c r="AI372" i="3"/>
  <c r="AJ372" i="3" s="1"/>
  <c r="J372" i="3"/>
  <c r="AI348" i="3"/>
  <c r="AJ348" i="3" s="1"/>
  <c r="J348" i="3"/>
  <c r="AI234" i="3"/>
  <c r="AJ234" i="3" s="1"/>
  <c r="J234" i="3"/>
  <c r="J192" i="3"/>
  <c r="AI192" i="3"/>
  <c r="AJ192" i="3" s="1"/>
  <c r="AI340" i="3"/>
  <c r="AJ340" i="3" s="1"/>
  <c r="J340" i="3"/>
  <c r="AI186" i="3"/>
  <c r="AJ186" i="3" s="1"/>
  <c r="J186" i="3"/>
  <c r="J144" i="3"/>
  <c r="AI144" i="3"/>
  <c r="AJ144" i="3" s="1"/>
  <c r="AI91" i="3"/>
  <c r="AJ91" i="3" s="1"/>
  <c r="J91" i="3"/>
  <c r="AI296" i="3"/>
  <c r="AJ296" i="3" s="1"/>
  <c r="J296" i="3"/>
  <c r="J173" i="3"/>
  <c r="AI173" i="3"/>
  <c r="AJ173" i="3" s="1"/>
  <c r="AI362" i="3"/>
  <c r="AJ362" i="3" s="1"/>
  <c r="J362" i="3"/>
  <c r="AI232" i="3"/>
  <c r="AJ232" i="3" s="1"/>
  <c r="J232" i="3"/>
  <c r="AI81" i="3"/>
  <c r="AJ81" i="3" s="1"/>
  <c r="J81" i="3"/>
  <c r="AI35" i="3"/>
  <c r="AJ35" i="3" s="1"/>
  <c r="J35" i="3"/>
  <c r="AI294" i="3"/>
  <c r="AJ294" i="3" s="1"/>
  <c r="J294" i="3"/>
  <c r="J40" i="3"/>
  <c r="AI40" i="3"/>
  <c r="AJ40" i="3" s="1"/>
  <c r="J73" i="3"/>
  <c r="AI73" i="3"/>
  <c r="AJ73" i="3" s="1"/>
  <c r="AI197" i="3"/>
  <c r="AJ197" i="3" s="1"/>
  <c r="J197" i="3"/>
  <c r="AI151" i="3"/>
  <c r="AJ151" i="3" s="1"/>
  <c r="J151" i="3"/>
</calcChain>
</file>

<file path=xl/sharedStrings.xml><?xml version="1.0" encoding="utf-8"?>
<sst xmlns="http://schemas.openxmlformats.org/spreadsheetml/2006/main" count="14634" uniqueCount="3284">
  <si>
    <t>NO</t>
  </si>
  <si>
    <t>PHASE 2 TAG</t>
  </si>
  <si>
    <t>PHASE 2A TAG</t>
  </si>
  <si>
    <t>OEM TAG</t>
  </si>
  <si>
    <t>JB</t>
  </si>
  <si>
    <t>DESCRIPTION</t>
  </si>
  <si>
    <t>P&amp;ID</t>
  </si>
  <si>
    <t>ROOM</t>
  </si>
  <si>
    <t>PANEL</t>
  </si>
  <si>
    <t>ORDER</t>
  </si>
  <si>
    <t>SLOT</t>
  </si>
  <si>
    <t>CH</t>
  </si>
  <si>
    <t>MODULE 
TYPE</t>
  </si>
  <si>
    <t>MODULE 
P/N</t>
  </si>
  <si>
    <t>RANGE</t>
  </si>
  <si>
    <t>DEVICE
INSTALLED</t>
  </si>
  <si>
    <t>DEVICE
TAGGED</t>
  </si>
  <si>
    <t>CA
INSTALLED</t>
  </si>
  <si>
    <t>RACEWAYS
COMPLETE</t>
  </si>
  <si>
    <t>WIRE
PULLED</t>
  </si>
  <si>
    <t>WIRE
TERMED</t>
  </si>
  <si>
    <t>WIRE
TAGGED</t>
  </si>
  <si>
    <t>POINT
TO POINT</t>
  </si>
  <si>
    <t>IO CHECK</t>
  </si>
  <si>
    <t>IO GOOD</t>
  </si>
  <si>
    <t>NOTES</t>
  </si>
  <si>
    <t>RL7-LFT-101-1:I.PT00</t>
  </si>
  <si>
    <t>E-STOP OK</t>
  </si>
  <si>
    <t>DG6800</t>
  </si>
  <si>
    <t>PROC</t>
  </si>
  <si>
    <t>RL7-LFT-RIO1</t>
  </si>
  <si>
    <t>24 VDC DI</t>
  </si>
  <si>
    <t>5069-IB16</t>
  </si>
  <si>
    <t>OEM PANEL</t>
  </si>
  <si>
    <t>RL7-LFT-101-1:I.PT01</t>
  </si>
  <si>
    <t>THERMAL FAULT HYDRAULIC</t>
  </si>
  <si>
    <t>RL7-LFT-101-1:I.PT02</t>
  </si>
  <si>
    <t>THERMAL FAULT LIFT</t>
  </si>
  <si>
    <t>RL7-LFT-101-1:I.PT03</t>
  </si>
  <si>
    <t>STOP BUTTON</t>
  </si>
  <si>
    <t>RL7-LFT-101-1:I.PT04</t>
  </si>
  <si>
    <t>LIFT UP BUTTON</t>
  </si>
  <si>
    <t>RL7-LFT-101-1:I.PT05</t>
  </si>
  <si>
    <t>LIFT DOWN BUTTON</t>
  </si>
  <si>
    <t>RL7-LFT-101-1:I.PT06</t>
  </si>
  <si>
    <t>TURN RIGHT SWITCH SELECTOR</t>
  </si>
  <si>
    <t>RL7-LFT-101-1:I.PT07</t>
  </si>
  <si>
    <t>TURN LEFT SWITCH SELECTOR</t>
  </si>
  <si>
    <t>RL7-LFT-101-1:I.PT08</t>
  </si>
  <si>
    <t>CLAMP SWITCH SELECTOR</t>
  </si>
  <si>
    <t>RL7-LFT-101-1:I.PT09</t>
  </si>
  <si>
    <t>RELEASE SWITCH SELECTOR</t>
  </si>
  <si>
    <t>RL7-LFT-101-1:I.PT10</t>
  </si>
  <si>
    <t>SERVICE BUTTON</t>
  </si>
  <si>
    <t>RL7-LFT-101-1:I.PT11</t>
  </si>
  <si>
    <t>SENSOR RIGHT</t>
  </si>
  <si>
    <t>RL7-LFT-101-1:I.PT12</t>
  </si>
  <si>
    <t>SENSOR BOTTOM</t>
  </si>
  <si>
    <t>RL7-LFT-101-1:I.PT13</t>
  </si>
  <si>
    <t>SENSOR TOP</t>
  </si>
  <si>
    <t>RL7-LFT-101-1:I.PT14</t>
  </si>
  <si>
    <t>SENSOR SAFE BOTTOM</t>
  </si>
  <si>
    <t>RL7-LFT-101-1:I.PT15</t>
  </si>
  <si>
    <t>SENSOR SAFE TOP</t>
  </si>
  <si>
    <t>RL7-LFT-101-2:I.PT00</t>
  </si>
  <si>
    <t>SENSOR MIDDLE</t>
  </si>
  <si>
    <t>RL7-LFT-101-2:I.PT01</t>
  </si>
  <si>
    <t>SENSOR LEFT</t>
  </si>
  <si>
    <t>RL7-LFT-101-2:I.PT02</t>
  </si>
  <si>
    <t>BEFORE TILT</t>
  </si>
  <si>
    <t>RL7-LFT-101-2:I.PT03</t>
  </si>
  <si>
    <t>NEXT MACHINE READY</t>
  </si>
  <si>
    <t>RL7-LFT-101-2:I.PT04</t>
  </si>
  <si>
    <t>GATE OPEN SENSORS</t>
  </si>
  <si>
    <t>RL7-LFT-101-2:I.PT05</t>
  </si>
  <si>
    <t>GATE CLOSED SENSORS</t>
  </si>
  <si>
    <t>RL7-LFT-101-2:I.PT06</t>
  </si>
  <si>
    <t>BOTTON OPEN</t>
  </si>
  <si>
    <t>RL7-LFT-101-2:I.PT07</t>
  </si>
  <si>
    <t>BUTTON CLOSED</t>
  </si>
  <si>
    <t>RL7-LFT-101-3:O.PT00</t>
  </si>
  <si>
    <t>MOTOR FORWARD</t>
  </si>
  <si>
    <t>24 VDC DO</t>
  </si>
  <si>
    <t>5069-OB16</t>
  </si>
  <si>
    <t>RL7-LFT-101-3:O.PT01</t>
  </si>
  <si>
    <t>MOTOR REVERSE</t>
  </si>
  <si>
    <t>RL7-LFT-101-3:O.PT02</t>
  </si>
  <si>
    <t>HYDRAULIC ON</t>
  </si>
  <si>
    <t>RL7-LFT-101-3:O.PT03</t>
  </si>
  <si>
    <t>VALVE GRIP CLAMP</t>
  </si>
  <si>
    <t>RL7-LFT-101-3:O.PT04</t>
  </si>
  <si>
    <t>VALVE GRIP RELEASE</t>
  </si>
  <si>
    <t>RL7-LFT-101-3:O.PT05</t>
  </si>
  <si>
    <t>VALVE TURN RIGHT</t>
  </si>
  <si>
    <t>RL7-LFT-101-3:O.PT06</t>
  </si>
  <si>
    <t>VALVE TURN LEFT</t>
  </si>
  <si>
    <t>RL7-LFT-101-3:O.PT07</t>
  </si>
  <si>
    <t>RESET LAMP</t>
  </si>
  <si>
    <t>RL7-LFT-101-3:O.PT08</t>
  </si>
  <si>
    <t>LIFT UP LAMP</t>
  </si>
  <si>
    <t>RL7-LFT-101-3:O.PT09</t>
  </si>
  <si>
    <t>LIFT DOWN LAMP</t>
  </si>
  <si>
    <t>RL7-LFT-101-3:O.PT10</t>
  </si>
  <si>
    <t>STOP LAMP</t>
  </si>
  <si>
    <t>RL7-LFT-101-3:O.PT11</t>
  </si>
  <si>
    <t>SERVICE LAMP</t>
  </si>
  <si>
    <t>RL7-LFT-101-3:O.PT12</t>
  </si>
  <si>
    <t>BYPASS VALVE</t>
  </si>
  <si>
    <t>RL7-LFT-101-3:O.PT13</t>
  </si>
  <si>
    <t>LINK IN</t>
  </si>
  <si>
    <t>RL7-LFT-101-3:O.PT14</t>
  </si>
  <si>
    <t>LINK OUT</t>
  </si>
  <si>
    <t>RL7-TNK-101-ZSC-04</t>
  </si>
  <si>
    <t>BREDDO MIXER SWING ELBOW IN PROCESS POSITION</t>
  </si>
  <si>
    <t>DG6806</t>
  </si>
  <si>
    <t>RL7-BRED-RIO1</t>
  </si>
  <si>
    <t>RL7-TNK-101-ZSC-05</t>
  </si>
  <si>
    <t>BREDDO MIXER SWING ELBOW IN SANITATION POSITION</t>
  </si>
  <si>
    <t>RL7-AGC-104-PBL-01</t>
  </si>
  <si>
    <t>PB906161</t>
  </si>
  <si>
    <t>JIC11B, OS11A</t>
  </si>
  <si>
    <t xml:space="preserve">FRESH AUGER CART 1 PUMP E-STOP PB PILOT LIGHT </t>
  </si>
  <si>
    <t>DG6807</t>
  </si>
  <si>
    <t>RL7-FAGC1-RIO1</t>
  </si>
  <si>
    <t>RL7-CNV-107-XV-08</t>
  </si>
  <si>
    <t>INCLINE PIVOT AUGER 3 SANITATION VALVE OPEN SOLENOID</t>
  </si>
  <si>
    <t>DG6809</t>
  </si>
  <si>
    <t>RL7-CKR2-RIO1</t>
  </si>
  <si>
    <t>RL7-CNV-107.M2</t>
  </si>
  <si>
    <t>INCLINE PIVOT AUGER 3 HYDRAULIC PUMP ENABLE</t>
  </si>
  <si>
    <t>MCC</t>
  </si>
  <si>
    <t>RL7-INTSL-RIO1</t>
  </si>
  <si>
    <t>RL7-AGC-201-ZSS-02</t>
  </si>
  <si>
    <t>PRS1106211</t>
  </si>
  <si>
    <t>DISCHARGE AUGER CART COVER CLOSED SAFETY INPUT CH1</t>
  </si>
  <si>
    <t>DG6817</t>
  </si>
  <si>
    <t>CHILL</t>
  </si>
  <si>
    <t>RL7-DAGC1-RIO1</t>
  </si>
  <si>
    <t>24 VDC SI</t>
  </si>
  <si>
    <t>5069-IB8S</t>
  </si>
  <si>
    <t>DISCHARGE AUGER CART COVER CLOSED SAFETY INPUT CH2</t>
  </si>
  <si>
    <t>RL7-AGC-201-PSL-01</t>
  </si>
  <si>
    <t>PRG1107191</t>
  </si>
  <si>
    <t>JIC13B</t>
  </si>
  <si>
    <t>DISCHARGE AUGER CART PRESSURE REGULATOR LOW PRESSURE SWITCH</t>
  </si>
  <si>
    <t>RL7-CNV-201-YI-01</t>
  </si>
  <si>
    <t xml:space="preserve">CHUB MACHINE RUNNING  </t>
  </si>
  <si>
    <t>DG6818</t>
  </si>
  <si>
    <t>RL7-SERP-RIO1</t>
  </si>
  <si>
    <t>RL7-CHM-201-YS-01</t>
  </si>
  <si>
    <t>ROLL MACHINE OK TO RUN PERMISSIVE</t>
  </si>
  <si>
    <t>RL7-CHR-201-AH-01</t>
  </si>
  <si>
    <t xml:space="preserve">SERPENTINE ALARM HORN   </t>
  </si>
  <si>
    <t>DG6820</t>
  </si>
  <si>
    <t>RL7-GRR-103-ZSS-01</t>
  </si>
  <si>
    <t>BGZ01</t>
  </si>
  <si>
    <t>P002-JB01</t>
  </si>
  <si>
    <t>FROZEN BLOCK CRUSHER LEFT ACCESS DOOR 1 SAFETY INPUT CH1</t>
  </si>
  <si>
    <t>DG7000</t>
  </si>
  <si>
    <t>RL7-PBK-RIO1</t>
  </si>
  <si>
    <t>FROZEN BLOCK CRUSHER LEFT ACCESS DOOR 1 SAFETY INPUT CH2</t>
  </si>
  <si>
    <t>RL7-GRR-103-ZSS-02</t>
  </si>
  <si>
    <t>BGZ02</t>
  </si>
  <si>
    <t>FROZEN BLOCK CRUSHER LEFT ACCESS DOOR 2 SAFETY INPUT CH1</t>
  </si>
  <si>
    <t>FROZEN BLOCK CRUSHER LEFT ACCESS DOOR 2 SAFETY INPUT CH2</t>
  </si>
  <si>
    <t>RL7-GRR-103-ZSS-03</t>
  </si>
  <si>
    <t>BGZ03</t>
  </si>
  <si>
    <t>FROZEN BLOCK CRUSHER RIGHT ACCESS DOOR 1 SAFETY INPUT CH1</t>
  </si>
  <si>
    <t>FROZEN BLOCK CRUSHER RIGHT ACCESS DOOR 1 SAFETY INPUT CH2</t>
  </si>
  <si>
    <t>RL7-GRR-103-ZSS-04</t>
  </si>
  <si>
    <t>BGZ04</t>
  </si>
  <si>
    <t>FROZEN BLOCK CRUSHER RIGHT ACCESS DOOR 2 SAFETY INPUT CH1</t>
  </si>
  <si>
    <t>FROZEN BLOCK CRUSHER RIGHT ACCESS DOOR 2 SAFETY INPUT CH2</t>
  </si>
  <si>
    <t>RL7-CNV-109-ZSS-01</t>
  </si>
  <si>
    <t>P003-JB01</t>
  </si>
  <si>
    <t>FROZEN BLOCK CRUSHER INCLINE AUGER LID 1 COVER SAFETY INPUT CH1</t>
  </si>
  <si>
    <t>FROZEN BLOCK CRUSHER INCLINE AUGER LID 1 COVER SAFETY INPUT CH2</t>
  </si>
  <si>
    <t>RL7-CNV-109-ZSS-02</t>
  </si>
  <si>
    <t>FROZEN BLOCK CRUSHER INCLINE AUGER LID 2 COVER SAFETY INPUT CH1</t>
  </si>
  <si>
    <t>FROZEN BLOCK CRUSHER INCLINE AUGER LID 2 COVER SAFETY INPUT CH2</t>
  </si>
  <si>
    <t>RL7-CNV-109-ZSS-03</t>
  </si>
  <si>
    <t>FROZEN BLOCK CRUSHER INCLINE AUGER LID 3 COVER SAFETY INPUT CH1</t>
  </si>
  <si>
    <t>FROZEN BLOCK CRUSHER INCLINE AUGER LID 3 COVER SAFETY INPUT CH2</t>
  </si>
  <si>
    <t>RL7-CNV-109-ZSS-04</t>
  </si>
  <si>
    <t>FROZEN BLOCK CRUSHER INCLINE AUGER LID 4 COVER SAFETY INPUT CH1</t>
  </si>
  <si>
    <t>FROZEN BLOCK CRUSHER INCLINE AUGER LID 4 COVER SAFETY INPUT CH2</t>
  </si>
  <si>
    <t>RL7-CNV-109-ZSS-05</t>
  </si>
  <si>
    <t>BGZ05</t>
  </si>
  <si>
    <t>FROZEN BLOCK CRUSHER INCLINE AUGER LID 5 COVER SAFETY INPUT CH1</t>
  </si>
  <si>
    <t>FROZEN BLOCK CRUSHER INCLINE AUGER LID 5 COVER SAFETY INPUT CH2</t>
  </si>
  <si>
    <t>RL7-CNV-109-ZSS-06</t>
  </si>
  <si>
    <t>BGZ06</t>
  </si>
  <si>
    <t>FROZEN BLOCK CRUSHER INCLINE AUGER BOMB DOOR 1 SAFETY INPUT CH1</t>
  </si>
  <si>
    <t>FROZEN BLOCK CRUSHER INCLINE AUGER BOMB DOOR 1 SAFETY INPUT CH2</t>
  </si>
  <si>
    <t>RL7-CNV-109-ZSS-07</t>
  </si>
  <si>
    <t>BGZ07</t>
  </si>
  <si>
    <t>FROZEN BLOCK CRUSHER INCLINE AUGER BOMB DOOR 2 SAFETY INPUT CH1</t>
  </si>
  <si>
    <t>FROZEN BLOCK CRUSHER INCLINE AUGER BOMB DOOR 2 SAFETY INPUT CH2</t>
  </si>
  <si>
    <t>RL7-CNV-109-ZSS-08</t>
  </si>
  <si>
    <t>BGZ08</t>
  </si>
  <si>
    <t>FROZEN BLOCK CRUSHER INCLINE AUGER INSPECTION DOOR SAFETY INPUT CH1</t>
  </si>
  <si>
    <t>FROZEN BLOCK CRUSHER INCLINE AUGER INSPECTION DOOR SAFETY INPUT CH2</t>
  </si>
  <si>
    <t>RL7-CNV-109-ZSS-09</t>
  </si>
  <si>
    <t>RL7-CNV-109-PB-01</t>
  </si>
  <si>
    <t>FROZEN BLOCK CRUSHER INCLINE AUGER E-STOP PB SAFETY INPUT CH1</t>
  </si>
  <si>
    <t>FROZEN BLOCK CRUSHER INCLINE AUGER E-STOP PB SAFETY INPUT CH2</t>
  </si>
  <si>
    <t>RL7-GRR-103-PB-01</t>
  </si>
  <si>
    <t>FROZEN BLOCK CRUSHER E-STOP PB SAFETY INPUT CH1</t>
  </si>
  <si>
    <t>FROZEN BLOCK CRUSHER E-STOP PB SAFETY INPUT CH2</t>
  </si>
  <si>
    <t>RL7-WBU-101-YI-01</t>
  </si>
  <si>
    <t>RL7-GRR-103-PSL-01</t>
  </si>
  <si>
    <t>BPD01</t>
  </si>
  <si>
    <t>P002-JB04</t>
  </si>
  <si>
    <t>FROZEN BLOCK CRUSHER RINSE SYSTEM COMPRESSED AIR PRESSURE SWITCH LOW</t>
  </si>
  <si>
    <t>RL7-GRR-103-XV-00</t>
  </si>
  <si>
    <t>MB00</t>
  </si>
  <si>
    <t>FROZEN BLOCK CRUSHER RINSE SYSTEM ZONES 1 AND 2 VALVE ROTATION</t>
  </si>
  <si>
    <t>RL7-GRR-103-XV-01</t>
  </si>
  <si>
    <t>MB01</t>
  </si>
  <si>
    <t>FROZEN BLOCK CRUSHER RINSE SYSTEM ZONE 1 VALVE</t>
  </si>
  <si>
    <t>RL7-GRR-103-XV-02</t>
  </si>
  <si>
    <t>MB02</t>
  </si>
  <si>
    <t>FROZEN BLOCK CRUSHER RINSE SYSTEM ZONE 2 VALVE</t>
  </si>
  <si>
    <t>RL7-GRR-103-XV-03</t>
  </si>
  <si>
    <t>MB03</t>
  </si>
  <si>
    <t>FROZEN BLOCK CRUSHER RINSE SYSTEM ZONE 3 VALVE</t>
  </si>
  <si>
    <t>RL7-GRR-103-XV-04</t>
  </si>
  <si>
    <t>MB04</t>
  </si>
  <si>
    <t>FROZEN BLOCK CRUSHER RINSE SYSTEM ZONE 4 VALVE</t>
  </si>
  <si>
    <t>RL7-GRR-103-XV-05</t>
  </si>
  <si>
    <t>MB05</t>
  </si>
  <si>
    <t>FROZEN BLOCK CRUSHER RINSE SYSTEM ZONE 5 VALVE</t>
  </si>
  <si>
    <t>RL7-GRR-103-XV-06</t>
  </si>
  <si>
    <t>MB06</t>
  </si>
  <si>
    <t>FROZEN BLOCK CRUSHER RINSE SYSTEM ZONE 6 VALVE</t>
  </si>
  <si>
    <t>RL7-GRR-103-PBL-01</t>
  </si>
  <si>
    <t>FROZEN BLOCK CRUSHER E-STOP PUSHBUTTON PILOT LIGHT</t>
  </si>
  <si>
    <t>RL7-CNV-109-PBL-01</t>
  </si>
  <si>
    <t>FROZEN BLOCK CRUSHER INCLINE AUGER E-STOP PILOT LIGHT</t>
  </si>
  <si>
    <t>RL7-CNV-109-XV-01</t>
  </si>
  <si>
    <t>MB07</t>
  </si>
  <si>
    <t>FROZEN BLOCK CRUSHER INCLINE AUGER DRAIN VALVE</t>
  </si>
  <si>
    <t>RL7-GRR-101-ZSS-04</t>
  </si>
  <si>
    <t>PRS2206021</t>
  </si>
  <si>
    <t>JIC22B</t>
  </si>
  <si>
    <t xml:space="preserve">GRINDER ACCESS DOOR SAFETY INPUT CH1 </t>
  </si>
  <si>
    <t>RL7-IPA2-RIO1</t>
  </si>
  <si>
    <t xml:space="preserve">GRINDER ACCESS DOOR SAFETY INPUT CH2 </t>
  </si>
  <si>
    <t>RL7-GRR-101-ZSS-01</t>
  </si>
  <si>
    <t>PRS2206061</t>
  </si>
  <si>
    <t xml:space="preserve">GRINDER HOPPER SAFETY INPUT CH1  </t>
  </si>
  <si>
    <t xml:space="preserve">GRINDER HOPPER SAFETY INPUT CH2  </t>
  </si>
  <si>
    <t>RL7-GRR-101-ZSS-02</t>
  </si>
  <si>
    <t>PRS2206101</t>
  </si>
  <si>
    <t>GRINDER PLATE GUARD SAFETY INPUT CH1</t>
  </si>
  <si>
    <t>GRINDER PLATE GUARD SAFETY INPUT CH2</t>
  </si>
  <si>
    <t>RL7-GRR-101-ZSS-03</t>
  </si>
  <si>
    <t>PRS2206161</t>
  </si>
  <si>
    <t>GRINDER DISCHARGE BELT CONVEYOR IN PLACE SAFETY INPUT CH1</t>
  </si>
  <si>
    <t>RL7-GRR-101-PB-01</t>
  </si>
  <si>
    <t>GRINDER PLATFORM E-STOP PUSHBUTTON SAFETY INPUT CH1</t>
  </si>
  <si>
    <t>GRINDER PLATFORM E-STOP PUSHBUTTON SAFETY INPUT CH2</t>
  </si>
  <si>
    <t>RL7-CNV-111-ZSO-01</t>
  </si>
  <si>
    <t>PRS1505111</t>
  </si>
  <si>
    <t>SURGE BIN 1 DIVERTER GATE EXTENDED</t>
  </si>
  <si>
    <t>DG7001</t>
  </si>
  <si>
    <t>RL7-BINS-RIO1</t>
  </si>
  <si>
    <t>RL7-CNV-111-ZSC-01</t>
  </si>
  <si>
    <t>PRS1505131</t>
  </si>
  <si>
    <t>SURGE BIN 1 DIVERTER GATE RETRACTED</t>
  </si>
  <si>
    <t>RL7-CNV-111-ZSO-02</t>
  </si>
  <si>
    <t>PRS1505151</t>
  </si>
  <si>
    <t>SURGE BIN 2 DIVERTER GATE EXTENDED</t>
  </si>
  <si>
    <t>RL7-CNV-111-ZSC-02</t>
  </si>
  <si>
    <t>PRS1505171</t>
  </si>
  <si>
    <t>SURGE BIN 2 DIVERTER GATE RETRACTED</t>
  </si>
  <si>
    <t>RL7-CNV-111-ZSO-03</t>
  </si>
  <si>
    <t>PRS1505191</t>
  </si>
  <si>
    <t>SURGE BIN 3 DIVERTER GATE EXTENDED</t>
  </si>
  <si>
    <t>RL7-CNV-111-ZSC-03</t>
  </si>
  <si>
    <t>PRS1505211</t>
  </si>
  <si>
    <t>SURGE BIN 3 DIVERTER GATE RETRACTED</t>
  </si>
  <si>
    <t>RL7-CNV-111-ZSO-04</t>
  </si>
  <si>
    <t>SURGE BIN 4 DIVERTER GATE EXTENDED</t>
  </si>
  <si>
    <t>RL7-CNV-111-ZSC-04</t>
  </si>
  <si>
    <t>SURGE BIN 4 DIVERTER GATE RETRACTED</t>
  </si>
  <si>
    <t>RL7-CNV-111-PSL-01</t>
  </si>
  <si>
    <t>PRG1505011</t>
  </si>
  <si>
    <t>SURGE BIN DIVERTERS LOW PNEUMATIC PRESSURE</t>
  </si>
  <si>
    <t>RL7-CNV-110-PSL-01</t>
  </si>
  <si>
    <t>PRG1405011</t>
  </si>
  <si>
    <t>METAL DETECTOR CONVEYOR PULL NOSE PNUEMATIC PRESSURE SWITCH</t>
  </si>
  <si>
    <t>RL7-CNV-111-XY-01A</t>
  </si>
  <si>
    <t>SOL1505031</t>
  </si>
  <si>
    <t>DIVERTER GATE 1  SOLENOID EXTEND</t>
  </si>
  <si>
    <t>5069-ARM</t>
  </si>
  <si>
    <t>RL7-CNV-111-XY-01B</t>
  </si>
  <si>
    <t>DIVERTER GATE 1  SOLENOID RETRACT</t>
  </si>
  <si>
    <t>RL7-CNV-111-XY-02A</t>
  </si>
  <si>
    <t>SOL1505061</t>
  </si>
  <si>
    <t>DIVERTER GATE 2 SOLENOID EXTEND</t>
  </si>
  <si>
    <t>RL7-CNV-111-XY-02B</t>
  </si>
  <si>
    <t>DIVERTER GATE 2 SOLENOID RETRACT</t>
  </si>
  <si>
    <t>RL7-CNV-111-XY-03A</t>
  </si>
  <si>
    <t>SOL1505081</t>
  </si>
  <si>
    <t>DIVERTER GATE 3 SOLENOID EXTEND</t>
  </si>
  <si>
    <t>RL7-CNV-111-XY-03B</t>
  </si>
  <si>
    <t>DIVERTER GATE 3 SOLENOID RETRACT</t>
  </si>
  <si>
    <t>RL7-CNV-111-XY-04A</t>
  </si>
  <si>
    <t>SOL1505101</t>
  </si>
  <si>
    <t>DIVERTER GATE 4 SOLENOID EXTEND</t>
  </si>
  <si>
    <t>RL7-CNV-111-XY-04B</t>
  </si>
  <si>
    <t>DIVERTER GATE 4 SOLENOID RETRACT</t>
  </si>
  <si>
    <t>RL7-CNV-110-XY-01A</t>
  </si>
  <si>
    <t>SOL1405031</t>
  </si>
  <si>
    <t>METAL DETECTOR CONVEYOR PULL NOSE EXTEND</t>
  </si>
  <si>
    <t>RL7-CNV-110-XY-01B</t>
  </si>
  <si>
    <t>METAL DETECTOR CONVEYOR PULL NOSE RETRACT</t>
  </si>
  <si>
    <t>RL7-CNV-111-XV-05</t>
  </si>
  <si>
    <t>SURGE BIN SUPPLY CONVEYOR SANITATION VALVE OPEN SOLENOID</t>
  </si>
  <si>
    <t>RL7-CNV-110-XY-02</t>
  </si>
  <si>
    <t>METAL DETECTOR CONVEYOR SANITATION VALVE OPEN SOLNOID</t>
  </si>
  <si>
    <t>RL7-BIN-101-ZSS-01</t>
  </si>
  <si>
    <t>PRS1605021</t>
  </si>
  <si>
    <t xml:space="preserve">SURGE BIN 1 DISCHARGE TROUGH COVER SAFETY INPUT CH1 </t>
  </si>
  <si>
    <t>DG7002</t>
  </si>
  <si>
    <t>RL7-BINA-RIO1</t>
  </si>
  <si>
    <t xml:space="preserve">SURGE BIN 1 DISCHARGE TROUGH COVER SAFETY INPUT CH2 </t>
  </si>
  <si>
    <t>RL7-BIN-101-ZSS-02</t>
  </si>
  <si>
    <t>PRS1605061</t>
  </si>
  <si>
    <t xml:space="preserve">SURGE BIN 1 DISCHARGE SANITATION DOOR SAFETY INPUT CH1 </t>
  </si>
  <si>
    <t xml:space="preserve">SURGE BIN 1 DISCHARGE SANITATION DOOR SAFETY INPUT CH2 </t>
  </si>
  <si>
    <t>RL7-BIN-102-ZSS-01</t>
  </si>
  <si>
    <t>PRS1705021</t>
  </si>
  <si>
    <t xml:space="preserve">SURGE BIN 2 DISCHARGE TROUGH COVER SAFETY INPUT CH1 </t>
  </si>
  <si>
    <t xml:space="preserve">SURGE BIN 2 DISCHARGE TROUGH COVER SAFETY INPUT CH2 </t>
  </si>
  <si>
    <t>RL7-BIN-102-ZSS-02</t>
  </si>
  <si>
    <t>PRS1705061</t>
  </si>
  <si>
    <t xml:space="preserve">SURGE BIN 2 DISCHARGE SANITATION DOOR SAFETY INPUT CH1 </t>
  </si>
  <si>
    <t>SURGE BIN 2 DISCHARGE SANITATION DOOR SAFETY INPUT CH2</t>
  </si>
  <si>
    <t>RL7-BIN-101-ZSS-03</t>
  </si>
  <si>
    <t>PRS1605161</t>
  </si>
  <si>
    <t>SURGE BIN 1 SANITATION ACCESS GATE SAFETY INPUT CH1</t>
  </si>
  <si>
    <t>SURGE BIN 1 SANITATION ACCESS GATE SAFETY INPUT CH2</t>
  </si>
  <si>
    <t>RL7-BIN-101-PB-01</t>
  </si>
  <si>
    <t>RL7-BIN-102-ZSS-03</t>
  </si>
  <si>
    <t>PRS1605201</t>
  </si>
  <si>
    <t>SURGE BIN 2 SANITATION ACCESS GATE SAFETY INPUT CH1</t>
  </si>
  <si>
    <t>SURGE BIN 2 SANITATION ACCESS GATE SAFETY INPUT CH2</t>
  </si>
  <si>
    <t>SURGE BINS NORTH E-STOP PUSHBUTTON SAFETY INPUT CH1</t>
  </si>
  <si>
    <t>SURGE BINS NORTH E-STOP PUSHBUTTON SAFETY INPUT CH2</t>
  </si>
  <si>
    <t>RL7-BIN-101-PBL-01</t>
  </si>
  <si>
    <t>SURGE BINS NORTH E-STOP PUSHBUTTON PILOT LIGHT</t>
  </si>
  <si>
    <t>RL7-CNV-110-ZSO-01</t>
  </si>
  <si>
    <t>RL7-BIN-101-XY-01</t>
  </si>
  <si>
    <t>SURGE BIN 1 SANITATION VALVE OPEN SOLENOID</t>
  </si>
  <si>
    <t>RL7-CNV-110-ZSC-01</t>
  </si>
  <si>
    <t>RL7-BIN-102-XY-01</t>
  </si>
  <si>
    <t>SURGE BIN 2 SANITATION VALVE OPEN SOLENOID</t>
  </si>
  <si>
    <t>RL7-BIN-102-AH-02</t>
  </si>
  <si>
    <t>SURGE BIN 2 ALARM HORN</t>
  </si>
  <si>
    <t>RL7-CNV-110-ZSO-02</t>
  </si>
  <si>
    <t>RL7-BIN-102-PL-01R</t>
  </si>
  <si>
    <t>SURGE BIN 2 RED PILOT LIGHT</t>
  </si>
  <si>
    <t>RL7-CNV-110-ZSC-02</t>
  </si>
  <si>
    <t>RL7-BIN-102-PL-01Y</t>
  </si>
  <si>
    <t>SURGE BIN 2 YELLOW PILOT LIGHT</t>
  </si>
  <si>
    <t>RL7-CNV-111-ZSO-05</t>
  </si>
  <si>
    <t>RL7-BIN-102-PL-01G</t>
  </si>
  <si>
    <t>SURGE BIN 2 GREEN PILOT LIGHT</t>
  </si>
  <si>
    <t>RL7-BIN-103-ZSS-01</t>
  </si>
  <si>
    <t>PRS1805021</t>
  </si>
  <si>
    <t>JIC19B</t>
  </si>
  <si>
    <t xml:space="preserve">SURGE BIN 3 DISCHARGE TROUGH COVER SAFETY INPUT CH1 </t>
  </si>
  <si>
    <t>RL7-BINB-RIO1</t>
  </si>
  <si>
    <t>SURGE BIN 3 DISCHARGE TROUGH COVER SAFETY INPUT CH2</t>
  </si>
  <si>
    <t>RL7-BIN-103-ZSS-02</t>
  </si>
  <si>
    <t>PRS1805061</t>
  </si>
  <si>
    <t xml:space="preserve">SURGE BIN 3 DISCHARGE SANITATION DOOR SAFETY INPUT CH1 </t>
  </si>
  <si>
    <t>SURGE BIN 3 DISCHARGE SANITATION DOOR SAFETY INPUT CH2</t>
  </si>
  <si>
    <t>RL7-BIN-104-ZSS-01</t>
  </si>
  <si>
    <t>PRS1905021</t>
  </si>
  <si>
    <t xml:space="preserve">SURGE BIN 4 DISCHARGE TROUGH COVER SAFETY INPUT CH1 </t>
  </si>
  <si>
    <t>SURGE BIN 4 DISCHARGE TROUGH COVER SAFETY INPUT CH2</t>
  </si>
  <si>
    <t>RL7-BIN-104-ZSS-02</t>
  </si>
  <si>
    <t>PRS1905061</t>
  </si>
  <si>
    <t xml:space="preserve">SURGE BIN 4 DISCHARGE SANITATION DOOR SAFETY INPUT CH1 </t>
  </si>
  <si>
    <t>SURGE BIN 4 DISCHARGE SANITATION DOOR SAFETY INPUT CH2</t>
  </si>
  <si>
    <t>RL7-BIN-103-ZSS-03</t>
  </si>
  <si>
    <t>PRS1905161</t>
  </si>
  <si>
    <t xml:space="preserve">SURGE BIN 3 SANITATION ACCESS GATE SAFETY INPUT CH1 </t>
  </si>
  <si>
    <t>SURGE BIN 3 SANITATION ACCESS GATE SAFETY INPUT CH2</t>
  </si>
  <si>
    <t>RL7-BIN-104-PB-01</t>
  </si>
  <si>
    <t>RL7-BIN-104-ZSS-03</t>
  </si>
  <si>
    <t>PRS1905201</t>
  </si>
  <si>
    <t xml:space="preserve">SURGE BIN 4 SANITATION ACCESS GATE SAFETY INPUT CH1 </t>
  </si>
  <si>
    <t>SURGE BIN 4 SANITATION ACCESS GATE SAFETY INPUT CH2</t>
  </si>
  <si>
    <t>RL7-CNV-114-ZSS-05</t>
  </si>
  <si>
    <t>RL7-CNV-112-PB-01</t>
  </si>
  <si>
    <t>SURGE BIN TAKEAWAY CONVEYOR E-STOP PUSHBUTTON SAFETY INPUT CH1</t>
  </si>
  <si>
    <t>SURGE BIN TAKEAWAY CONVEYOR E-STOP PUSHBUTTON SAFETY INPUT CH2</t>
  </si>
  <si>
    <t>SURGE BIN SOUTH E-STOP PUSHBUTTON SAFETY INPUT CH1</t>
  </si>
  <si>
    <t>SURGE BIN SOUTH E-STOP PUSHBUTTON SAFETY INPUT CH2</t>
  </si>
  <si>
    <t>RL7-CNV-114-ZSC-06</t>
  </si>
  <si>
    <t>RL7-BIN-104-PBL-01</t>
  </si>
  <si>
    <t>SURGE BIN SOUTH E-STOP PUSHBUTTON PILOT LIGHT</t>
  </si>
  <si>
    <t>RL7-CNV-114-ZSC-05</t>
  </si>
  <si>
    <t>RL7-CNV-112-PBL-01</t>
  </si>
  <si>
    <t>SURGE BIN TAKEAWAY CONVEYOR E-STOP PUSHBUTTON PILOT LIGHT</t>
  </si>
  <si>
    <t>RL7-CNV-114-ZSC-01</t>
  </si>
  <si>
    <t>RL7-CNV-112-XY-01</t>
  </si>
  <si>
    <t>SURGE BIN TAKEAWAY CONVEYOR SANITATION VALVE OPEN SOLENOID</t>
  </si>
  <si>
    <t>RL7-CNV-114-ZSC-02</t>
  </si>
  <si>
    <t>RL7-BIN-103-XY-01</t>
  </si>
  <si>
    <t>SURGE BIN 3 SANITATION VALVE OPEN SOLENOID</t>
  </si>
  <si>
    <t>RL7-CNV-114-ZSC-04</t>
  </si>
  <si>
    <t>RL7-BIN-104-XY-01</t>
  </si>
  <si>
    <t>SURGE BIN 4 SANITATION VALVE OPEN SOLENOID</t>
  </si>
  <si>
    <t>RL7-CNV-114-ZSC-03</t>
  </si>
  <si>
    <t>RL7-BIN-104-AH-01</t>
  </si>
  <si>
    <t>SURGE BIN 4 ALARM HORN</t>
  </si>
  <si>
    <t>RL7-BIN-103-ZSO-01</t>
  </si>
  <si>
    <t>RL7-BIN-104-PL-01R</t>
  </si>
  <si>
    <t>SURGE BIN 4 RED PILOT LIGHT</t>
  </si>
  <si>
    <t>RL7-BIN-103-ZSC-01</t>
  </si>
  <si>
    <t>RL7-BIN-104-PL-01Y</t>
  </si>
  <si>
    <t>SURGE BIN 4 YELLOW PILOT LIGHT</t>
  </si>
  <si>
    <t>RL7-BIN-104-PL-01G</t>
  </si>
  <si>
    <t>SURGE BIN 4 GREEN PILOT LIGHT</t>
  </si>
  <si>
    <t>RL7-CNV-114-ZSS-04</t>
  </si>
  <si>
    <t>PRS2106021</t>
  </si>
  <si>
    <t>JIC21B</t>
  </si>
  <si>
    <t>INCLINE PIVOT AUGER 1 TROUGH COVER 1 SAFETY INPUT CH1</t>
  </si>
  <si>
    <t>DG7003</t>
  </si>
  <si>
    <t>RL7-IPA1-RIO1</t>
  </si>
  <si>
    <t>INCLINE PIVOT AUGER 1 TROUGH COVER 1 SAFETY INPUT CH2</t>
  </si>
  <si>
    <t>RL7-CNV-114-ZSS-01</t>
  </si>
  <si>
    <t>PRS2106101</t>
  </si>
  <si>
    <t>INCLINE PIVOT AUGER 1 MAIN GUARD 1 SAFETY INPUT CH1</t>
  </si>
  <si>
    <t>INCLINE PIVOT AUGER 1 MAIN GUARD 1 SAFETY INPUT CH2</t>
  </si>
  <si>
    <t>RL7-CNV-114-ZSS-02</t>
  </si>
  <si>
    <t>PRS2106161</t>
  </si>
  <si>
    <t>INCLINE PIVOT AUGER 1 MAIN GUARD 2 SAFETY INPUT CH1</t>
  </si>
  <si>
    <t>INCLINE PIVOT AUGER 1 MAIN GUARD 2 SAFETY INPUT CH2</t>
  </si>
  <si>
    <t>RL7-CNV-114-ZSS-03</t>
  </si>
  <si>
    <t>PRS2106201</t>
  </si>
  <si>
    <t>INCLINE PIVOT AUGER 1 HOPPER SANITATION GUARD SAFETY INPUT CH1</t>
  </si>
  <si>
    <t>INCLINE PIVOT AUGER 1 HOPPER SANITATION GUARD SAFETY INPUT CH2</t>
  </si>
  <si>
    <t>PRS2106061</t>
  </si>
  <si>
    <t>INCLINE PIVOT AUGER 1 TROUGH COVER 2 SAFETY INPUT CH1</t>
  </si>
  <si>
    <t>INCLINE PIVOT AUGER 1 TROUGH COVER 2 SAFETY INPUT CH2</t>
  </si>
  <si>
    <t>RL7-CNV-113-ZSS-01</t>
  </si>
  <si>
    <t>PRS2106241</t>
  </si>
  <si>
    <t xml:space="preserve">INCLINE BELT CONVEYOR CHUTE IN PLACE SAFETY INPUT CH1 </t>
  </si>
  <si>
    <t>INCLINE BELT CONVEYOR CHUTE IN PLACE SAFETY INPUT CH2</t>
  </si>
  <si>
    <t>PRS2107231</t>
  </si>
  <si>
    <t xml:space="preserve">INCLINE PIVOT AUGER 1 PUMP COVER IS ON  </t>
  </si>
  <si>
    <t>PRS2107251</t>
  </si>
  <si>
    <t xml:space="preserve">INCLINE PIVOT AUGER 1 IN DOWN POSITION  </t>
  </si>
  <si>
    <t>PRS2107211</t>
  </si>
  <si>
    <t xml:space="preserve">INCLINE PIVOT AUGER 1 IN UP POSITION  </t>
  </si>
  <si>
    <t>PRS2107151</t>
  </si>
  <si>
    <t xml:space="preserve">INCLINE PIVOT AUGER 1 IN GRINDER RUN POSITION </t>
  </si>
  <si>
    <t>PRS2107171</t>
  </si>
  <si>
    <t xml:space="preserve">INCLINE PIVOT AUGER 1 IN GRINDER BYPASS POSITION </t>
  </si>
  <si>
    <t>PRS2107191</t>
  </si>
  <si>
    <t xml:space="preserve">INCLINE PIVOT AUGER 1 IN SANITATION POSITION </t>
  </si>
  <si>
    <t>RL7-CNV-114-XY-101</t>
  </si>
  <si>
    <t>SOL2107121</t>
  </si>
  <si>
    <t>PIVOT INCLINE SCREW CONVEYOR 1 RAISE CONVEYOR SOLENOID</t>
  </si>
  <si>
    <t>RL7-CNV-114-XY-102</t>
  </si>
  <si>
    <t>SOL2107141</t>
  </si>
  <si>
    <t>PIVOT INCLINE SCREW CONVEYOR 1 LOWER CONVEYOR SOLENOID</t>
  </si>
  <si>
    <t>RL7-CNV-113-XY-01</t>
  </si>
  <si>
    <t>INCLINE BELT CONVEYOR 1 SANITATION VALVE OPEN SOLENOID</t>
  </si>
  <si>
    <t>RL7-CNV-114-XY-08</t>
  </si>
  <si>
    <t>INCLINE PIVOT AUGER 1 SANITATION VALVE OPEN SOLENOID</t>
  </si>
  <si>
    <t>RL7-CNV-114.M2</t>
  </si>
  <si>
    <t>INCLINE PIVOT AUGER 1 HYDRAULIC PUMP ENABLE</t>
  </si>
  <si>
    <t>RL7-CNV-115-ZSS-01</t>
  </si>
  <si>
    <t>PRS2305021</t>
  </si>
  <si>
    <t>JIC22B, JIC23B</t>
  </si>
  <si>
    <t>INCLINE BELT CONVEYOR 2 CHUTE IN PLACE SAFETY INPUT CH1</t>
  </si>
  <si>
    <t>DG7004</t>
  </si>
  <si>
    <t>RL7-CNV-115-PB-01</t>
  </si>
  <si>
    <t>INCLINE BELT CONVEYOR (TO PIVOT AUGER 2) E-STOP PUSHBUTTON SAFETY INPUT CH1</t>
  </si>
  <si>
    <t>INCLINE BELT CONVEYOR (TO PIVOT AUGER 2) E-STOP PUSHBUTTON SAFETY INPUT CH2</t>
  </si>
  <si>
    <t>RL7-CNV-106-ZSS-04</t>
  </si>
  <si>
    <t>PRS2406021</t>
  </si>
  <si>
    <t>JIC1B</t>
  </si>
  <si>
    <t>INCLINE PIVOT AUGER 2 TROUGH COVER 1 SAFETY INPUT CH1</t>
  </si>
  <si>
    <t>INCLINE PIVOT AUGER 2 TROUGH COVER 1 SAFETY INPUT CH2</t>
  </si>
  <si>
    <t>RL7-CNV-106-ZSS-01</t>
  </si>
  <si>
    <t>PRS2406101</t>
  </si>
  <si>
    <t>INCLINE PIVOT AUGER 2 MAIN GUARD 1 SAFETY INPUT CH1</t>
  </si>
  <si>
    <t>INCLINE PIVOT AUGER 2 MAIN GUARD 1 SAFETY INPUT CH2</t>
  </si>
  <si>
    <t>RL7-CNV-106-ZSS-02</t>
  </si>
  <si>
    <t>PRS2406161</t>
  </si>
  <si>
    <t>INCLINE PIVOT AUGER 2 MAIN GUARD 2 SAFETY INPUT CH1</t>
  </si>
  <si>
    <t>INCLINE PIVOT AUGER 2 MAIN GUARD 2 SAFETY INPUT CH2</t>
  </si>
  <si>
    <t>RL7-CNV-106-ZSS-03</t>
  </si>
  <si>
    <t>PRS2406201</t>
  </si>
  <si>
    <t>INCLINE PIVOT AUGER 2 HOPPER SANITATION GUARD SAFETY CH1</t>
  </si>
  <si>
    <t>INCLINE PIVOT AUGER 2 HOPPER SANITATION GUARD SAFETY CH2</t>
  </si>
  <si>
    <t>RL7-CNV-106-ZSC-06</t>
  </si>
  <si>
    <t>INCLINE PIVOT AUGER 2 PUMP COVER ON</t>
  </si>
  <si>
    <t>RL7-CNV-106-ZSC-03</t>
  </si>
  <si>
    <t>PRS247231</t>
  </si>
  <si>
    <t>INCLINE PIVOT AUGER 2 IN SANITATION POSITION</t>
  </si>
  <si>
    <t>RL7-CNV-106-ZSC-05</t>
  </si>
  <si>
    <t>PRS247251</t>
  </si>
  <si>
    <t>INCLINE PIVOT AUGER 2 IN DOWN POSITION</t>
  </si>
  <si>
    <t>RL7-CNV-106-ZSC-04</t>
  </si>
  <si>
    <t>PRS2407211</t>
  </si>
  <si>
    <t>INCLINE PIVOT AUGER 2 AT PRE-MIXER POSITION</t>
  </si>
  <si>
    <t>RL7-CNV-106-ZSC-01</t>
  </si>
  <si>
    <t>PRS2407191</t>
  </si>
  <si>
    <t>INCLINE PIVOT AUGER 2 IN UP POSITION</t>
  </si>
  <si>
    <t>RL7-CNV-106-ZSC-02</t>
  </si>
  <si>
    <t>PRS2407151</t>
  </si>
  <si>
    <t>INCLINE PIVOT AUGER 2 AT GRINDER POSITION</t>
  </si>
  <si>
    <t>NOT IN PH2 DWGS?</t>
  </si>
  <si>
    <t>RL7-GRR-101-LSL-01</t>
  </si>
  <si>
    <t>GRINDER LEVEL SWITCH LOW</t>
  </si>
  <si>
    <t>RL7-GRR-101-LSH-01</t>
  </si>
  <si>
    <t>GRINDER LEVEL SWITCH HIGH</t>
  </si>
  <si>
    <t>RL7-CNV-106-XY-101</t>
  </si>
  <si>
    <t>SOL2407121</t>
  </si>
  <si>
    <t xml:space="preserve">INCLINE PIVOT AUGER 2 RAISE SOLENOID </t>
  </si>
  <si>
    <t>RL7-CNV-106-XY-102</t>
  </si>
  <si>
    <t>SOL2407141</t>
  </si>
  <si>
    <t xml:space="preserve">INCLINE PIVOT AUGER 2 LOWER SOLENOID </t>
  </si>
  <si>
    <t>RL7-CNV-106-XY-08</t>
  </si>
  <si>
    <t>INCLINE PIVOT AUGER 2 SANITATION VALVE OPEN SOLENOID</t>
  </si>
  <si>
    <t>RL7-GRR-101.M1</t>
  </si>
  <si>
    <t>GRINDER MOTOR ENABLE</t>
  </si>
  <si>
    <t>RL7-CNV-106.M2</t>
  </si>
  <si>
    <t>INCLINE PIVOT AUGER 2 HYDRAULIC PUMP ENABLE</t>
  </si>
  <si>
    <t>RL7-TNK-101-PB-01</t>
  </si>
  <si>
    <t>BREDDO MIXER E-STOP PB SAFETY INPUT CH1</t>
  </si>
  <si>
    <t>DG7010</t>
  </si>
  <si>
    <t>BREDDO MIXER E-STOP PB SAFETY INPUT CH2</t>
  </si>
  <si>
    <t>RL7-DRM-101-PB-01</t>
  </si>
  <si>
    <t>ESTOP111</t>
  </si>
  <si>
    <t>BREDDO DUMPER E-STOP PB SAFETY INPUT CH1</t>
  </si>
  <si>
    <t>BREDDO DUMPER E-STOP PB SAFETY INPUT CH2</t>
  </si>
  <si>
    <t>RL7-DRM-101-ZSS-01</t>
  </si>
  <si>
    <t>DV121B</t>
  </si>
  <si>
    <t>BREDDO DUMPER LIGHT CURTAIN SAFETY INPUT CH1</t>
  </si>
  <si>
    <t>BREDDO DUMPER LIGHT CURTAIN SAFETY INPUT CH2</t>
  </si>
  <si>
    <t>RL7-TNK-101-ZSO-01</t>
  </si>
  <si>
    <t>BREDDO MIXER PCW SUPPLY VALVE OPEN LIMIT SWITCH</t>
  </si>
  <si>
    <t>RL7-TNK-101-ZSC-01</t>
  </si>
  <si>
    <t>BREDDO MIXER PCW SUPPLY VALVE CLOSED LIMIT SWITCH</t>
  </si>
  <si>
    <t>RL7-TNK-101-ZSO-02</t>
  </si>
  <si>
    <t>BREDDO MIXER CIP / PCW MIX PROOF VALVE PCW LIMIT SWITCH</t>
  </si>
  <si>
    <t>RL7-TNK-101-ZSC-02</t>
  </si>
  <si>
    <t>BREDDO MIXER CIP / PCW MIX PROOF VALVE CIP LIMIT SWITCH</t>
  </si>
  <si>
    <t>RL7-TNK-101-ZSO-03</t>
  </si>
  <si>
    <t xml:space="preserve">BREDDO MIXER DISCHARGE VALVE OPEN LIMIT SWITCH   </t>
  </si>
  <si>
    <t>RL7-TNK-101-ZSC-03</t>
  </si>
  <si>
    <t xml:space="preserve">BREDDO MIXER DISCHARGE VALVE CLOSED LIMIT SWITCH   </t>
  </si>
  <si>
    <t>RL7-SKD-101-ZSO-01</t>
  </si>
  <si>
    <t>BREDDO FILTER GUM SUPPLY VALVE OPEN LIMIT SWITCH</t>
  </si>
  <si>
    <t>RL7-SKD-101-ZSC-01</t>
  </si>
  <si>
    <t>BREDDO FILTER GUM SUPPLY VALVE CLOSED LIMIT SWITCH</t>
  </si>
  <si>
    <t>RL7-DRM-101-PB-02</t>
  </si>
  <si>
    <t>PB114</t>
  </si>
  <si>
    <t>BREDDO DUMPER LIGHT CURTAIN RESET PUSHBUTTON</t>
  </si>
  <si>
    <t>RL7-DRM-101-PB-03</t>
  </si>
  <si>
    <t>PB116</t>
  </si>
  <si>
    <t>BREDDO DUMPER QR SCAN ENABLE PUSHBUTTON</t>
  </si>
  <si>
    <t>RL7-DRM-101-PSL-01</t>
  </si>
  <si>
    <t>PS201</t>
  </si>
  <si>
    <t>BREDDO SYSTEM COMPRESSED AIR LOW PRESSURE SWITCH</t>
  </si>
  <si>
    <t>RL7-DRM-101-PSL-02</t>
  </si>
  <si>
    <t>PS203</t>
  </si>
  <si>
    <t>BREDDO DUMPER SEAL PRESSURE SWITCH</t>
  </si>
  <si>
    <t>RL7-DRM-101-ZSC-06</t>
  </si>
  <si>
    <t>PRS205</t>
  </si>
  <si>
    <t>BREDDO DUMPER UNSEAL PROX</t>
  </si>
  <si>
    <t>RL7-DRM-101-ZSC-07</t>
  </si>
  <si>
    <t>PRS207</t>
  </si>
  <si>
    <t>BREDDO DUMPER PIVOT PROX</t>
  </si>
  <si>
    <t>RL7-DRM-101-ZSC-08</t>
  </si>
  <si>
    <t>PRS209</t>
  </si>
  <si>
    <t>BREDDO DUMPER REVERSE PIVOT PROX</t>
  </si>
  <si>
    <t>RL7-DRM-101-ZSC-09</t>
  </si>
  <si>
    <t>PRS214</t>
  </si>
  <si>
    <t>BREDDO DUMPER PIVOT SLOW SPEED PROX</t>
  </si>
  <si>
    <t>RL7-DRM-101-ZSC-10</t>
  </si>
  <si>
    <t>PRS216</t>
  </si>
  <si>
    <t>BREDDO DUMPER REVERSE PIVOT SLOW SPEED PROX</t>
  </si>
  <si>
    <t>RL7-DRM-101-ZSC-11</t>
  </si>
  <si>
    <t>PEC218</t>
  </si>
  <si>
    <t>BREDDO DUMPER CONTAINER IN PLACE PROX</t>
  </si>
  <si>
    <t>RL7-TNK-101-PBL-01</t>
  </si>
  <si>
    <t>BREDDO MIXER E-STOP PB PILOT LIGHT</t>
  </si>
  <si>
    <t>RL7-TNK-101-XY-02</t>
  </si>
  <si>
    <t>RL7-TNK-101-XV-02</t>
  </si>
  <si>
    <t>BREDDO MIXER  CIP / PCW MIX PROOF VALVE OPEN SOLENOID</t>
  </si>
  <si>
    <t>RL7-TNK-101-XV-01</t>
  </si>
  <si>
    <t>BREDDO MIXER PCW SUPPLY VALVE OPEN SOLENOID</t>
  </si>
  <si>
    <t>RL7-TNK-101-XY-03</t>
  </si>
  <si>
    <t>RL7-TNK-101-XV-03</t>
  </si>
  <si>
    <t xml:space="preserve">BREDDO MIXER  DISCHARGE VALVE OPEN SOLENOID   </t>
  </si>
  <si>
    <t>RL7-TNK-101-XV-04</t>
  </si>
  <si>
    <t xml:space="preserve">BREDDO MIXER SEAL FLUSH SOLENOID VALVE </t>
  </si>
  <si>
    <t>RL7-DRM-101-AH-01</t>
  </si>
  <si>
    <t>SND317</t>
  </si>
  <si>
    <t>BREDO DUMPER ALARM HORN</t>
  </si>
  <si>
    <t>RL7-DRM-101-PL-01R</t>
  </si>
  <si>
    <t>LT315</t>
  </si>
  <si>
    <t>BREDO DUMPER RED PILOT LIGHT</t>
  </si>
  <si>
    <t>RL7-DRM-101-PL-01Y</t>
  </si>
  <si>
    <t>LT316</t>
  </si>
  <si>
    <t>BREDO DUMPER YELLOW PILOT LIGHT</t>
  </si>
  <si>
    <t>RL7-DRM-101-PL-01G</t>
  </si>
  <si>
    <t>LT314</t>
  </si>
  <si>
    <t>BREDO DUMPER GREEN PILOT LIGHT</t>
  </si>
  <si>
    <t>RL7-DRM-101-PBL-02</t>
  </si>
  <si>
    <t>PBL114</t>
  </si>
  <si>
    <t>BREDDO DUMPER LIGHT CURTAIN RESET PB PILOT LIGHT</t>
  </si>
  <si>
    <t>RL7-DRM-101-PBL-03</t>
  </si>
  <si>
    <t>PBL116</t>
  </si>
  <si>
    <t>BREDDO DUMPER QR SCANNED PB PILOT LIGHT</t>
  </si>
  <si>
    <t>RL7-DRM-101-XY-06</t>
  </si>
  <si>
    <t>SOL301</t>
  </si>
  <si>
    <t>BREDDO DUMPER SEAL SOLENOID</t>
  </si>
  <si>
    <t>RL7-DRM-101-XY-07</t>
  </si>
  <si>
    <t>SOL302</t>
  </si>
  <si>
    <t>BREDDO DUMPER UNSEAL SOLENOID</t>
  </si>
  <si>
    <t>RL7-DRM-101-XY-08</t>
  </si>
  <si>
    <t>SOL303</t>
  </si>
  <si>
    <t>BREDDO DUMPER PIVOT SOLENOID</t>
  </si>
  <si>
    <t>RL7-DRM-101-XY-09</t>
  </si>
  <si>
    <t>SOL304</t>
  </si>
  <si>
    <t>BREDDO DUMPER REVERSE PIVOT SOLENOID</t>
  </si>
  <si>
    <t>RL7-DRM-101-XY-10</t>
  </si>
  <si>
    <t>SOL305</t>
  </si>
  <si>
    <t>BREDDO DUMPER SLOW SPEED SOLENOID</t>
  </si>
  <si>
    <t>RL7-DRM-101-XY-01B</t>
  </si>
  <si>
    <t>SOL306</t>
  </si>
  <si>
    <t>BREDDO DUMPER DISCHARGE SLIDE GATE CLOSE SOLENOID</t>
  </si>
  <si>
    <t>RL7-DRM-101-XY-01A</t>
  </si>
  <si>
    <t>SOL307</t>
  </si>
  <si>
    <t>BREDDO DUMPER DISCHARGE SLIDE GATE OPEN SOLENOID</t>
  </si>
  <si>
    <t>RL7-DRM-101-XY-02B</t>
  </si>
  <si>
    <t>SOL308</t>
  </si>
  <si>
    <t>BREDDO DUMPER MIXER SUPPLY SLIDE GATE CLOSE SOLENOID</t>
  </si>
  <si>
    <t>RL7-DRM-101-XY-02A</t>
  </si>
  <si>
    <t>SOL309</t>
  </si>
  <si>
    <t>BREDDO DUMPER MIXER SUPPLY SLIDE GATE OPEN SOLENOID</t>
  </si>
  <si>
    <t>RL7-DRM-101-XY-03</t>
  </si>
  <si>
    <t>SOL310</t>
  </si>
  <si>
    <t>BREDDO DUMPER VIBRATOR SOLENOID</t>
  </si>
  <si>
    <t>RL7-TNK-101-FVI-02</t>
  </si>
  <si>
    <t>BREDDO MIXER CIPS CONTROL VALVE POSITION FEEDBACK</t>
  </si>
  <si>
    <t>4-20 mA AI</t>
  </si>
  <si>
    <t>5069-IF8</t>
  </si>
  <si>
    <t>RL7-TNK-101-FIT-02</t>
  </si>
  <si>
    <t>BREDDO MIXER CIPS FLOW</t>
  </si>
  <si>
    <t>RL7-TNK-101-FCV-02</t>
  </si>
  <si>
    <t>BREDDO MIXER CIPS CONTROL VALVE</t>
  </si>
  <si>
    <t>4-20 mA AO</t>
  </si>
  <si>
    <t>5069-OF8</t>
  </si>
  <si>
    <t>RL7-LINE-PBL-01</t>
  </si>
  <si>
    <t>ROLL LINE E-STOP PB PILOT LIGHT</t>
  </si>
  <si>
    <t>RL7-LINE-AH-01</t>
  </si>
  <si>
    <t>ROLL LINE 7 ALARM HORN</t>
  </si>
  <si>
    <t>RL7-LINE-PL-01R</t>
  </si>
  <si>
    <t>ROLL LINE 7 RED PILOT LIGHT</t>
  </si>
  <si>
    <t>RL7-LINE-PL-01Y</t>
  </si>
  <si>
    <t>ROLL LINE 7 YELLOW PILOT LIGHT</t>
  </si>
  <si>
    <t>RL7-LINE-PL-01G</t>
  </si>
  <si>
    <t>ROLL LINE 7 GREEN PILOT LIGHT</t>
  </si>
  <si>
    <t>RL7-TNK-101-FVI-01</t>
  </si>
  <si>
    <t>BREDDO MIXER WATER CONTROL VALVE</t>
  </si>
  <si>
    <t>INTSL</t>
  </si>
  <si>
    <t>RL7-TNK-101-FIT-01</t>
  </si>
  <si>
    <t>BREDDO MIXER WATER SUPPLY FLOW</t>
  </si>
  <si>
    <t>0 - 300 GPM</t>
  </si>
  <si>
    <t>RL7-TNK-101-FCV-01</t>
  </si>
  <si>
    <t>RL7-DRM-101.M1</t>
  </si>
  <si>
    <t>BREDDO DUMPER ENABLE</t>
  </si>
  <si>
    <t>RL7-LINE-PB-01</t>
  </si>
  <si>
    <t>ROLL LINE E-STOP PB SAFETY INPUT CH1</t>
  </si>
  <si>
    <t>ROLL LINE E-STOP PB SAFETY INPUT CH2</t>
  </si>
  <si>
    <t>RL7-AGC-101-PB-01</t>
  </si>
  <si>
    <t>PB706161</t>
  </si>
  <si>
    <t>OS11A</t>
  </si>
  <si>
    <t xml:space="preserve">FRESH AUGER CART 1 E-STOP SAFETY INPUT CH1 </t>
  </si>
  <si>
    <t>DG7011</t>
  </si>
  <si>
    <t xml:space="preserve">FRESH AUGER CART 1 E-STOP SAFETY INPUT CH2 </t>
  </si>
  <si>
    <t>RL7-AGC-101-PB-02</t>
  </si>
  <si>
    <t>PB907021</t>
  </si>
  <si>
    <t xml:space="preserve">FRESH AUGER CART 1 PUMP FEEDER JOG PB </t>
  </si>
  <si>
    <t>RL7-AGC-101-ZSS-01</t>
  </si>
  <si>
    <t>PRS906021</t>
  </si>
  <si>
    <t>JIC11B</t>
  </si>
  <si>
    <t>FRESH AUGER CART 1 SAFETY GRATE SAFETY INPUT CH1</t>
  </si>
  <si>
    <t>FRESH AUGER CART 1 SAFETY GRATE SAFETY INPUT CH2</t>
  </si>
  <si>
    <t>RL7-AGC-101-ZSS-02</t>
  </si>
  <si>
    <t>PRS906061</t>
  </si>
  <si>
    <t>FRESH AUGER CART 1 CLEANOUT HATCH SAFETY INPUT CH1</t>
  </si>
  <si>
    <t>FRESH AUGER CART 1 CLEANOUT HATCH SAFETY INPUT CH2</t>
  </si>
  <si>
    <t>RL7-AGC-101-ZSS-03</t>
  </si>
  <si>
    <t>PRS906101</t>
  </si>
  <si>
    <t>FRESH AUGER CART 1 PUMP DISCHARGE SAFETY INPUT CH1</t>
  </si>
  <si>
    <t>FRESH AUGER CART 1 PUMP DISCHARGE SAFETY INPUT CH2</t>
  </si>
  <si>
    <t>RL7-AGC-101-ZSS-04</t>
  </si>
  <si>
    <t>PRS906211</t>
  </si>
  <si>
    <t>FRESH AUGER CART 1 SANITATION DISCHARGE GUARD SAFETY INPUT CH1</t>
  </si>
  <si>
    <t>FRESH AUGER CART 1 SANITATION DISCHARGE GUARD SAFETY INPUT CH2</t>
  </si>
  <si>
    <t>RL7-AGC-102-PB-01</t>
  </si>
  <si>
    <t>JIC12B, OS12A</t>
  </si>
  <si>
    <t xml:space="preserve">FRESH AUGER CART 2 E-STOP SAFETY INPUT CH1 </t>
  </si>
  <si>
    <t>RL7-FAGC2-RIO1</t>
  </si>
  <si>
    <t xml:space="preserve">FRESH AUGER CART 2 E-STOP SAFETY INPUT CH2 </t>
  </si>
  <si>
    <t>RL7-AGC-102-PB-02</t>
  </si>
  <si>
    <t>PB1007021</t>
  </si>
  <si>
    <t xml:space="preserve">FRESH AUGER CART 2 PUMP FEEDER JOG PB </t>
  </si>
  <si>
    <t>RL7-AGC-102-PBL-01</t>
  </si>
  <si>
    <t>PB1006161</t>
  </si>
  <si>
    <t xml:space="preserve">FRESH AUGER CART 2 PUMP E-STOP PB PILOT LIGHT </t>
  </si>
  <si>
    <t>RL7-AGC-102-ZSS-01</t>
  </si>
  <si>
    <t>PRS1006021</t>
  </si>
  <si>
    <t>JIC12B</t>
  </si>
  <si>
    <t>FRESH AUGER CART 2 SAFETY GRATE SAFETY INPUT CH1</t>
  </si>
  <si>
    <t>FRESH AUGER CART 2 SAFETY GRATE SAFETY INPUT CH2</t>
  </si>
  <si>
    <t>RL7-AGC-102-ZSS-02</t>
  </si>
  <si>
    <t>PRS1006061</t>
  </si>
  <si>
    <t>FRESH AUGER CART 2 CLEANOUT HATCH SAFETY INPUT CH1</t>
  </si>
  <si>
    <t>FRESH AUGER CART 2 CLEANOUT HATCH SAFETY INPUT CH2</t>
  </si>
  <si>
    <t>RL7-AGC-102-ZSS-03</t>
  </si>
  <si>
    <t>PRS1006101</t>
  </si>
  <si>
    <t>FRESH AUGER CART 2 PUMP DISCHARGE SAFETY INPUT CH1</t>
  </si>
  <si>
    <t>FRESH AUGER CART 2 PUMP DISCHARGE SAFETY INPUT CH2</t>
  </si>
  <si>
    <t>RL7-AGC-102-ZSS-04</t>
  </si>
  <si>
    <t>PRS1006211</t>
  </si>
  <si>
    <t>FRESH AUGER CART 2 SANITATION DISCHARGE GUARD SAFETY INPUT CH1</t>
  </si>
  <si>
    <t>FRESH AUGER CART 2 SANITATION DISCHARGE GUARD SAFETY INPUT CH2</t>
  </si>
  <si>
    <t>RL7-MLT-104.M1</t>
  </si>
  <si>
    <t>FRESH AUGER CART 1 DUMPER ENABLE</t>
  </si>
  <si>
    <t>RL7-MLT-104-HS-01</t>
  </si>
  <si>
    <t>SS705211</t>
  </si>
  <si>
    <t>OS9A</t>
  </si>
  <si>
    <t>FRESH AUGER CART 1 DUMPER PALLET RETENTION SELECTOR SWITCH</t>
  </si>
  <si>
    <t>RL7-MLT-104-HS-02</t>
  </si>
  <si>
    <t>SS705221</t>
  </si>
  <si>
    <t>FRESH AUGER CART 1 DUMPER BAG RETENTION SELECTOR SWITCH</t>
  </si>
  <si>
    <t>RL7-MLT-104-PB-01</t>
  </si>
  <si>
    <t>FRESH AUGER CART 1 DUMPER E-STOP SAFETY INPUT CH1</t>
  </si>
  <si>
    <t>FRESH AUGER CART 1 DUMPER E-STOP SAFETY INPUT CH2</t>
  </si>
  <si>
    <t>RL7-MLT-104-PB-02</t>
  </si>
  <si>
    <t>PB705191</t>
  </si>
  <si>
    <t xml:space="preserve">FRESH AUGER CART 1 DUMPER UP PB  </t>
  </si>
  <si>
    <t>RL7-MLT-104-PB-03</t>
  </si>
  <si>
    <t>PB705201</t>
  </si>
  <si>
    <t xml:space="preserve">FRESH AUGER CART 1 DUMPER DOWN PB  </t>
  </si>
  <si>
    <t>RL7-MLT-104-PBL-01</t>
  </si>
  <si>
    <t xml:space="preserve">FRESH AUGER CART 1 DUMPER E-STOP PB PILOT LIGHT </t>
  </si>
  <si>
    <t>RL7-MLT-104-PSL-01</t>
  </si>
  <si>
    <t>PRG705171</t>
  </si>
  <si>
    <t xml:space="preserve">FRESH AUGER CART 1 DUMPER PRESSURE REGULATOR </t>
  </si>
  <si>
    <t>RL7-MLT-104-XY-101A</t>
  </si>
  <si>
    <t>SOL705041</t>
  </si>
  <si>
    <t>FRESH AUGER CART 1 DUMPER ENGAGE PALLET RETENTION SOLENOID</t>
  </si>
  <si>
    <t>RL7-MLT-104-XY-101B</t>
  </si>
  <si>
    <t>FRESH AUGER CART 1 DUMPER RELEASE PALLET RETENTION SOLENOID</t>
  </si>
  <si>
    <t>RL7-MLT-104-XY-102A</t>
  </si>
  <si>
    <t>SOL705061</t>
  </si>
  <si>
    <t>FRESH AUGER CART 1 DUMPER ENGAGE BAG RETENTION SOLENOID</t>
  </si>
  <si>
    <t>RL7-MLT-104-XY-102B</t>
  </si>
  <si>
    <t>FRESH AUGER CART 1 DUMPER RELEASE BAG RETENTION SOLENOID</t>
  </si>
  <si>
    <t>RL7-MLT-104-XY-103A</t>
  </si>
  <si>
    <t>SOL705031</t>
  </si>
  <si>
    <t>FRESH AUGER CART 1 DUMPER HYDRAULIC UP SOLENOID</t>
  </si>
  <si>
    <t>RL7-MLT-104-XY-103B</t>
  </si>
  <si>
    <t>FRESH AUGER CART 1 DUMPER HYDRAULIC DOWN SOLENOID</t>
  </si>
  <si>
    <t>RL7-MLT-104-ZSC-01</t>
  </si>
  <si>
    <t>PRS705151</t>
  </si>
  <si>
    <t xml:space="preserve">FRESH AUGER CART 1 DUMPER IN DOWN POSITION </t>
  </si>
  <si>
    <t>RL7-MLT-104-ZSS-01</t>
  </si>
  <si>
    <t>PRS706061</t>
  </si>
  <si>
    <t>FRESH AUGER CART 1 DUMPER SAFETY LOCK PIN 1 SAFETY INPUT CH1</t>
  </si>
  <si>
    <t>FRESH AUGER CART 1 DUMPER SAFETY LOCK PIN 1 SAFETY INPUT CH2</t>
  </si>
  <si>
    <t>RL7-MLT-104-ZSS-02</t>
  </si>
  <si>
    <t>PRS706101</t>
  </si>
  <si>
    <t>FRESH AUGER CART 1 DUMPER SAFETY LOCK PIN 2 SAFETY INPUT CH1</t>
  </si>
  <si>
    <t>FRESH AUGER CART 1 DUMPER SAFETY LOCK PIN 2 SAFETY INPUT CH2</t>
  </si>
  <si>
    <t>RL7-MLT-104-ZSS-03</t>
  </si>
  <si>
    <t>PRS706021</t>
  </si>
  <si>
    <t>FRESH AUGER CART 1 DUMPER SAFETY GATE SAFETY INPUT CH1</t>
  </si>
  <si>
    <t>FRESH AUGER CART 1 DUMPER SAFETY GATE SAFETY INPUT CH2</t>
  </si>
  <si>
    <t>RL7-MLT-105.M1</t>
  </si>
  <si>
    <t>FRESH AUGER CART 2 DUMPER ENABLE</t>
  </si>
  <si>
    <t>RL7-MLT-105-HS-01</t>
  </si>
  <si>
    <t>SS805211</t>
  </si>
  <si>
    <t>OS10A</t>
  </si>
  <si>
    <t>FRESH AUGER CART 2 DUMPER PALLET RETENTION SELECTOR SWITCH</t>
  </si>
  <si>
    <t>RL7-MLT-105-HS-02</t>
  </si>
  <si>
    <t>SS805221</t>
  </si>
  <si>
    <t>FRESH AUGER CART 2 DUMPER BAG RETENTION SELECTOR SWITCH</t>
  </si>
  <si>
    <t>RL7-MLT-105-PB-01</t>
  </si>
  <si>
    <t>PB806161</t>
  </si>
  <si>
    <t>FRESH AUGER CART 2 DUMPER E-STOP SAFETY INPUT CH1</t>
  </si>
  <si>
    <t>FRESH AUGER CART 2 DUMPER E-STOP SAFETY INPUT CH2</t>
  </si>
  <si>
    <t>RL7-MLT-105-PB-02</t>
  </si>
  <si>
    <t>PB805151</t>
  </si>
  <si>
    <t xml:space="preserve">FRESH AUGER CART 2 DUMPER UP PB  </t>
  </si>
  <si>
    <t>RL7-MLT-105-PB-03</t>
  </si>
  <si>
    <t>PB805161</t>
  </si>
  <si>
    <t xml:space="preserve">FRESH AUGER CART 2 DUMPER DOWN PB  </t>
  </si>
  <si>
    <t>RL7-MLT-105-PBL-01</t>
  </si>
  <si>
    <t xml:space="preserve">FRESH AUGER CART 2 DUMPER E-STOP PB PILOT LIGHT </t>
  </si>
  <si>
    <t>RL7-MLT-105-PSL-01</t>
  </si>
  <si>
    <t>PRG805171</t>
  </si>
  <si>
    <t>FRESH AUGER CART 2 REGULATOR LOW PRESSURE SWITCH</t>
  </si>
  <si>
    <t>RL7-MLT-105-XY-101A</t>
  </si>
  <si>
    <t>SOL805041</t>
  </si>
  <si>
    <t>FRESH AUGER CART 2 DUMPER ENGAGE PALLET RETENTION SOLENOID</t>
  </si>
  <si>
    <t>RL7-MLT-105-XY-101B</t>
  </si>
  <si>
    <t>FRESH AUGER CART 2 DUMPER RELEASE PALLET RETENTION SOLENOID</t>
  </si>
  <si>
    <t>RL7-MLT-105-XY-102A</t>
  </si>
  <si>
    <t>SOL805061</t>
  </si>
  <si>
    <t>FRESH AUGER CART 2 DUMPER ENGAGE BAG RETENTION SOLENOID</t>
  </si>
  <si>
    <t>RL7-MLT-105-XY-102B</t>
  </si>
  <si>
    <t>FRESH AUGER CART 2 DUMPER RELEASE BAG RETENTION SOLENOID</t>
  </si>
  <si>
    <t>RL7-MLT-105-XY-103A</t>
  </si>
  <si>
    <t>SOL805021</t>
  </si>
  <si>
    <t>FRESH AUGER CART 2 DUMPER HYDRAULIC UP SOLENOID</t>
  </si>
  <si>
    <t>RL7-MLT-105-XY-103B</t>
  </si>
  <si>
    <t>FRESH AUGER CART 2 DUMPER HYDRAULIC DOWN SOLENOID</t>
  </si>
  <si>
    <t>RL7-MLT-105-ZSC-01</t>
  </si>
  <si>
    <t>PRS805151</t>
  </si>
  <si>
    <t xml:space="preserve">FRESH AUGER CART 2 DUMPER IN DOWN POSITION </t>
  </si>
  <si>
    <t>RL7-MLT-105-ZSS-01</t>
  </si>
  <si>
    <t>PRS806061</t>
  </si>
  <si>
    <t>FRESH AUGER CART 2 DUMPER SAFETY LOCK PIN 1 SAFETY INPUT CH1</t>
  </si>
  <si>
    <t>FRESH AUGER CART 2 DUMPER SAFETY LOCK PIN 1 SAFETY INPUT CH2</t>
  </si>
  <si>
    <t>RL7-MLT-105-ZSS-02</t>
  </si>
  <si>
    <t>PRS806101</t>
  </si>
  <si>
    <t>FRESH AUGER CART 2 DUMPER SAFETY LOCK PIN 2 SAFETY INPUT CH1</t>
  </si>
  <si>
    <t>FRESH AUGER CART 2 DUMPER SAFETY LOCK PIN 2 SAFETY INPUT CH2</t>
  </si>
  <si>
    <t>RL7-MLT-105-ZSS-03</t>
  </si>
  <si>
    <t>PRS806021</t>
  </si>
  <si>
    <t>FRESH AUGER CART 2 DUMPER SAFETY GATE SAFETY INPUT CH1</t>
  </si>
  <si>
    <t>FRESH AUGER CART 2 DUMPER SAFETY GATE SAFETY INPUT CH2</t>
  </si>
  <si>
    <t>RL7-CNV-115-PBL-01</t>
  </si>
  <si>
    <t>RL7-CNV-108-PBL-01</t>
  </si>
  <si>
    <t>INCLINE BELT CONVEYOR E-STOP PUSHBUTTON PILOT LIGHT</t>
  </si>
  <si>
    <t>DG7012</t>
  </si>
  <si>
    <t>RL7-GRR-101-PBL-01</t>
  </si>
  <si>
    <t>RL7-GRR-102-PBL-01</t>
  </si>
  <si>
    <t>GRINDER PLATFORM E-STOP PUSHBUTTON PILOT LIGHT</t>
  </si>
  <si>
    <t>RL7-MLT-106.M1</t>
  </si>
  <si>
    <t>PRE-MIXER COLUMN DUMPER</t>
  </si>
  <si>
    <t>RL7-PRM-101-ZSC-03</t>
  </si>
  <si>
    <t>RL7-MLT-106-PB-01</t>
  </si>
  <si>
    <t>PB2506011</t>
  </si>
  <si>
    <t>JIC3B</t>
  </si>
  <si>
    <t>PRE-MIXER COLUMN DUMPER RAISE PB</t>
  </si>
  <si>
    <t>RL7-PRM-RIO1</t>
  </si>
  <si>
    <t>RL7-PRM-101-ZSC-04</t>
  </si>
  <si>
    <t>RL7-MLT-106-PB-02</t>
  </si>
  <si>
    <t>PB2506021</t>
  </si>
  <si>
    <t>PRE-MIXER COLUMN DUMPER LOWER PB</t>
  </si>
  <si>
    <t>RL7-MLT-106-PB-03</t>
  </si>
  <si>
    <t>PB2506031</t>
  </si>
  <si>
    <t>PRE-MIXER COLUMN DUMPER STOP PB</t>
  </si>
  <si>
    <t>RL7-MLT-106-PB-04</t>
  </si>
  <si>
    <t>PB2505011</t>
  </si>
  <si>
    <t>PRE-MIXER COLUMN DUMPER E-STOP PUSHBUTTON SAFETY INPUT CH1</t>
  </si>
  <si>
    <t>PRE-MIXER COLUMN DUMPER E-STOP PUSHBUTTON SAFETY INPUT CH2</t>
  </si>
  <si>
    <t>RL7-MLT-106-PB-05</t>
  </si>
  <si>
    <t>PB505161</t>
  </si>
  <si>
    <t>OS7C</t>
  </si>
  <si>
    <t>PRE-MIXER COLUMN DUMPER ENTRY REQUEST PB</t>
  </si>
  <si>
    <t>RL7-MLT-106-PB-06</t>
  </si>
  <si>
    <t>PB505191</t>
  </si>
  <si>
    <t>PRE-MIXER COLUMN DUMPER RESET GATE LOCK PB</t>
  </si>
  <si>
    <t>RL7-MLT-106-PBL-01</t>
  </si>
  <si>
    <t>RL7-MLT-106-PBL-04</t>
  </si>
  <si>
    <t>PRE-MIXER COLUMN DUMPER E-STOP PB PILOT LIGHT</t>
  </si>
  <si>
    <t>RL7-MLT-106-ZSC-03</t>
  </si>
  <si>
    <t>RL7-MLT-106-ZSC-01</t>
  </si>
  <si>
    <t>PRS2506111</t>
  </si>
  <si>
    <t>PRE-MIXER COLUMN DUMPER LOWER LIMIT STOP</t>
  </si>
  <si>
    <t>RL7-MLT-106-ZSC-02</t>
  </si>
  <si>
    <t>PRS2506091</t>
  </si>
  <si>
    <t>PRE-MIXER COLUMN DUMPER UPPER LIMIT STOP</t>
  </si>
  <si>
    <t>PRS2506071</t>
  </si>
  <si>
    <t>PRE-MIXER COLUMN DUMPER OVER TRAVEL LIMIT</t>
  </si>
  <si>
    <t>RL7-MLT-106-ZSS-04</t>
  </si>
  <si>
    <t>PRS306021</t>
  </si>
  <si>
    <t>OS9A/JIC9B</t>
  </si>
  <si>
    <t>PRE-MIXER COLUMN DUMPER IN DOWN POSITION SAFETY INPUT 1</t>
  </si>
  <si>
    <t>PRE-MIXER COLUMN DUMPER IN DOWN POSITION SAFETY INPUT 2</t>
  </si>
  <si>
    <t>RL7-MLT-106-ZSS-05</t>
  </si>
  <si>
    <t>PRE-MIXER COLUMN DUMPER SAFETY GATE ACTIVE SAFETY INPUT 1</t>
  </si>
  <si>
    <t>PRE-MIXER COLUMN DUMPER SAFETY GATE ACTIVE SAFETY INPUT 2</t>
  </si>
  <si>
    <t>RL7-PRM-101-FCV-01</t>
  </si>
  <si>
    <t>PRE-MIXER CIPS FLOW CONTROL VALVE</t>
  </si>
  <si>
    <t>RL7-AGC-201-TIT-01</t>
  </si>
  <si>
    <t>RL7-PRM-101-FIT-01</t>
  </si>
  <si>
    <t>PRE-MIXER CIPS FLOW</t>
  </si>
  <si>
    <t>RL7-AGC-201-TIT-02</t>
  </si>
  <si>
    <t>RL7-PRM-101-FVI-01</t>
  </si>
  <si>
    <t>PRE-MIXER CIPS CONTROL VALVE POSITION FEEDBACK</t>
  </si>
  <si>
    <t>RL7-PRM-101-PB-01</t>
  </si>
  <si>
    <t>PRE-MIXER E-STOP PB SAFETY INPUT CH1</t>
  </si>
  <si>
    <t>PRE-MIXER E-STOP PB SAFETY INPUT CH2</t>
  </si>
  <si>
    <t>RL7-PRM-101-PBL-01</t>
  </si>
  <si>
    <t>PRE-MIXER E-STOP PB PILOT LIGHT</t>
  </si>
  <si>
    <t>RL7-PRM-101-PSL-01</t>
  </si>
  <si>
    <t>PRG107011</t>
  </si>
  <si>
    <t>JIC2B</t>
  </si>
  <si>
    <t>PRE-MIXER PRESSURE REGULATOR</t>
  </si>
  <si>
    <t>RL7-PRM-101-XV-05</t>
  </si>
  <si>
    <t>PRE-MIXER CIPS MIX PROOF VALVE OPEN SOLENOID</t>
  </si>
  <si>
    <t>PRE-MIXER SANITATION VALVE OPEN SOLENOID</t>
  </si>
  <si>
    <t>RL7-PRM-101-XV-06</t>
  </si>
  <si>
    <t xml:space="preserve">PRE-MIXER RAW PRODUCT COOKER 1 FILL VALVE OPEN SOLENOID </t>
  </si>
  <si>
    <t>RL7-PRM-101-XV-07</t>
  </si>
  <si>
    <t xml:space="preserve">PRE-MIXER RAW PRODUCT COOKER 2 FILL VALVE OPEN SOLENOID </t>
  </si>
  <si>
    <t>RL7-PRM-101-XV-08</t>
  </si>
  <si>
    <t>PRE-MIXER GUM / CIP SUPPLY MIX PROOF VALVE OPEN SOLENOID</t>
  </si>
  <si>
    <t>RL7-PRM-101-XV-09</t>
  </si>
  <si>
    <t>PRE-MIXER CIP RETURN MIX PROOF VALVE OPEN SOLENOID</t>
  </si>
  <si>
    <t>RL7-PRM-101-XY-01A</t>
  </si>
  <si>
    <t>SOL107041</t>
  </si>
  <si>
    <t>PRE-MIXER MIXER COVER OPEN SOLENOID</t>
  </si>
  <si>
    <t>RL7-PRM-101-XY-01B</t>
  </si>
  <si>
    <t>PRE-MIXER MIXER COVER CLOSE SOLENOID</t>
  </si>
  <si>
    <t>RL7-PRM-101-XY-02A</t>
  </si>
  <si>
    <t>SOL107061</t>
  </si>
  <si>
    <t>PRE-MIXER SAFETY GRATE ENGAGE SOLENOID</t>
  </si>
  <si>
    <t>RL7-PRM-101-XY-02B</t>
  </si>
  <si>
    <t>PRE-MIXER SAFETY GRATE RELEASE SOLENOID</t>
  </si>
  <si>
    <t>RL7-PRM-101-XYS-01A</t>
  </si>
  <si>
    <t>RL7-PRM-101-XYS-04A</t>
  </si>
  <si>
    <t>SOL106171</t>
  </si>
  <si>
    <t>PRE-MIXER SAFETY AIR DUMP SOLENOID A</t>
  </si>
  <si>
    <t>24 VDC SO</t>
  </si>
  <si>
    <t>5069-OBV8S</t>
  </si>
  <si>
    <t>RL7-PRM-101-XYS-01B</t>
  </si>
  <si>
    <t>RL7-PRM-101-XYS-04B</t>
  </si>
  <si>
    <t>PRE-MIXER SAFETY AIR DUMP SOLENOID B</t>
  </si>
  <si>
    <t>RL7-PRM-101-ZSC-01</t>
  </si>
  <si>
    <t>PRS107171</t>
  </si>
  <si>
    <t>PRE-MIXER LOCKBAR ENGAGED</t>
  </si>
  <si>
    <t>RL7-PRM-101-ZSC-02</t>
  </si>
  <si>
    <t>VLV107221</t>
  </si>
  <si>
    <t>PRE-MIXER SAFETY GRATE LOCKED</t>
  </si>
  <si>
    <t>RL7-PRM-101-ZSC-01A</t>
  </si>
  <si>
    <t>RL7-PRM-101-ZSC-04A</t>
  </si>
  <si>
    <t>PRE-MIXER AIR DUMP SOLENOID A LIMIT SWITCH SAFETY INPUT CH1</t>
  </si>
  <si>
    <t>RL7-PRM-101-ZSC-01B</t>
  </si>
  <si>
    <t>RL7-PRM-101-ZSC-04B</t>
  </si>
  <si>
    <t>PRE-MIXER AIR DUMP SOLENOID B LIMIT SWITCH SAFETY INPUT CH2</t>
  </si>
  <si>
    <t>RL7-PRM-101-ZSC-05</t>
  </si>
  <si>
    <t>PRE-MIXER CIPS MIX PROOF VALVE CLOSED LIMIT SWITCH</t>
  </si>
  <si>
    <t>PRE-MIXER SANITATION VALVE CLOSED LIMIT SWITCH</t>
  </si>
  <si>
    <t>RL7-PRM-101-ZSC-06</t>
  </si>
  <si>
    <t xml:space="preserve">PRE-MIXER RAW PRODUCT COOKER 1 FILL VALVE CLOSED LIMIT SWITCH </t>
  </si>
  <si>
    <t>RL7-PRM-101-ZSC-07</t>
  </si>
  <si>
    <t xml:space="preserve">PRE-MIXER RAW PRODUCT COOKER 2 FILL VALVE CLOSED LIMIT SWITCH </t>
  </si>
  <si>
    <t>RL7-PRM-101-ZSC-08</t>
  </si>
  <si>
    <t xml:space="preserve">PRE-MIXER GUM / CIP SUPPLY MIX PROOF VALVE CLOSED LIMIT SWITCH </t>
  </si>
  <si>
    <t>RL7-PRM-101-ZSC-09</t>
  </si>
  <si>
    <t>PRE-MIXER CIP RETURN MIX PROOF VALVE CLOSED LIMIT SWITCH</t>
  </si>
  <si>
    <t>RL7-PRM-101-ZSO-01</t>
  </si>
  <si>
    <t>PRS107191</t>
  </si>
  <si>
    <t>PRE-MIXER LOCKBAR RELEASED</t>
  </si>
  <si>
    <t>RL7-PRM-101-ZSO-02</t>
  </si>
  <si>
    <t>PRE-MIXER SAFETY GRATE RELEASED</t>
  </si>
  <si>
    <t>RL7-PRM-101-ZSS-01</t>
  </si>
  <si>
    <t>RL7-PRM-101-ZSO-03</t>
  </si>
  <si>
    <t>PRS107151</t>
  </si>
  <si>
    <t>PRE-MIXER COVER OPEN</t>
  </si>
  <si>
    <t>RL7-PRM-101-ZSO-05</t>
  </si>
  <si>
    <t>PRE-MIXER CIPS MIX PROOF VALVE OPEN LIMIT SWITCH</t>
  </si>
  <si>
    <t>PRE-MIXER SANITATION VALVE OPEN LIMIT SWITCH</t>
  </si>
  <si>
    <t>RL7-PRM-101-ZSO-06</t>
  </si>
  <si>
    <t xml:space="preserve">PRE-MIXER RAW PRODUCT COOKER 1 FILL VALVE OPEN LIMIT SWITCH </t>
  </si>
  <si>
    <t>RL7-PRM-101-ZSO-07</t>
  </si>
  <si>
    <t xml:space="preserve">PRE-MIXER RAW PRODUCT COOKER 2 FILL VALVE OPEN LIMIT SWITCH </t>
  </si>
  <si>
    <t>RL7-PRM-101-ZSO-08</t>
  </si>
  <si>
    <t xml:space="preserve">PRE-MIXER GUM / CIP SUPPLY MIX PROOF VALVE OPEN LIMIT SWITCH </t>
  </si>
  <si>
    <t>RL7-PRM-101-ZSO-09</t>
  </si>
  <si>
    <t>PRE-MIXER CIP RETURN MIX PROOF VALVE OPEN LIMIT SWITCH</t>
  </si>
  <si>
    <t>PRS106021</t>
  </si>
  <si>
    <t>PRE-MIXER MIXER COVER CLOSED SAFETY INPUT CH1</t>
  </si>
  <si>
    <t>PRE-MIXER MIXER COVER CLOSED SAFETY INPUT CH2</t>
  </si>
  <si>
    <t>RL7-PRM-101-ZSS-02</t>
  </si>
  <si>
    <t>PRS106061</t>
  </si>
  <si>
    <t>PRE-MIXER SAFETY GRATE SAFETY INPUT CH1</t>
  </si>
  <si>
    <t>PRE-MIXER SAFETY GRATE SAFETY INPUT CH2</t>
  </si>
  <si>
    <t>RL7-PRM-101-ZSS-03</t>
  </si>
  <si>
    <t>PRS106091</t>
  </si>
  <si>
    <t>PRE-MIXER DISCHARGE SCREW GUARD SAFETY INPUT CH1</t>
  </si>
  <si>
    <t>PRE-MIXER DISCHARGE SCREW GUARD SAFETY INPUT CH2</t>
  </si>
  <si>
    <t>RL7-PRM-101-ZSS-04</t>
  </si>
  <si>
    <t>PRS106221</t>
  </si>
  <si>
    <t>PRE-MIXER HATCH COVER CLOSED SAFETY INPUT CH1</t>
  </si>
  <si>
    <t>PRE-MIXER HATCH COVER CLOSED SAFETY INPUT CH2</t>
  </si>
  <si>
    <t>PRE-MIXER COLUMN DUMPER ENTRY REQUEST PB PILOT LIGHT</t>
  </si>
  <si>
    <t>DG7013</t>
  </si>
  <si>
    <t>RL7-MLT-106-PBL-05</t>
  </si>
  <si>
    <t>PRE-MIXER COLUMN DUMPER RESET GATE LOCK PB PILOT LIGHT</t>
  </si>
  <si>
    <t>DG7014</t>
  </si>
  <si>
    <t>RL7-CKR-101-FCV-02</t>
  </si>
  <si>
    <t>COOKER 1 CONTROL VALVE</t>
  </si>
  <si>
    <t>DG7020</t>
  </si>
  <si>
    <t>RL7-CKR-101-FIT-02</t>
  </si>
  <si>
    <t>COOKER 1 CIPS FLOW</t>
  </si>
  <si>
    <t>RL7-CKR-101-FVI-02</t>
  </si>
  <si>
    <t>COOKER 1 CIPS CONTROL VALVE POSITION FEEDBACK</t>
  </si>
  <si>
    <t>0 - 10 BAR</t>
  </si>
  <si>
    <t>RL7-HTX-101C-TT-02</t>
  </si>
  <si>
    <t>RL7-CKR-101-PB-01</t>
  </si>
  <si>
    <t>COOKER 1 E-STOP PB SAFETY INPUT CH1</t>
  </si>
  <si>
    <t>RL7-CKR1-RIO1</t>
  </si>
  <si>
    <t>COOKER 1 E-STOP PB SAFETY INPUT CH2</t>
  </si>
  <si>
    <t>RL7-CKR-101-PB-02</t>
  </si>
  <si>
    <t>COOKER 1 COLUMN DUMPER ENTRY REQUEST PB</t>
  </si>
  <si>
    <t>RL7-CKR-101-PB-03</t>
  </si>
  <si>
    <t>COOKER 1 COLUMN DUMPER RESET GATE LOCK PB</t>
  </si>
  <si>
    <t>RL7-CKR-101-PBL-01</t>
  </si>
  <si>
    <t>COOKER 1 E-STOP PB PILOT LIGHT</t>
  </si>
  <si>
    <t>RL7-CKR-101-PBL-02</t>
  </si>
  <si>
    <t>COOKER 1 COLUMN DUMPER ENTRY REQUEST PB PILOT LIGHT</t>
  </si>
  <si>
    <t>RL7-CKR-101-PBL-03</t>
  </si>
  <si>
    <t>COOKER 1 COLUMN DUMPER RESET GATE LOCK PB PILOT LIGHT</t>
  </si>
  <si>
    <t>RL7-CKR-101-PL-01G</t>
  </si>
  <si>
    <t xml:space="preserve">COOKER 1 GREEN PILOT LIGHT  </t>
  </si>
  <si>
    <t>RL7-CKR-101-PL-01R</t>
  </si>
  <si>
    <t xml:space="preserve">COOKER 1 RED PILOT LIGHT  </t>
  </si>
  <si>
    <t>RL7-CKR-101-PL-01Y</t>
  </si>
  <si>
    <t xml:space="preserve">COOKER 1 YELLOW PILOT LIGHT  </t>
  </si>
  <si>
    <t>RL7-CKR-101-PSL-01</t>
  </si>
  <si>
    <t>PRG307011</t>
  </si>
  <si>
    <t>JIC5B</t>
  </si>
  <si>
    <t>COOKER 1 REGULATOR LOW PRESSURE SWITCH</t>
  </si>
  <si>
    <t>RL7-CKR-101-TIT-01</t>
  </si>
  <si>
    <t xml:space="preserve">COOKER 1 MIXER SIDE TEMPERATURE TRANSMITTER  </t>
  </si>
  <si>
    <t>RL7-CKR-101-TIT-02</t>
  </si>
  <si>
    <t>RL7-CKR-101-XY-18A</t>
  </si>
  <si>
    <t>RL7-CKR-101-XV-18A</t>
  </si>
  <si>
    <t>SOL307071</t>
  </si>
  <si>
    <t>COOKER 1 LEFT DISHCHARGE VALVE OPEN SOLENOID</t>
  </si>
  <si>
    <t>RL7-CKR-101-XY-18B</t>
  </si>
  <si>
    <t>RL7-CKR-101-XV-18B</t>
  </si>
  <si>
    <t>COOKER 1 LEFT DISHCHARGE VALVE CLOSE SOLENOID</t>
  </si>
  <si>
    <t>RL7-CKR-101-XY-19A</t>
  </si>
  <si>
    <t>RL7-CKR-101-XV-19A</t>
  </si>
  <si>
    <t>SOL307161</t>
  </si>
  <si>
    <t>COOKER 1 RIGHT DISCHARGE VALVE OPEN SOLENOID</t>
  </si>
  <si>
    <t>RL7-CKR-101-XY-19B</t>
  </si>
  <si>
    <t>RL7-CKR-101-XV-19B</t>
  </si>
  <si>
    <t>COOKER 1 RIGHT DISCHARGE VALVE CLOSE SOLENOID</t>
  </si>
  <si>
    <t>RL7-CKR-101-XV-25</t>
  </si>
  <si>
    <t>COOKER 1 CIPS MIX PROOF VALVE OPEN SOLENOID</t>
  </si>
  <si>
    <t>RL7-CKR-101-XY-20A</t>
  </si>
  <si>
    <t>SOL307061</t>
  </si>
  <si>
    <t xml:space="preserve">COOKER 1 SAFETY GRATE ENGAGE SOLENOID   </t>
  </si>
  <si>
    <t>RL7-CKR-101-XY-20B</t>
  </si>
  <si>
    <t xml:space="preserve">COOKER 1 SAFETY GRATE RELEASE SOLENOID   </t>
  </si>
  <si>
    <t>RL7-CKR-101-XY-22A</t>
  </si>
  <si>
    <t>SOL307041</t>
  </si>
  <si>
    <t>COOKER 1 COVER OPEN SOLENOID</t>
  </si>
  <si>
    <t>RL7-CKR-101-XY-22B</t>
  </si>
  <si>
    <t>COOKER 1 COVER CLOSE SOLENOID</t>
  </si>
  <si>
    <t>RL7-CKR-101-XY-24</t>
  </si>
  <si>
    <t>COOKER 1 AIR PURGE SOLENOID VALVE</t>
  </si>
  <si>
    <t>RL7-CKR-101-XYS-23A</t>
  </si>
  <si>
    <t>SOL306171</t>
  </si>
  <si>
    <t xml:space="preserve">COOKER 1 SAFETY AIR DUMP SOLENOID A  </t>
  </si>
  <si>
    <t>RL7-CKR-101-XYS-23B</t>
  </si>
  <si>
    <t xml:space="preserve">COOKER 1 SAFETY AIR DUMP SOLENOID B  </t>
  </si>
  <si>
    <t>RL7-CKR-101-ZSC-18</t>
  </si>
  <si>
    <t>SOL307111</t>
  </si>
  <si>
    <t>COOKER 1 LEFT DISCHARGE VALVE CLOSED</t>
  </si>
  <si>
    <t>RL7-CKR-101-ZSC-19</t>
  </si>
  <si>
    <t>SOL307131</t>
  </si>
  <si>
    <t>COOKER 1 RIGHT DISCHARGE VALVE CLOSED</t>
  </si>
  <si>
    <t>RL7-CKR-101-ZSC-20</t>
  </si>
  <si>
    <t>VLV307261</t>
  </si>
  <si>
    <t>COOKER 1 SAFETY GRATE ENGAGED</t>
  </si>
  <si>
    <t>RL7-CKR-101-ZSC-21</t>
  </si>
  <si>
    <t>PRS307211</t>
  </si>
  <si>
    <t>COOKER 1 LOCKBAR ENGAGED</t>
  </si>
  <si>
    <t>RL7-CKR-101-ZSS-23A</t>
  </si>
  <si>
    <t>RL7-CKR-101-ZSC-23A</t>
  </si>
  <si>
    <t xml:space="preserve">COOKER 1 SAFETY AIR DUMP SOLENOID A STATUS </t>
  </si>
  <si>
    <t>RL7-CKR-101-ZSC-23B</t>
  </si>
  <si>
    <t xml:space="preserve">COOKER 1 SAFETY AIR DUMP SOLENOID B STATUS </t>
  </si>
  <si>
    <t>RL7-CKR-101-ZSC-25</t>
  </si>
  <si>
    <t>COOKER 1 CIPS MIX PROOF VALVE CLOSED LIMIT SWITCH</t>
  </si>
  <si>
    <t>RL7-CKR-101-ZSO-18</t>
  </si>
  <si>
    <t>COOKER 1 LEFT DISCHARGE VALVE OPEN</t>
  </si>
  <si>
    <t>RL7-CKR-101-ZSO-19</t>
  </si>
  <si>
    <t>COOKER 1 RIGHT DISCHARGE VALVE OPEN</t>
  </si>
  <si>
    <t>RL7-CKR-101-ZSO-20</t>
  </si>
  <si>
    <t>COOKER 1 SAFETY GRATE RELEASED</t>
  </si>
  <si>
    <t>RL7-CKR-101-ZSO-21</t>
  </si>
  <si>
    <t>PRS307231</t>
  </si>
  <si>
    <t>COOKER 1 LOCKBAR RELEASED</t>
  </si>
  <si>
    <t>RL7-CKR-101-ZSO-22</t>
  </si>
  <si>
    <t>PRS307191</t>
  </si>
  <si>
    <t>COOKER 1 COVER OPEN</t>
  </si>
  <si>
    <t>RL7-CKR-101-ZSO-25</t>
  </si>
  <si>
    <t>COOKER 1 CIPS MIX PROOF VALVE OPEN LIMIT SWITCH</t>
  </si>
  <si>
    <t>RL7-CKR-101-ZSS-01</t>
  </si>
  <si>
    <t>PRS306061</t>
  </si>
  <si>
    <t>COOKER 1 SAFETY GRATE RFID POSITION SWITCH CH1</t>
  </si>
  <si>
    <t>COOKER 1 SAFETY GRATE RFID POSITION SWITCH CH2</t>
  </si>
  <si>
    <t>RL7-CKR-101-ZSS-02</t>
  </si>
  <si>
    <t>COOKER 1 COVER CLOSED RFID POSITION SWITCH CH1</t>
  </si>
  <si>
    <t>COOKER 1 COVER CLOSED RFID POSITION SWITCH CH2</t>
  </si>
  <si>
    <t>RL7-CKR-101-ZSS-03</t>
  </si>
  <si>
    <t>PRS306091</t>
  </si>
  <si>
    <t>COOKER 1 MIXER HATCH CLOSED RFID POSITION SWITCH CH1</t>
  </si>
  <si>
    <t>COOKER 1 MIXER HATCH CLOSED RFID POSITION SWITCH CH2</t>
  </si>
  <si>
    <t>RL7-CKR-101-ZSS-04</t>
  </si>
  <si>
    <t>JIC9B,OS9A</t>
  </si>
  <si>
    <t>COOKER 1 COLUMN DUMPER IN DOWN POSITION SAFETY INPUT CH1</t>
  </si>
  <si>
    <t>COOKER 1 COLUMN DUMPER IN DOWN POSITION SAFETY INPUT CH2</t>
  </si>
  <si>
    <t>RL7-CKR-101-ZSS-05</t>
  </si>
  <si>
    <t>COOKER 1 COLUMN DUMPER SAFETY GATE ACTIVE SAFETY INPUT CH1</t>
  </si>
  <si>
    <t>COOKER 1 COLUMN DUMPER SAFETY GATE ACTIVE SAFETY INPUT CH2</t>
  </si>
  <si>
    <t>RL7-MLT-107.M1</t>
  </si>
  <si>
    <t>COOKER 1 COLUMN DUMPER ENABLE</t>
  </si>
  <si>
    <t>RL7-MTL-107-PB-01</t>
  </si>
  <si>
    <t>RL7-MLT-107-PB-01</t>
  </si>
  <si>
    <t>PB505011</t>
  </si>
  <si>
    <t>JIC7B</t>
  </si>
  <si>
    <t xml:space="preserve">COOKER 1 DUMPER E-STOP SAFETY INPUT CH1 </t>
  </si>
  <si>
    <t>COOKER 1 DUMPER E-STOP SAFETY INPUT CH2</t>
  </si>
  <si>
    <t>RL7-MLT-107-PB-02</t>
  </si>
  <si>
    <t>PB506031</t>
  </si>
  <si>
    <t xml:space="preserve">COOKER 1 DUMPER STOP PB  </t>
  </si>
  <si>
    <t>RL7-MLT-107-PB-03</t>
  </si>
  <si>
    <t>PB506021</t>
  </si>
  <si>
    <t xml:space="preserve">COOKER 1  DUMPER DOWN PB  </t>
  </si>
  <si>
    <t>RL7-MLT-107-PB-04</t>
  </si>
  <si>
    <t>PB506011</t>
  </si>
  <si>
    <t xml:space="preserve">COOKER 1 DUMPER UP PB  </t>
  </si>
  <si>
    <t>RL7-MTL-107-PBL-01</t>
  </si>
  <si>
    <t>RL7-MLT-107-PBL-01</t>
  </si>
  <si>
    <t xml:space="preserve">COOKER 1 DUMPER E-STOP PB PILOT LIGHT  </t>
  </si>
  <si>
    <t>RL7-MLT-107-PL-01G</t>
  </si>
  <si>
    <t>COOKER 1 DUMPER GREEN PILOT LIGHT</t>
  </si>
  <si>
    <t>RL7-MLT-107-PL-01R</t>
  </si>
  <si>
    <t>COOKER 1 DUMPER RED PILOT LIGHT</t>
  </si>
  <si>
    <t>RL7-MLT-107-PL-01Y</t>
  </si>
  <si>
    <t>COOKER 1 DUMPER YELLOW PILOT LIGHT</t>
  </si>
  <si>
    <t>RL7-MLT-107-ZSC-01</t>
  </si>
  <si>
    <t>PRS506111</t>
  </si>
  <si>
    <t>COOKER 1 DUMPER DOWN POSITION</t>
  </si>
  <si>
    <t>RL7-MLT-107-ZSC-02</t>
  </si>
  <si>
    <t>PRS506091</t>
  </si>
  <si>
    <t>COOKER 1 DUMPER UP POSITION</t>
  </si>
  <si>
    <t>RL7-MLT-107-ZSC-03</t>
  </si>
  <si>
    <t>PRS506071</t>
  </si>
  <si>
    <t xml:space="preserve">COOKER 1 DUMPER OVERTRAVEL  </t>
  </si>
  <si>
    <t>RL7-SKD-102-FIT-01</t>
  </si>
  <si>
    <t>COOKER 1 LACTIC ACID FLOW</t>
  </si>
  <si>
    <t>RL7-INTSL-RIO2</t>
  </si>
  <si>
    <t>0 - 100%</t>
  </si>
  <si>
    <t>RL7-SKD-102-FIT-02</t>
  </si>
  <si>
    <t>COOKER 2 LACTIC ACID FLOW</t>
  </si>
  <si>
    <t>RL7-SKD-102-XV-01</t>
  </si>
  <si>
    <t>COOKER 1 LACTIC ACID SUPPLY VALVE OPEN SOLENOID</t>
  </si>
  <si>
    <t>RL7-SKD-102-XV-02</t>
  </si>
  <si>
    <t>COOKER 2 LACTIC ACID SUPPLY VALVE OPEN SOLENOID</t>
  </si>
  <si>
    <t>RL7-SKD-102-ZSC-01</t>
  </si>
  <si>
    <t>COOKER 1 LACTIC ACID SUPPLY VALVE CLOSE LIMIT SWITCH</t>
  </si>
  <si>
    <t>RL7-SKD-102-ZSC-02</t>
  </si>
  <si>
    <t>COOKER 2 LACTIC ACID SUPPLY VALVE CLOSE LIMIT SWITCH</t>
  </si>
  <si>
    <t>RL7-SKD-102-ZSO-01</t>
  </si>
  <si>
    <t>COOKER 1 LACTIC ACID SUPPLY VALVE OPEN LIMIT SWITCH</t>
  </si>
  <si>
    <t>RL7-SKD-102-ZSO-02</t>
  </si>
  <si>
    <t>COOKER 2 LACTIC ACID SUPPLY VALVE OPEN LIMIT SWITCH</t>
  </si>
  <si>
    <t>RL7-MTL-108-PB-01</t>
  </si>
  <si>
    <t>RL7-MLT-108-PB-01</t>
  </si>
  <si>
    <t>PB605011</t>
  </si>
  <si>
    <t>JIC8B</t>
  </si>
  <si>
    <t>COOKER 2 DUMPER E-STOP PUSHBUTTON CH1</t>
  </si>
  <si>
    <t>DG7021</t>
  </si>
  <si>
    <t>COOKER 2 DUMPER E-STOP PUSHBUTTON CH2</t>
  </si>
  <si>
    <t>RL7-CKR-102-PB-02</t>
  </si>
  <si>
    <t>COOKERS PLATFORM E-STOP PUSHBUTTON CH1</t>
  </si>
  <si>
    <t>COOKERS PLATFORM E-STOP PUSHBUTTON CH2</t>
  </si>
  <si>
    <t>RL7-CKR-102-ZSS-03</t>
  </si>
  <si>
    <t>PRS406091</t>
  </si>
  <si>
    <t>COOKER 2 MIXER HATCH CLOSED RFID POSITION SWITCH CH1</t>
  </si>
  <si>
    <t>COOKER 2 MIXER HATCH CLOSED RFID POSITION SWITCH CH2</t>
  </si>
  <si>
    <t>RL7-CKR-102-ZSS-02</t>
  </si>
  <si>
    <t>PRS406021</t>
  </si>
  <si>
    <t>COOKER 2 MIXER COVER CLOSED RFID POSITION SWITCH CH1</t>
  </si>
  <si>
    <t>COOKER 2 MIXER COVER CLOSED RFID POSITION SWITCH CH2</t>
  </si>
  <si>
    <t>RL7-CKR-102-PB-01</t>
  </si>
  <si>
    <t>COOKER 2 E-STOP PB SAFETY INPUT CH1</t>
  </si>
  <si>
    <t>COOKER 2 E-STOP PB SAFETY INPUT CH2</t>
  </si>
  <si>
    <t>RL7-CKR-102-ZSS-01</t>
  </si>
  <si>
    <t>PRS406061</t>
  </si>
  <si>
    <t>COOKER 2 SAFETY GRATE RFID POSITION SWITCH CH1</t>
  </si>
  <si>
    <t>COOKER 2 SAFETY GRATE RFID POSITION SWITCH CH2</t>
  </si>
  <si>
    <t>RL7-CKR-102-ZSS-23A</t>
  </si>
  <si>
    <t>RL7-CKR-102-ZSC-23A</t>
  </si>
  <si>
    <t>SOL406171</t>
  </si>
  <si>
    <t>JIC6B</t>
  </si>
  <si>
    <t>COOKER 2 SAFETY AIR DUMP SOLENOID A STATUS</t>
  </si>
  <si>
    <t>RL7-CKR-102-ZSC-23B</t>
  </si>
  <si>
    <t>COOKER 2 SAFETY AIR DUMP SOLENOID B STATUS</t>
  </si>
  <si>
    <t>RL7-CKR-102-PB-03</t>
  </si>
  <si>
    <t>COOKER 2 COLUMN DUMPER ENTRY REQUEST PB</t>
  </si>
  <si>
    <t>RL7-CKR-102-PB-04</t>
  </si>
  <si>
    <t>COOKER 2 COLUMN DUMPER RESET GATE LOCK PB</t>
  </si>
  <si>
    <t>RL7-CKR-102-ZSS-04</t>
  </si>
  <si>
    <t>COOKER 2 COLUMN DUMPER IN DOWN POSITION SAFETY INPUT 1</t>
  </si>
  <si>
    <t>COOKER 2 COLUMN DUMPER IN DOWN POSITION SAFETY INPUT 2</t>
  </si>
  <si>
    <t>RL7-CKR-102-ZSS-05</t>
  </si>
  <si>
    <t>COOKER 2 COLUMN DUMPER SAFETY GATE ACTIVE SAFETY INPUT 1</t>
  </si>
  <si>
    <t>COOKER 2 COLUMN DUMPER SAFETY GATE ACTIVE SAFETY INPUT 2</t>
  </si>
  <si>
    <t>RL7-CKR-102-XYS-23A</t>
  </si>
  <si>
    <t xml:space="preserve">COOKER 2 SAFETY AIR DUMP SOLENOID A </t>
  </si>
  <si>
    <t>RL7-CKR-102-XYS-23B</t>
  </si>
  <si>
    <t xml:space="preserve">COOKER 2 SAFETY AIR DUMP SOLENOID B </t>
  </si>
  <si>
    <t>RL7-CKR-102-ZSC-21</t>
  </si>
  <si>
    <t>PRS407211</t>
  </si>
  <si>
    <t>COOKER 2 LOCKBAR ENGAGED</t>
  </si>
  <si>
    <t>RL7-CKR-102-ZSO-21</t>
  </si>
  <si>
    <t>PRS407231</t>
  </si>
  <si>
    <t>COOKER 2 LOCKBAR RELEASED</t>
  </si>
  <si>
    <t>RL7-CKR-102-PSL-01</t>
  </si>
  <si>
    <t>PRG407011</t>
  </si>
  <si>
    <t>JIB6B</t>
  </si>
  <si>
    <t>COOKER 2 REGULATOR LOW PRESSURE SWITCH</t>
  </si>
  <si>
    <t>RL7-MLT-108-ZSC-03</t>
  </si>
  <si>
    <t>PRS606071</t>
  </si>
  <si>
    <t>JIB8B</t>
  </si>
  <si>
    <t xml:space="preserve">COOKER 2 DUMPER OVERTRAVEL </t>
  </si>
  <si>
    <t>RL7-MLT-108-ZSC-02</t>
  </si>
  <si>
    <t>PRS606091</t>
  </si>
  <si>
    <t>COOKER 2 DUMPER UP POSITION</t>
  </si>
  <si>
    <t>RL7-MLT-108-ZSC-01</t>
  </si>
  <si>
    <t>PRS606111</t>
  </si>
  <si>
    <t>COOKER 2 DUMPER DOWN POSITION</t>
  </si>
  <si>
    <t>RL7-CKR-102-ZSO-22</t>
  </si>
  <si>
    <t>PRS407191</t>
  </si>
  <si>
    <t xml:space="preserve">COOKER 2 COVER OPEN </t>
  </si>
  <si>
    <t>RL7-CKR-102-PBL-03</t>
  </si>
  <si>
    <t>COOKER 2 COLUMN DUMPER ENTRY REQUEST PB PILOT LIGHT</t>
  </si>
  <si>
    <t>RL7-CKR-102-PBL-04</t>
  </si>
  <si>
    <t>COOKER 2 COLUMN DUMPER RESET GATE LOCK PB PILOT LIGHT</t>
  </si>
  <si>
    <t>RL7-CKR-102-ZSO-20</t>
  </si>
  <si>
    <t>COOKER 2 SAFETY GRATE RELEASED</t>
  </si>
  <si>
    <t>RL7-CKR-102-ZSC-20</t>
  </si>
  <si>
    <t>COOKER 2 SAFETY GRATE ENGAGED</t>
  </si>
  <si>
    <t>RL7-MLT-108-PB-04</t>
  </si>
  <si>
    <t>PB606031</t>
  </si>
  <si>
    <t>COOKER 2 DUMPER STOP PB</t>
  </si>
  <si>
    <t>RL7-MLT-108-PB-03</t>
  </si>
  <si>
    <t>PB606021</t>
  </si>
  <si>
    <t xml:space="preserve">COOKER 2 DUMPER DOWN PB </t>
  </si>
  <si>
    <t>RL7-MLT-108-PB-02</t>
  </si>
  <si>
    <t>PB606011</t>
  </si>
  <si>
    <t xml:space="preserve">COOKER 2 DUMPER UP PB </t>
  </si>
  <si>
    <t>RL7-CKR-102-ZSO-18</t>
  </si>
  <si>
    <t>PRS407111</t>
  </si>
  <si>
    <t>COOKER 2 LEFT DISCHARGE VALVE OPEN</t>
  </si>
  <si>
    <t>RL7-CKR-102-ZSC-18</t>
  </si>
  <si>
    <t>COOKER 2 LEFT DISCHARGE VALVE CLOSE</t>
  </si>
  <si>
    <t>RL7-CKR-102-ZSO-19</t>
  </si>
  <si>
    <t>PRS407131</t>
  </si>
  <si>
    <t>COOKER 2 RIGHT DISCHARGE VALVE OPEN</t>
  </si>
  <si>
    <t>RL7-CKR-102-ZSC-19</t>
  </si>
  <si>
    <t>COOKER 2 RIGHT DISCHARGE VALVE CLOSE</t>
  </si>
  <si>
    <t>RL7-MTL-108-PBL-01</t>
  </si>
  <si>
    <t>RL7-MLT-108-PBL-01</t>
  </si>
  <si>
    <t xml:space="preserve">COOKER 2 DUMPER E-STOP PB PILOT LIGHT </t>
  </si>
  <si>
    <t>RL7-MLT-108-PL-01R</t>
  </si>
  <si>
    <t>COOKER 2 DUMPER RED PILOT LIGHT</t>
  </si>
  <si>
    <t>RL7-MLT-108-PL-01Y</t>
  </si>
  <si>
    <t>COOKER 2 DUMPER YELLOW PILOT LIGHT</t>
  </si>
  <si>
    <t>RL7-MLT-108-PL-01G</t>
  </si>
  <si>
    <t>COOKER 2 DUMPER GREEN PILOT LIGHT</t>
  </si>
  <si>
    <t>RL7-CKR-102-PBL-01</t>
  </si>
  <si>
    <t>RL7-CKR-102-PBL-02</t>
  </si>
  <si>
    <t>COOKER 2 E-STOP PB PILOT LIGHT</t>
  </si>
  <si>
    <t>RL7-CKR-102-PL-01R</t>
  </si>
  <si>
    <t>COOKER 2 RED PILOT LIGHT</t>
  </si>
  <si>
    <t>RL7-CKR-102-PL-01Y</t>
  </si>
  <si>
    <t>COOKER 2 YELLOW PILOT LIGHT</t>
  </si>
  <si>
    <t>RL7-CKR-102-PL-01G</t>
  </si>
  <si>
    <t>COOKER 2 GREEN PILOT LIGHT</t>
  </si>
  <si>
    <t>COOKERS PLATFORM E-STOP PB PILOT LIGHT</t>
  </si>
  <si>
    <t>RL7-CKR-102-XY-22A</t>
  </si>
  <si>
    <t>SOL407041</t>
  </si>
  <si>
    <t xml:space="preserve">COOKER 2 COVER OPEN SOLENOID </t>
  </si>
  <si>
    <t>RL7-CKR-102-XY-22B</t>
  </si>
  <si>
    <t xml:space="preserve">COOKER 2 COVER CLOSE SOLENOID </t>
  </si>
  <si>
    <t>RL7-CKR-102-XY-20A</t>
  </si>
  <si>
    <t>SOL407061</t>
  </si>
  <si>
    <t>COOKER 2 SAFETY GRATE ENGAGE SOLENOID</t>
  </si>
  <si>
    <t>RL7-CKR-102-XY-20B</t>
  </si>
  <si>
    <t>COOKER 2 SAFETY GRATE RELEASE SOLENOID</t>
  </si>
  <si>
    <t>RL7-CKR-102-XY-18A</t>
  </si>
  <si>
    <t>SOL407071</t>
  </si>
  <si>
    <t>COOKER 2 LEFT DISCHARGE VALVE OPEN SOLENOID</t>
  </si>
  <si>
    <t>RL7-CKR-102-XY-18B</t>
  </si>
  <si>
    <t>COOKER 2 LEFT DISCHARGE VALVE CLOSE SOLENOID</t>
  </si>
  <si>
    <t>RL7-CKR-102-XY-19A</t>
  </si>
  <si>
    <t>SOL407161</t>
  </si>
  <si>
    <t>COOKER 2 RIGHT DISCHARGE VALVE OPEN SOLENOID</t>
  </si>
  <si>
    <t>RL7-CKR-102-XY-19B</t>
  </si>
  <si>
    <t>COOKER 2 RIGHT DISCHARGE VALVE CLOSE SOLENOID</t>
  </si>
  <si>
    <t>RL7-CNV-106-XV-08</t>
  </si>
  <si>
    <t>RL7-CKR-102-XY-24</t>
  </si>
  <si>
    <t>COOKER 2 AIR PURGE SOLENOID VALVE</t>
  </si>
  <si>
    <t>RL7-CKR-102-TIT-01</t>
  </si>
  <si>
    <t xml:space="preserve">COOKER 2 MIXER SIDE TEMPERATURE TRANSMITTER </t>
  </si>
  <si>
    <t>RL7-CKR-102-TIT-02</t>
  </si>
  <si>
    <t>RL7-CKR-102-ZSO-25</t>
  </si>
  <si>
    <t>COOKER 2 CIPS MIX PROOF VALVE OPEN LIMIT SWITCH</t>
  </si>
  <si>
    <t>RL7-CKR-102-ZSC-25</t>
  </si>
  <si>
    <t>COOKER 2 CIPS MIX PROOF VALVE CLOSED LIMIT SWITCH</t>
  </si>
  <si>
    <t>RL7-CKR-102-XV-25</t>
  </si>
  <si>
    <t>COOKER 2 CIPS MIX PROOF VALVE OPEN SOLENOID</t>
  </si>
  <si>
    <t>RL7-CKR-102-FVI-02</t>
  </si>
  <si>
    <t>COOKER 2 CIPS CONTROL VALVE POSITION FEEDBACK</t>
  </si>
  <si>
    <t>RL7-CKR-102-FIT-02</t>
  </si>
  <si>
    <t>COOKER 2 CIPS FLOW</t>
  </si>
  <si>
    <t>RL7-CKR-102-FCV-02</t>
  </si>
  <si>
    <t>COOKER 2 CONTROL VALVE</t>
  </si>
  <si>
    <t>RL7-MLT-108.M1</t>
  </si>
  <si>
    <t>COOKER 2 COLUMN DUMPER ENABLE</t>
  </si>
  <si>
    <t>RL7-CKR-101-XY-02</t>
  </si>
  <si>
    <t>RL7-CKR-101-XV-02</t>
  </si>
  <si>
    <t>SOL307091</t>
  </si>
  <si>
    <t>COOKER 1 STEAM VALVES 1-8</t>
  </si>
  <si>
    <t>DG7022</t>
  </si>
  <si>
    <t>RL7-CKR-101-XY-10</t>
  </si>
  <si>
    <t>RL7-CKR-101-XV-10</t>
  </si>
  <si>
    <t>SOL307101</t>
  </si>
  <si>
    <t>COOKER 1 STEAM VALVES 9-16</t>
  </si>
  <si>
    <t>RL7-CKR-102-XY-02</t>
  </si>
  <si>
    <t>RL7-CKR-102-XV-02</t>
  </si>
  <si>
    <t>SOL407091</t>
  </si>
  <si>
    <t xml:space="preserve">COOKER 2 STEAM VALVES 1-8  </t>
  </si>
  <si>
    <t>RL7-CKR-102-XY-10</t>
  </si>
  <si>
    <t>RL7-CKR-102-XV-10</t>
  </si>
  <si>
    <t>SOL407101</t>
  </si>
  <si>
    <t xml:space="preserve">COOKER 2 STEAM VALVES 9-16  </t>
  </si>
  <si>
    <t>RL7-PMP-104-ZSO-01</t>
  </si>
  <si>
    <t>COOKER 1 PRODUCT TO METAL DETECTOR VALVE OPEN LIMIT SWITCH</t>
  </si>
  <si>
    <t>DG7023</t>
  </si>
  <si>
    <t>RL7-PMP-104-ZSC-01</t>
  </si>
  <si>
    <t>COOKER 1 PRODUCT TO METAL DETECTOR VALVE CLOSED LIMIT SWITCH</t>
  </si>
  <si>
    <t>RL7-MDT-102-ZSO-02</t>
  </si>
  <si>
    <t>PIPELINE METAL DETECTOR PRODUCT SUPPLY VALVE OPEN LIMIT SWITCH</t>
  </si>
  <si>
    <t>RL7-MDT-102-ZSC-02</t>
  </si>
  <si>
    <t>PIPELINE METAL DETECTOR PRODUCT SUPPLY VALVE CLOSED LIMIT SWITCH</t>
  </si>
  <si>
    <t>RL7-PMP-105-ZSO-01</t>
  </si>
  <si>
    <t>COOKER 2 PRODUCT TO METAL DETECTOR VALVE OPEN LIMIT SWITCH</t>
  </si>
  <si>
    <t>RL7-PMP-105-ZSC-01</t>
  </si>
  <si>
    <t>COOKER 2 PRODUCT TO METAL DETECTOR VALVE CLOSED LIMIT SWITCH</t>
  </si>
  <si>
    <t>RL7-PMP-104-XV-01</t>
  </si>
  <si>
    <t>COOKER 1 PRODUCT TO MTD VALVE OPEN SOLENOID</t>
  </si>
  <si>
    <t>RL7-PMP-105-XV-01</t>
  </si>
  <si>
    <t>COOKER 2 PRODUCT TO MTD VALVE OPEN SOLENOID</t>
  </si>
  <si>
    <t>RL7-AGC-201-ZSS-01</t>
  </si>
  <si>
    <t>PRS1106021</t>
  </si>
  <si>
    <t>DISCHARGE AUGER CART SAFETY GRATE RFID POSITION SWITCH SAFETY INPUT CH1</t>
  </si>
  <si>
    <t>DG7030</t>
  </si>
  <si>
    <t>DISCHARGE AUGER CART SAFETY GRATE RFID POSITION SWITCH SAFETY INPUT CH2</t>
  </si>
  <si>
    <t>RL7-AGC-201-ZSS-03</t>
  </si>
  <si>
    <t>PRS1106061</t>
  </si>
  <si>
    <t>DISCHARGE AUGER CART PRESSURE TUBE RFID POSITION SWITCH SAFETY INPUT CH1</t>
  </si>
  <si>
    <t>DISCHARGE AUGER CART PRESSURE TUBE RFID POSITION SWITCH SAFETY INPUT CH2</t>
  </si>
  <si>
    <t>RL7-AGC-201-PB-01</t>
  </si>
  <si>
    <t>PB1106191</t>
  </si>
  <si>
    <t>OS13A</t>
  </si>
  <si>
    <t xml:space="preserve">DISCHARGE AUGER CART E-STOP PUSHBUTTON SAFETY INPUT CH1 </t>
  </si>
  <si>
    <t>RL7-AGC-201-ZSC-04A</t>
  </si>
  <si>
    <t>SOL1106251</t>
  </si>
  <si>
    <t>DISCHARGE AUGER CART SAFETY AIR DUMP SOLENOID STATUS SAFETY INPUT CH1</t>
  </si>
  <si>
    <t>RL7-AGC-201-ZSC-04B</t>
  </si>
  <si>
    <t>DISCHARGE AUGER CART SAFETY AIR DUMP SOLENOID STATUS SAFETY INPUT CH2</t>
  </si>
  <si>
    <t>RL7-AGC-201-XYS-04A</t>
  </si>
  <si>
    <t>SOL1106251A</t>
  </si>
  <si>
    <t>DISCHARGE AUGER CART SAFETY AIR DUMP SOLENOID A</t>
  </si>
  <si>
    <t>RL7-AGC-201-XYS-04B</t>
  </si>
  <si>
    <t>SOL1106251B</t>
  </si>
  <si>
    <t>DISCHARGE AUGER CART SAFETY AIR DUMP SOLENOID B</t>
  </si>
  <si>
    <t>RL7-AGC-201-ZSC-01</t>
  </si>
  <si>
    <t>PRS1107151</t>
  </si>
  <si>
    <t xml:space="preserve">DISCHARGE AUGER CART LOCKBAR ENGAGED  </t>
  </si>
  <si>
    <t>RL7-AGC-201-ZSO-01</t>
  </si>
  <si>
    <t>PRS1107171</t>
  </si>
  <si>
    <t xml:space="preserve">DISCHARGE AUGER CART LOCKBAR RELEASED  </t>
  </si>
  <si>
    <t>RL7-AGC-201-HS-01A</t>
  </si>
  <si>
    <t>SS1107221</t>
  </si>
  <si>
    <t xml:space="preserve">DISCHARGE AUGER CART OPEN COVER SELECTOR SWITCH </t>
  </si>
  <si>
    <t>RL7-AGC-201-HS-01B</t>
  </si>
  <si>
    <t xml:space="preserve">DISCHARGE AUGER CART CLOSE COVER SELECTOR SWITCH </t>
  </si>
  <si>
    <t>RL7-AGC-201-PB-02</t>
  </si>
  <si>
    <t>PB1107241</t>
  </si>
  <si>
    <t xml:space="preserve">DISCHARGE AUGER CART PUMP JOG PUSHBUTTON </t>
  </si>
  <si>
    <t>RL7-AGC-201-ZSO-08</t>
  </si>
  <si>
    <t>DISCHARGE AUGER CART MIX PROOF VALVE TO CIP SKID IN PROCESS POSITION</t>
  </si>
  <si>
    <t>RL7-AGC-201-ZSC-08</t>
  </si>
  <si>
    <t>DISCHARGE AUGER CART MIX PROOF VALVE TO CIP SKID IN SANITATION POSITION</t>
  </si>
  <si>
    <t>RL7-AGC-201-ZSO-09</t>
  </si>
  <si>
    <t>DISCHARGE AUGER CART MIX PROOF VALVE TO ROLLS MACHINE IN PROCESS POSITION</t>
  </si>
  <si>
    <t>RL7-AGC-201-ZSC-03</t>
  </si>
  <si>
    <t>RL7-AGC-201-ZSC-09</t>
  </si>
  <si>
    <t>DISCHARGE AUGER CART MIX PROOF VALVE TO ROLLS MACHINE IN SANITATION POSITION</t>
  </si>
  <si>
    <t>RL7-AGC-201-ZSC-04</t>
  </si>
  <si>
    <t>RL7-AGC-201-ZSO-10</t>
  </si>
  <si>
    <t>DISCHARGE AUGER CART MIX PROOF VALVE TO CIP SKID IN SNITATION POSITION</t>
  </si>
  <si>
    <t>RL7-AGC-201-ZSC-10</t>
  </si>
  <si>
    <t>RL7-AGC-201-ZSO-11</t>
  </si>
  <si>
    <t>DISCHARGE AUGER CART MIX PROOF VALVE FROM PIPELINE MAGNET IN PROCESS POSITION</t>
  </si>
  <si>
    <t>RL7-AGC-201-ZSC-11</t>
  </si>
  <si>
    <t>DISCHARGE AUGER CART MIX PROOF VALVE FROM PIPELINE MAGNET IN SANITATION POSITION</t>
  </si>
  <si>
    <t>RL7-AGC-201-ZSO-25</t>
  </si>
  <si>
    <t>DISCHARGE AUGER CART MIX PROOF VALVE FROM CIP SKID IN SNITATION POSITION</t>
  </si>
  <si>
    <t>RL7-AGC-201-ZSC-25</t>
  </si>
  <si>
    <t>DISCHARGE AUGER CART MIX PROOF VALVE FROM CIP SKID IN PROCESS POSITION</t>
  </si>
  <si>
    <t>RL7-AGC-201-PBL-01</t>
  </si>
  <si>
    <t xml:space="preserve">DISCHARGE AUGER CART E-STOP PB PILOT LIGHT </t>
  </si>
  <si>
    <t>RL7-AGC-201-XY-02</t>
  </si>
  <si>
    <t>RL7-AGC-201-XY-02A</t>
  </si>
  <si>
    <t>SOL1107021</t>
  </si>
  <si>
    <t>DISCHARGE AUGER CART COVER OPEN SOLENOID</t>
  </si>
  <si>
    <t>RL7-AGC-201-XY-02B</t>
  </si>
  <si>
    <t>DISCHARGE AUGER CART COVER CLOSE SOLENOID</t>
  </si>
  <si>
    <t>RL7-AGC-201-XV-08</t>
  </si>
  <si>
    <t>RL7-AGC-201-XV-09</t>
  </si>
  <si>
    <t>RL7-AGC-201-XV-10</t>
  </si>
  <si>
    <t>RL7-AGC-201-XV-11</t>
  </si>
  <si>
    <t>RL7-AGC-201-XV-25</t>
  </si>
  <si>
    <t>RL7-AGC-201-AH-01</t>
  </si>
  <si>
    <t>DISCHARGE AUGER CART ALARM HORN</t>
  </si>
  <si>
    <t>RL7-AGC-201-PL-01R</t>
  </si>
  <si>
    <t xml:space="preserve">DISCHARGE AUGER CART RED PILOT LIGHT  </t>
  </si>
  <si>
    <t>RL7-AGC-201-PL-01Y</t>
  </si>
  <si>
    <t xml:space="preserve">DISCHARGE AUGER CART YELLOW PILOT LIGHT  </t>
  </si>
  <si>
    <t>RL7-AGC-201-PL-01G</t>
  </si>
  <si>
    <t xml:space="preserve">DISCHARGE AUGER CART GREEN PILOT LIGHT  </t>
  </si>
  <si>
    <t>RL7-AGC-201-FIT-02</t>
  </si>
  <si>
    <t>DISCHARGE AUGER CART CIPS FLOW</t>
  </si>
  <si>
    <t>RL7-AGC-201-FVI-02</t>
  </si>
  <si>
    <t>DISCHARGE AUGER CART CIPS CONTROL VALVE POSITION FEEDBACK</t>
  </si>
  <si>
    <t xml:space="preserve">DISCHARGE AUGER CART SIDE TEMPERATURE TRANSMITTER </t>
  </si>
  <si>
    <t>RL7-AGC-201-FCV-02</t>
  </si>
  <si>
    <t>DISCHARGE AUGER CART CIPS FLOW CONTROL VALVE</t>
  </si>
  <si>
    <t>RL7-PMP-208-FVl-01</t>
  </si>
  <si>
    <t>COOLING WATER JACKET CHR CONTROL VALVE POSITION FEEDBACK</t>
  </si>
  <si>
    <t>RL7-PMP-208-FCV-01</t>
  </si>
  <si>
    <t>COOLING WATER JACKET CHR CONTROL VALVE</t>
  </si>
  <si>
    <t>RL7-CNV-204-PB-01</t>
  </si>
  <si>
    <t>SERPENTINE INFEED CONVEYOR #2 E-STOP SAFETY INPUT CH1</t>
  </si>
  <si>
    <t>DG7032</t>
  </si>
  <si>
    <t>SERPENTINE INFEED CONVEYOR #2 E-STOP SAFETY INPUT CH2</t>
  </si>
  <si>
    <t>RL7-CNV-204-ZEC-01</t>
  </si>
  <si>
    <t xml:space="preserve">INFEED COUNT PE  </t>
  </si>
  <si>
    <t>RL7-CNV-204-ZEC-02</t>
  </si>
  <si>
    <t>CAM SWITCH</t>
  </si>
  <si>
    <t>RL7-CNV-204-PSL-01</t>
  </si>
  <si>
    <t>AIR PRESSURE GOOD</t>
  </si>
  <si>
    <t>RL7-CNV-204-PB-03</t>
  </si>
  <si>
    <t>INFEED LOADER JAM REMOVAL JOG PUSHBUTTON</t>
  </si>
  <si>
    <t>RL7-CNV-204-XY-01</t>
  </si>
  <si>
    <t xml:space="preserve">INFEED BRAKE 1 ADVANCE SOLENOID </t>
  </si>
  <si>
    <t>RL7-CNV-204-XY-02</t>
  </si>
  <si>
    <t xml:space="preserve">INFEED BRAKE 2 ADVANCE SOLENOID </t>
  </si>
  <si>
    <t>RL7-CNV-204-XY-03</t>
  </si>
  <si>
    <t>INFEED LOADER EXTEND SOLENOID</t>
  </si>
  <si>
    <t>RL7-CNV-204-XY-04</t>
  </si>
  <si>
    <t>INFEED LOADER RETRACT SOLENOID</t>
  </si>
  <si>
    <t>RL7-CNV-204-PBL-01</t>
  </si>
  <si>
    <t>SERPENTINE INFEED CONVEYOR 2 E-STOP PB PILOT LIGHT</t>
  </si>
  <si>
    <t>RL7-CNV-204-PB-02</t>
  </si>
  <si>
    <t>CHILLING PAUSE BUTTON</t>
  </si>
  <si>
    <t>RL7-CHR-201-PB-02</t>
  </si>
  <si>
    <t>RL7-CHR-201-PB-01</t>
  </si>
  <si>
    <t>SERPENTINE E-STOP 1 SAFETY INPUT CH1</t>
  </si>
  <si>
    <t>DG7033</t>
  </si>
  <si>
    <t>SERPENTINE E-STOP 1 SAFETY INPUT CH2</t>
  </si>
  <si>
    <t>RL7-CHR-201-PB-04</t>
  </si>
  <si>
    <t>SERPENTINE E-STOP 2 SAFETY INPUT CH1</t>
  </si>
  <si>
    <t>SERPENTINE E-STOP 2 SAFETY INPUT CH2</t>
  </si>
  <si>
    <t>RL7-CHR-201-ZSC-01L</t>
  </si>
  <si>
    <t>SERPENTINE CHILLER JAM SENSOR</t>
  </si>
  <si>
    <t>RL7-CHR-201-ZSC-02L</t>
  </si>
  <si>
    <t>RL7-CHR-201-ZSC-03L</t>
  </si>
  <si>
    <t>RL7-CHR-201-ZSC-01R</t>
  </si>
  <si>
    <t>RL7-CHR-201-ZSC-02R</t>
  </si>
  <si>
    <t>RL7-CHR-201-ZSC-03R</t>
  </si>
  <si>
    <t>RL7-PMP-208-ZSO-01</t>
  </si>
  <si>
    <t>COOLING WATER JACKET CHS VALVE OPEN LIMIT SWITCH</t>
  </si>
  <si>
    <t>RL7-PMP-208-ZSC-01</t>
  </si>
  <si>
    <t>COOLING WATER JACKET CHS VALVE CLOSED LIMIT SWITCH</t>
  </si>
  <si>
    <t>RL7-FTR-205-ZSO-01</t>
  </si>
  <si>
    <t>SERPENTINE ZONE 2A FILTER PURGE VALVE OPEN LIMIT SWITCH</t>
  </si>
  <si>
    <t>RL7-FTR-205-ZSC-01</t>
  </si>
  <si>
    <t>SERPENTINE ZONE 2A FILTER PURGE VALVE CLOSED LIMIT SWITCH</t>
  </si>
  <si>
    <t>RL7-CHR-201-PL-01R</t>
  </si>
  <si>
    <t>SERPENTINE RED STACK LIGHT</t>
  </si>
  <si>
    <t>RL7-CHR-201-PL-01Y</t>
  </si>
  <si>
    <t>SERPENTINE YELLOW STACK LIGHT</t>
  </si>
  <si>
    <t>RL7-CHR-201-PL-01G</t>
  </si>
  <si>
    <t>SERPENTINE GREEN STACK LIGHT</t>
  </si>
  <si>
    <t>RL7-FTR-205-XV-01</t>
  </si>
  <si>
    <t>SERPENTINE ZONE 2A FILTER PURGE VALVE OPEN SOLENOID</t>
  </si>
  <si>
    <t>RL7-PMP-210-XC-01</t>
  </si>
  <si>
    <t>ZONE 1 DOSING PUMP REMOTE START / STOP</t>
  </si>
  <si>
    <t>RL7-PMP-209-XC-01</t>
  </si>
  <si>
    <t>ZONE 2 DOSING PUMP REMOTE START / STOP</t>
  </si>
  <si>
    <t>RL7-CHR-201-PBL-02</t>
  </si>
  <si>
    <t>RL7-CHR-201-PBL-01</t>
  </si>
  <si>
    <t xml:space="preserve">SERPENTINE E-STOP 1 PB LIGHT </t>
  </si>
  <si>
    <t>RL7-CHR-201-PBL-04</t>
  </si>
  <si>
    <t xml:space="preserve">SERPENTINE E-STOP 2 PB LIGHT </t>
  </si>
  <si>
    <t>RL7-PMP-208-XV-01</t>
  </si>
  <si>
    <t>COOLING WATER JACKET CHS VALVE OPEN SOLENOID</t>
  </si>
  <si>
    <t>RL7-CHR-201-PIT-01</t>
  </si>
  <si>
    <t>SERPENTINE ZONE 1 LEVEL</t>
  </si>
  <si>
    <t>0 - 1 PSI</t>
  </si>
  <si>
    <t>RL7-CHR-201-TIT-01</t>
  </si>
  <si>
    <t xml:space="preserve">SERPENTINE ZONE 1 SUMP TEMPERATURE  </t>
  </si>
  <si>
    <t>RL7-PMP-203-PIT-01</t>
  </si>
  <si>
    <t>SERPENTINE ZONE 1 CHR PRESSURE</t>
  </si>
  <si>
    <t>0 - 150 PSI</t>
  </si>
  <si>
    <t>RL7-PMP-204-PIT-01</t>
  </si>
  <si>
    <t>SERPENTINE ZONE 2A RECIRC PRESSURE</t>
  </si>
  <si>
    <t>RL7-CHR-201-PIT-02</t>
  </si>
  <si>
    <t>SERPENTINE ZONE 2A LEVEL</t>
  </si>
  <si>
    <t>RL7-CHR-201-TIT-02</t>
  </si>
  <si>
    <t>SERPENTINE ZONE 2A SUMP TEMPERATURE</t>
  </si>
  <si>
    <t>0 - 100 F</t>
  </si>
  <si>
    <t>RL7-PMP-203-TIT-01</t>
  </si>
  <si>
    <t>SERPENTINE ZONE 1 CHS TEMPERATURE</t>
  </si>
  <si>
    <t>RL7-PMP-208-PIT-01</t>
  </si>
  <si>
    <t>COOLING WATER JACKET CHS PRESSURE</t>
  </si>
  <si>
    <t>RL7-PMP-208-TIT-01</t>
  </si>
  <si>
    <t>COOLING WATER JACKET CHS TEMPERATURE</t>
  </si>
  <si>
    <t>RL7-FTR-205-PT-01</t>
  </si>
  <si>
    <t>SERPENTINE ZONE 2A FILTER PURGE INLET PRESSURE</t>
  </si>
  <si>
    <t>RL7-FTR-205-PT-02</t>
  </si>
  <si>
    <t>SERPENTINE ZONE 2A FILTER PURGE OUTLET PRESSURE</t>
  </si>
  <si>
    <t>RL7-PMP-203-FIT-01</t>
  </si>
  <si>
    <t>SERPENTINE ZONE 1 CHR FLOW</t>
  </si>
  <si>
    <t>RL7-PMP-204-FIT-01</t>
  </si>
  <si>
    <t>SERPENTINE ZONE 2A RECIRC FLOW</t>
  </si>
  <si>
    <t>RL7-PMP-208-FIT-01</t>
  </si>
  <si>
    <t>COOLING WATER JACKET CHS FLOW</t>
  </si>
  <si>
    <t>RL7-CHR-201-PB-05</t>
  </si>
  <si>
    <t>RL7-CHR-201-PB-03</t>
  </si>
  <si>
    <t>SERPENTINE E-STOP 3 SAFETY INPUT CH1</t>
  </si>
  <si>
    <t>RL7-SERP-RIO2</t>
  </si>
  <si>
    <t>SERPENTINE E-STOP 3 SAFETY INPUT CH2</t>
  </si>
  <si>
    <t>RL7-CHR-201-PB-06</t>
  </si>
  <si>
    <t>SERPENTINE E-STOP 4 SAFETY INPUT CH1</t>
  </si>
  <si>
    <t>SERPENTINE E-STOP 4 SAFETY INPUT CH2</t>
  </si>
  <si>
    <t>RL7-CHR-201-PB-07</t>
  </si>
  <si>
    <t>SERPENTINE E-STOP 5 SAFETY INPUT CH1</t>
  </si>
  <si>
    <t>SERPENTINE E-STOP 5 SAFETY INPUT CH2</t>
  </si>
  <si>
    <t>RL7-CHR-201-ZSC-04L</t>
  </si>
  <si>
    <t>RL7-FTR-207-ZSO-01</t>
  </si>
  <si>
    <t>SERPENTINE ZONE 2B FILTER PURGE VALVE OPEN LIMIT SWITCH</t>
  </si>
  <si>
    <t>RL7-FTR-207-ZSC-01</t>
  </si>
  <si>
    <t>SERPENTINE ZONE 2B FILTER PURGE VALVE CLOSED LIMIT SWITCH</t>
  </si>
  <si>
    <t>RL7-CHR-201-ZSC-04R</t>
  </si>
  <si>
    <t>RL7-FTR-207-XV-01</t>
  </si>
  <si>
    <t>SERPENTINE ZONE 2B FILTER PURGE VALVE OPEN SOLENOID</t>
  </si>
  <si>
    <t>RL7-CHR-201-PBL-05</t>
  </si>
  <si>
    <t>RL7-CHR-201-PBL-03</t>
  </si>
  <si>
    <t xml:space="preserve">SERPENTINE E-STOP 3 PB LIGHT </t>
  </si>
  <si>
    <t>RL7-CHR-201-PBL-06</t>
  </si>
  <si>
    <t xml:space="preserve">SERPENTINE E-STOP 4 PB LIGHT </t>
  </si>
  <si>
    <t>RL7-CHR-201-PBL-07</t>
  </si>
  <si>
    <t xml:space="preserve">SERPENTINE E-STOP 5 PB LIGHT </t>
  </si>
  <si>
    <t>RL7-PMP-205-TIT-01</t>
  </si>
  <si>
    <t>SERPENTINE ZONE 2A CHS TEMPERATURE</t>
  </si>
  <si>
    <t>RL7-PMP-205-PIT-01</t>
  </si>
  <si>
    <t>SERPENTINE ZONE 2A CHR PRESSURE</t>
  </si>
  <si>
    <t>RL7-PMP-206-PIT-01</t>
  </si>
  <si>
    <t>SERPENTINE ZONE 2B RECIRC PRESSURE</t>
  </si>
  <si>
    <t>RL7-PMP-206-TIT-01</t>
  </si>
  <si>
    <t>SERPENTINE ZONE 2B CHS TEMPERATURE</t>
  </si>
  <si>
    <t>RL7-PMP-207-PIT-01</t>
  </si>
  <si>
    <t>SERPENTINE ZONE 2B CHR PRESSURE</t>
  </si>
  <si>
    <t>RL7-FTR-207-PT-01</t>
  </si>
  <si>
    <t>SERPENTINE ZONE 2B FILTER INLET PRESSURE</t>
  </si>
  <si>
    <t>RL7-FTR-207-PT-02</t>
  </si>
  <si>
    <t>SERPENTINE ZONE 2B FILTER OUTLET PRESSURE</t>
  </si>
  <si>
    <t>RL7-CHR-201-TIT-03</t>
  </si>
  <si>
    <t>SERPENTINE ZONE 2B BASIN TEMPERATURE</t>
  </si>
  <si>
    <t>RL7-PMP-205-FIT-01</t>
  </si>
  <si>
    <t>SERPENTINE ZONE 2A CHR FLOW</t>
  </si>
  <si>
    <t>0 - 2425 GPM</t>
  </si>
  <si>
    <t>RL7-PMP-206-FIT-01</t>
  </si>
  <si>
    <t>SERPENTINE ZONE 2B RECIRC FLOW</t>
  </si>
  <si>
    <t>RL7-PMP-207-FIT-01</t>
  </si>
  <si>
    <t>SERPENTINE ZONE 2B CHR FLOW</t>
  </si>
  <si>
    <t>RL7-CHR-201-ZSC-03</t>
  </si>
  <si>
    <t>RL7-CHR-201-ZSO-03</t>
  </si>
  <si>
    <t>SERPENTINE ZONE 1 MAKEUP WATER VALVE OPEN LIMIT SWITCH</t>
  </si>
  <si>
    <t>SERPENTINE ZONE 1 MAKEUP WATER VALVE CLOSED LIMIT SWITCH</t>
  </si>
  <si>
    <t>RL7-CHR-201-ZSC-04</t>
  </si>
  <si>
    <t>RL7-CHR-201-ZSO-04</t>
  </si>
  <si>
    <t>SERPENTINE ZONE 2A MAKEUP WATER VALVE OPEN LIMIT SWITCH</t>
  </si>
  <si>
    <t>SERPENTINE ZONE 2A MAKEUP WATER VALVE CLOSED LIMIT SWITCH</t>
  </si>
  <si>
    <t>RL7-CNV-401-XY-01</t>
  </si>
  <si>
    <t>RL7-CHR-201-XV-03</t>
  </si>
  <si>
    <t>SERPENTINE ZONE 1 MAKEUP WATER VALVE OPEN SOLENOID</t>
  </si>
  <si>
    <t>RL7-CNV-404-XY-01</t>
  </si>
  <si>
    <t>RL7-CHR-201-XV-04</t>
  </si>
  <si>
    <t>SERPENTINE ZONE 2A MAKEUP WATER VALVE OPEN SOLENOID</t>
  </si>
  <si>
    <t>RL7-CHR-201-FVI-01</t>
  </si>
  <si>
    <t>SERPENTINE ZONE 1 FLOW CONTROL VALVE POSITION FEEDBACK</t>
  </si>
  <si>
    <t>HX / LA</t>
  </si>
  <si>
    <t>RL7-CHR-201-FVI-02</t>
  </si>
  <si>
    <t>SERPENTINE ZONE 2A PCW FLOW CONTROL VALVE POSITION FEEDBACK</t>
  </si>
  <si>
    <t>RL7-CHR-201-FCV-01</t>
  </si>
  <si>
    <t>SERPENTINE ZONE 1 PCW CONTROL VALVE</t>
  </si>
  <si>
    <t>RL7-CHR-201-FCV-02</t>
  </si>
  <si>
    <t>SERPENTINE ZONE 2 PCW CONTROL VALVE</t>
  </si>
  <si>
    <t>RL7-CNV-205-PB-01</t>
  </si>
  <si>
    <t>SERPENTINE OUTFEED CONVEYOR E-STOP PULL ROPE SAFETY INPUT CH1</t>
  </si>
  <si>
    <t>DG7034</t>
  </si>
  <si>
    <t>SERPENTINE OUTFEED CONVEYOR E-STOP PULL ROPE SAFETY INPUT CH2</t>
  </si>
  <si>
    <t>RL7-CNV-205-ZEC-01</t>
  </si>
  <si>
    <t xml:space="preserve">DISCHARGE COUNT PE  </t>
  </si>
  <si>
    <t>RL7-CNV-205-ZEC-02</t>
  </si>
  <si>
    <t>DISCHARGE CONVEYOR BLOCKED PE</t>
  </si>
  <si>
    <t>RL7-CNV-205-XY-01</t>
  </si>
  <si>
    <t>SERPENTINE DISCHARGE CONVEYOR 1 BACKSTOP RAISE SOLENOID</t>
  </si>
  <si>
    <t>RL7-CNV-205-XY-02</t>
  </si>
  <si>
    <t>SERPENTINE DISCHARGE CONVEYOR 1 BACKSTOP LOWER SOLENOID</t>
  </si>
  <si>
    <t>RL7-CNV-401-ZSO-01</t>
  </si>
  <si>
    <t>INSPECTION CONVEYOR REJECT ARM 1 RETRACTED</t>
  </si>
  <si>
    <t>RL7-PKOUT-RIO1</t>
  </si>
  <si>
    <t>RL7-CNV-401-ZSC-01</t>
  </si>
  <si>
    <t>INSPECTION CONVEYOR REJECT ARM 1 EXTENDED</t>
  </si>
  <si>
    <t>RL7-CNV-401-ZSO-02</t>
  </si>
  <si>
    <t>INSPECTION CONVEYOR REJECT ARM 2 RETRACTED</t>
  </si>
  <si>
    <t>RL7-CNV-401-ZSC-02</t>
  </si>
  <si>
    <t>INSPECTION CONVEYOR REJECT ARM 2 EXTENDED</t>
  </si>
  <si>
    <t>RL7-CNV-401-PB-01</t>
  </si>
  <si>
    <t>SECONDARY PACKAGING PAUSE BUTTON</t>
  </si>
  <si>
    <t>INSPECTION CONVEYOR REJECT ARMS 1 &amp; 2 SOLENOID VALVE</t>
  </si>
  <si>
    <t>RL7-CNV-404-ZSO-01</t>
  </si>
  <si>
    <t>CASE PACKER INFEED CONVEYOR 1 REJECT ARM 1 RETRACTED</t>
  </si>
  <si>
    <t>DG7040</t>
  </si>
  <si>
    <t>RL7-CNV-404-ZSC-01</t>
  </si>
  <si>
    <t>CASE PACKER INFEED CONVEYOR 1 REJECT ARM 1 EXTENDED</t>
  </si>
  <si>
    <t>RL7-CNV-404-ZSO-02</t>
  </si>
  <si>
    <t>CASE PACKER INFEED CONVEYOR 1 REJECT ARM 2 RETRACTED</t>
  </si>
  <si>
    <t>RL7-CNV-404-ZSC-02</t>
  </si>
  <si>
    <t>CASE PACKER INFEED CONVEYOR 1 REJECT ARM 2 EXTENDED</t>
  </si>
  <si>
    <t>CASE PACKER INFEED CONVEYOR 1 REJECT ARMS 1 &amp; 2 SOLENOID VALVE</t>
  </si>
  <si>
    <t>RL7-SKD-201-ZSO-14</t>
  </si>
  <si>
    <t>SERPENTINE CLEAN ASSIST FOAMING HEADER CA SUPPLY OPEN LIMIT SWITCH</t>
  </si>
  <si>
    <t>DG7602</t>
  </si>
  <si>
    <t>RL7-SKD-201-ZSC-14</t>
  </si>
  <si>
    <t>SERPENTINE CLEAN ASSIST FOAMING HEADER CA SUPPLY CLOSED LIMIT SWITCH</t>
  </si>
  <si>
    <t>RL7-SKD-201-ZSO-02</t>
  </si>
  <si>
    <t>SERPENTINE CLEAN ASSIST PHW PAN RINSE ZONE 1A OPEN LIMIT SWITCH</t>
  </si>
  <si>
    <t>RL7-SKD-201-ZSC-02</t>
  </si>
  <si>
    <t>SERPENTINE CLEAN ASSIST PHW PAN RINSE ZONE 1A CLOSED LIMIT SWITCH</t>
  </si>
  <si>
    <t>RL7-SKD-201-ZSO-03</t>
  </si>
  <si>
    <t>SERPENTINE CLEAN ASSIST PHW PAN RINSE ZONE 1B OPEN LIMIT SWITCH</t>
  </si>
  <si>
    <t>RL7-SKD-201-ZSC-03</t>
  </si>
  <si>
    <t>SERPENTINE CLEAN ASSIST PHW PAN RINSE ZONE 1B CLOSED LIMIT SWITCH</t>
  </si>
  <si>
    <t>RL7-SKD-201-ZSO-04</t>
  </si>
  <si>
    <t>SERPENTINE CLEAN ASSIST PHW PAN RINSE ZONE 2A OPEN LIMIT SWITCH</t>
  </si>
  <si>
    <t>RL7-SKD-201-ZSC-04</t>
  </si>
  <si>
    <t>SERPENTINE CLEAN ASSIST PHW PAN RINSE ZONE 2A CLOSED LIMIT SWITCH</t>
  </si>
  <si>
    <t>RL7-SKD-201-ZSO-05</t>
  </si>
  <si>
    <t>SERPENTINE CLEAN ASSIST PHW PAN RINSE ZONE 2B OPEN LIMIT SWITCH</t>
  </si>
  <si>
    <t>RL7-SKD-201-ZSC-05</t>
  </si>
  <si>
    <t>SERPENTINE CLEAN ASSIST PHW PAN RINSE ZONE 2B CLOSED LIMIT SWITCH</t>
  </si>
  <si>
    <t>RL7-SKD-201-ZSO-06</t>
  </si>
  <si>
    <t>SERPENTINE CLEAN ASSIST PHW PAN RINSE ZONE 2C OPEN LIMIT SWITCH</t>
  </si>
  <si>
    <t>RL7-SKD-201-ZSC-06</t>
  </si>
  <si>
    <t>SERPENTINE CLEAN ASSIST PHW PAN RINSE ZONE 2C CLOSED LIMIT SWITCH</t>
  </si>
  <si>
    <t>RL7-SKD-201-ZSO-07</t>
  </si>
  <si>
    <t>SERPENTINE CLEAN ASSIST PHW PAN RINSE ZONE 2D OPEN LIMIT SWITCH</t>
  </si>
  <si>
    <t>RL7-SKD-201-ZSC-07</t>
  </si>
  <si>
    <t>SERPENTINE CLEAN ASSIST PHW PAN RINSE ZONE 2D CLOSED LIMIT SWITCH</t>
  </si>
  <si>
    <t>RL7-SKD-201-ZSO-08</t>
  </si>
  <si>
    <t>SERPENTINE CLEAN ASSIST PHW PAN RINSE ZONE 2E OPEN LIMIT SWITCH</t>
  </si>
  <si>
    <t>RL7-SKD-201-ZSC-08</t>
  </si>
  <si>
    <t>SERPENTINE CLEAN ASSIST PHW PAN RINSE ZONE 2E CLOSED LIMIT SWITCH</t>
  </si>
  <si>
    <t>RL7-SKD-201-ZSO-09</t>
  </si>
  <si>
    <t>SERPENTINE CLEAN ASSIST PHW PAN RINSE ZONE 2F OPEN LIMIT SWITCH</t>
  </si>
  <si>
    <t>RL7-SKD-201-ZSC-09</t>
  </si>
  <si>
    <t>SERPENTINE CLEAN ASSIST PHW PAN RINSE ZONE 2F CLOSED LIMIT SWITCH</t>
  </si>
  <si>
    <t>RL7-SKD-201-ZSO-10</t>
  </si>
  <si>
    <t>SERPENTINE CLEAN ASSIST PHW END WALLS RINSE OPEN LIMIT SWITCH</t>
  </si>
  <si>
    <t>RL7-SKD-201-ZSC-10</t>
  </si>
  <si>
    <t>SERPENTINE CLEAN ASSIST PHW END WALLS RINSE CLOSED LIMIT SWITCH</t>
  </si>
  <si>
    <t>RL7-SKD-201-ZSO-11</t>
  </si>
  <si>
    <t>SERPENTINE CLEAN ASSIST PHW CHAIN RINSE OPEN LIMIT SWITCH</t>
  </si>
  <si>
    <t>RL7-SKD-201-ZSC-11</t>
  </si>
  <si>
    <t>SERPENTINE CLEAN ASSIST PHW CHAIN RINSE CLOSED LIMIT SWITCH</t>
  </si>
  <si>
    <t>RL7-SKD-201-ZSO-12</t>
  </si>
  <si>
    <t>SERPENTINE CLEAN ASSIST FOAMING HEADER PCW SUPPLY OPEN LIMIT SWITCH</t>
  </si>
  <si>
    <t>RL7-SKD-201-ZSC-12</t>
  </si>
  <si>
    <t>SERPENTINE CLEAN ASSIST FOAMING HEADER PCW SUPPLY CLOSED LIMIT SWITCH</t>
  </si>
  <si>
    <t>RL7-SKD-201-ZSO-13</t>
  </si>
  <si>
    <t>SERPENTINE CLEAN ASSIST FOAMING HEADER FOAM SUPPLY OPEN LIMIT SWITCH</t>
  </si>
  <si>
    <t>RL7-SKD-201-ZSC-13</t>
  </si>
  <si>
    <t>SERPENTINE CLEAN ASSIST FOAMING HEADER FOAM SUPPLY CLOSED LIMIT SWITCH</t>
  </si>
  <si>
    <t>RL7-SKD-201-ZSO-15</t>
  </si>
  <si>
    <t>SERPENTINE CLEAN ASSIST PCW BASIN RINSE VALVE OPEN LIMIT SWITCH</t>
  </si>
  <si>
    <t>RL7-SKD-201-ZSC-15</t>
  </si>
  <si>
    <t>SERPENTINE CLEAN ASSIST PCW BASIN RINSE VALVE CLOSED LIMIT SWITCH</t>
  </si>
  <si>
    <t>RL7-SKD-201-XY-05</t>
  </si>
  <si>
    <t>SERPENTINE CLEAN ASSIST PHW PAN RINSE ZONE 2B VALVE OPEN SOLENOID</t>
  </si>
  <si>
    <t>RL7-SKD-201-XY-06</t>
  </si>
  <si>
    <t>SERPENTINE CLEAN ASSIST PHW PAN RINSE ZONE 2C VALVE OPEN SOLENOID</t>
  </si>
  <si>
    <t>RL7-SKD-201-XY-07</t>
  </si>
  <si>
    <t>SERPENTINE CLEAN ASSIST PHW PAN RINSE ZONE 2D VALVE OPEN SOLENOID</t>
  </si>
  <si>
    <t>RL7-SKD-201-XY-08</t>
  </si>
  <si>
    <t>SERPENTINE CLEAN ASSIST PHW PAN RINSE ZONE 2E VALVE OPEN SOLENOID</t>
  </si>
  <si>
    <t>RL7-SKD-201-XY-09</t>
  </si>
  <si>
    <t>SERPENTINE CLEAN ASSIST PHW PAN RINSE ZONE 2F VALVE OPEN SOLENOID</t>
  </si>
  <si>
    <t>RL7-SKD-201-XY-10</t>
  </si>
  <si>
    <t>SERPENTINE CLEAN ASSIST PHW END WALLS RINSE VALVE OPEN SOLENOID</t>
  </si>
  <si>
    <t>RL7-SKD-201-XY-11</t>
  </si>
  <si>
    <t>SERPENTINE CLEAN ASSIST PHW CHAIN RINSE VALVE OPEN SOLENOID</t>
  </si>
  <si>
    <t>RL7-SKD-201-XV-02</t>
  </si>
  <si>
    <t>SERPENTINE CLEAN ASSIST PHW PAN RINSE ZONE 1A VALVE OPEN SOLENOID</t>
  </si>
  <si>
    <t>RL7-SKD-201-XY-03</t>
  </si>
  <si>
    <t>SERPENTINE CLEAN ASSIST PHW PAN RINSE ZONE 1B VALVE OPEN SOLENOID</t>
  </si>
  <si>
    <t>RL7-SKD-201-XY-04</t>
  </si>
  <si>
    <t>SERPENTINE CLEAN ASSIST PHW PAN RINSE ZONE 2A VALVE OPEN SOLENOID</t>
  </si>
  <si>
    <t>RL7-SKD-201-XV-12</t>
  </si>
  <si>
    <t>SERPENTINE CLEAN ASSIST FOAMING HEADER PCW SUPPLY VALVE OPEN SOLENOID</t>
  </si>
  <si>
    <t>RL7-SKD-201-XV-13</t>
  </si>
  <si>
    <t>SERPENTINE CLEAN ASSIST FOAMING HEADER FOAM SUPPLY VALVE OPEN SOLENOID</t>
  </si>
  <si>
    <t>RL7-SKD-201-XV-14</t>
  </si>
  <si>
    <t>SERPENTINE CLEAN ASSIST FOAMING HEADER CA SUPPLY VALVE OPEN SOLENOID</t>
  </si>
  <si>
    <t>RL7-SKD-201-XV-15</t>
  </si>
  <si>
    <t>SERPENTINE CLEAN ASSIST PCW BASIN RINSE VALVE OPEN SOLENOID</t>
  </si>
  <si>
    <t>RL7-SKD-102-PIT-02</t>
  </si>
  <si>
    <t>LACTIC ACID SKID PUMP DISCHARGE PRESSURE</t>
  </si>
  <si>
    <t>DG7604</t>
  </si>
  <si>
    <t>RL7-CKR-101-ZSO-27</t>
  </si>
  <si>
    <t>COOKER 1 JHWS BLOCK VALVE OPEN LIMIT SWITCH</t>
  </si>
  <si>
    <t>DG7606</t>
  </si>
  <si>
    <t>RL7-CKR-101-ZSC-27</t>
  </si>
  <si>
    <t>COOKER 1 JHWS BLOCK VALVE CLOSED LIMIT SWITCH</t>
  </si>
  <si>
    <t>RL7-CKR-102-ZSO-27</t>
  </si>
  <si>
    <t>COOKER 2 JHWS BLOCK VALVE OPEN LIMIT SWITCH</t>
  </si>
  <si>
    <t>RL7-CKR-102-ZSC-27</t>
  </si>
  <si>
    <t>COOKER 2 JHWS BLOCK VALVE CLOSED LIMIT SWITCH</t>
  </si>
  <si>
    <t>RL7-AGC-201-ZSO-27</t>
  </si>
  <si>
    <t>DISCHARGE AUGER CART JHWS BLOCK VALVE OPEN LIMIT SWITCH</t>
  </si>
  <si>
    <t>RL7-AGC-201-ZSC-27</t>
  </si>
  <si>
    <t>DISCHARGE AUGER CART JHWS BLOCK VALVE CLOSED LIMIT SWITCH</t>
  </si>
  <si>
    <t>RL7-CKR-102-XV-27</t>
  </si>
  <si>
    <t>COOKER 2 JHWS BLOCK VALVE OPEN SOLENOID</t>
  </si>
  <si>
    <t>RL7-AGC-101-XV-27</t>
  </si>
  <si>
    <t>RL7-AGC-201-XV-27</t>
  </si>
  <si>
    <t>DISCHARGE AUGER CART JHWS BLOCK VALVE OPEN SOLENOID</t>
  </si>
  <si>
    <t>RL7-CKR-101-TIT-03</t>
  </si>
  <si>
    <t>COOKER 1 JHWR TEMPERATURE</t>
  </si>
  <si>
    <t>0 - 130 LB/MIN</t>
  </si>
  <si>
    <t>RL7-CKR-102-TIT-03</t>
  </si>
  <si>
    <t>COOKER 2 JHWR TEMPERATURE</t>
  </si>
  <si>
    <t>0 - 300 F</t>
  </si>
  <si>
    <t>RL7-AGC-201-TIT-03</t>
  </si>
  <si>
    <t>DISCHARGE AUGER CART JHWR TEMPERATURE</t>
  </si>
  <si>
    <t>RL7-CKR-101-FIT-01</t>
  </si>
  <si>
    <t>COOKER 1 JHWS FLOW</t>
  </si>
  <si>
    <t>RL7-CKR-101-TVI-01</t>
  </si>
  <si>
    <t>COOKER 1 JHWR CONTROL VALVE POSITION FEEDBACK</t>
  </si>
  <si>
    <t>RL7-CKR-102-FIT-01</t>
  </si>
  <si>
    <t>COOKER 2 JHWS FLOW</t>
  </si>
  <si>
    <t>RL7-CKR-102-TVI-01</t>
  </si>
  <si>
    <t>COOKER 2 JHWR CONTROL VALVE POSITION FEEDBACK</t>
  </si>
  <si>
    <t>RL7-AGC-201-FIT-01</t>
  </si>
  <si>
    <t>DISCHARGE AUGER CART JHWS FLOW</t>
  </si>
  <si>
    <t>RL7-AGC-201-TVI-01</t>
  </si>
  <si>
    <t>DISCHARGE AUGER CART JHWR CONTROL VALVE POSITION FEEBACK</t>
  </si>
  <si>
    <t>RL7-CKR-101-TCV-01</t>
  </si>
  <si>
    <t>COOKER 1 JHWR CONTROL VALVE</t>
  </si>
  <si>
    <t>RL7-CKR-102-TCV-101</t>
  </si>
  <si>
    <t>COOKER 2 HPS CONTROL VALVE</t>
  </si>
  <si>
    <t>RL7-AGC-201-TCV-01</t>
  </si>
  <si>
    <t>DISCHARGE AUGER CART JHWR CONTROL VALVE</t>
  </si>
  <si>
    <t>RL7-TNK-102-XV-01-ZSO</t>
  </si>
  <si>
    <t>RL7-TNK-102-ZSO-01</t>
  </si>
  <si>
    <t>DXP WATER INLET VALVE OPEN LIMIT SWITCH</t>
  </si>
  <si>
    <t>RL7-DXPHX-RIO1</t>
  </si>
  <si>
    <t>RL7-TNK-102-XV-01-ZSC</t>
  </si>
  <si>
    <t>RL7-TNK-102-ZSC-01</t>
  </si>
  <si>
    <t>DXP WATER INLET VALVE CLOSED LIMIT SWITCH</t>
  </si>
  <si>
    <t>RL7-TNK-102-ZSO-02</t>
  </si>
  <si>
    <t>DXP SYSTEM BYPASS VALVE OPEN LIMIT SWITCH</t>
  </si>
  <si>
    <t>RL7-TNK-102-ZSC-02</t>
  </si>
  <si>
    <t>DXP SYSTEM BYPASS VALVE CLOSED LIMIT SWITCH</t>
  </si>
  <si>
    <t>RL7-HTX-101-XV-01-ZSO</t>
  </si>
  <si>
    <t>DXP HEX IN VALVE OPEN LIMIT SWITCH</t>
  </si>
  <si>
    <t>RL7-HTX-101-XV-01-ZSC</t>
  </si>
  <si>
    <t>DXP HEX IN VALVE CLOSED LIMIT SWITCH</t>
  </si>
  <si>
    <t>RL7-TNK-102-XV-01</t>
  </si>
  <si>
    <t>DXP WATER INLET VALVE OPEN SOLENOID</t>
  </si>
  <si>
    <t>RL7-TNK-102-XV-02</t>
  </si>
  <si>
    <t>DXP SYSTEM BYPASSS VALVE OPEN SOLENOID</t>
  </si>
  <si>
    <t>RL7-HTX-101-XV-01</t>
  </si>
  <si>
    <t>DXP HEX IN VALVE OPEN SOLENOID</t>
  </si>
  <si>
    <t>RL7-TNK-102-FIT-01</t>
  </si>
  <si>
    <t>DXP WATER INLET FLOW TRANSMITTER</t>
  </si>
  <si>
    <t>RL7-HTX-101-FIT-01</t>
  </si>
  <si>
    <t>DXP HEX FLOW IN TRANSMITTER</t>
  </si>
  <si>
    <t>RL7-TNK-102-LIT-01</t>
  </si>
  <si>
    <t>DXP TANK LEVEL TRANSMITTER</t>
  </si>
  <si>
    <t>RL7-PMP-108-PIT-01</t>
  </si>
  <si>
    <t xml:space="preserve">DXP SYSTEM PRESSURE IN TRANSMITTER </t>
  </si>
  <si>
    <t>RL7-TNK-102-PIT-01</t>
  </si>
  <si>
    <t>DXP WATER INLET PRESSURE TRANSMITTER</t>
  </si>
  <si>
    <t>RL7-HTX-101-PIT-01</t>
  </si>
  <si>
    <t>DXP HEX PRESSURE IN TRANSMITTER</t>
  </si>
  <si>
    <t>RL7-HTX-101-TVI-01</t>
  </si>
  <si>
    <t>DXP TEMPERATURE CONTROL VALVE POSITION FEEDBACK</t>
  </si>
  <si>
    <t>RL7-TNK-102-TT-01</t>
  </si>
  <si>
    <t xml:space="preserve">DXP TANK TEMPERATURE TRANSMITTER </t>
  </si>
  <si>
    <t>RL7-HTX-101-TT-01</t>
  </si>
  <si>
    <t>DXP SUPPLY TEMPERATURE</t>
  </si>
  <si>
    <t>RL7-HTX-101-TCV-01</t>
  </si>
  <si>
    <t>DXP HOT WATER TCV</t>
  </si>
  <si>
    <t>RL7-CKR-101-ZSO-101</t>
  </si>
  <si>
    <t>COOKER 1 HPS BLOCK VALVE OPEN LIMIT SWITCH</t>
  </si>
  <si>
    <t>DG7700</t>
  </si>
  <si>
    <t>RL7-CKR-101-ZSC-101</t>
  </si>
  <si>
    <t>COOKER 1 HPS BLOCK VALVE CLOSED LIMIT SWITCH</t>
  </si>
  <si>
    <t>RL7-CKR-102-ZSO-101</t>
  </si>
  <si>
    <t>COOKER 2 HPS BLOCK VALVE OPEN LIMIT SWITCH</t>
  </si>
  <si>
    <t>RL7-CKR-102-ZSC-101</t>
  </si>
  <si>
    <t>COOKER 2 HPS BLOCK VALVE CLOSED LIMIT SWITCH</t>
  </si>
  <si>
    <t>RL7-CKR-101-XV-101</t>
  </si>
  <si>
    <t>COOKER 1 HPS BLOCK VALVE OPEN SOLENOID</t>
  </si>
  <si>
    <t>RL7-CKR-102-XV-101</t>
  </si>
  <si>
    <t>COOKER 2 HPS BLOCK VALVE OPEN SOLENOID</t>
  </si>
  <si>
    <t>RL7-CKR-101-FIT-101</t>
  </si>
  <si>
    <t>COOKER 1 HPS FLOW</t>
  </si>
  <si>
    <t>0 - 7000 LB/HR</t>
  </si>
  <si>
    <t>RL7-CKR-101-PIT-101</t>
  </si>
  <si>
    <t>COOKER 1 HPS BYPASS PRESSURE</t>
  </si>
  <si>
    <t>RL7-CKR-101-PIT-102</t>
  </si>
  <si>
    <t>COOKER 1 HPS PRESSURE</t>
  </si>
  <si>
    <t>RL7-CKR-101-TVI-101</t>
  </si>
  <si>
    <t>COOKER 1 HPS CONTROL VALVE POSITION FEEDBACK</t>
  </si>
  <si>
    <t>RL7-HTX-101A-TT-02</t>
  </si>
  <si>
    <t>RL7-CKR-102-FIT-101</t>
  </si>
  <si>
    <t>COOKER 2 HPS FLOW</t>
  </si>
  <si>
    <t>RL7-CKR-102-PIT-101</t>
  </si>
  <si>
    <t>COOKER 2 HPS BYPASS PRESSURE</t>
  </si>
  <si>
    <t>RL7-CKR-102-PIT-102</t>
  </si>
  <si>
    <t>COOKER 2 HPS PRESSURE</t>
  </si>
  <si>
    <t>RL7-CKR-102-TVI-101</t>
  </si>
  <si>
    <t>COOKER 2 HPS CONTROL VALVE POSITION FEEDBACK</t>
  </si>
  <si>
    <t>RL7-HTX-101B-TT-02</t>
  </si>
  <si>
    <t>RL7-CKR-200-PIT-101</t>
  </si>
  <si>
    <t>PHASE 2A COOKERS HPS HEADER PRESSURE</t>
  </si>
  <si>
    <t>RL7-CKR-101-TCV-101</t>
  </si>
  <si>
    <t>COOKER 1 HPS CONTROL VALVE</t>
  </si>
  <si>
    <t>RL7-CKR-103-PIT-101</t>
  </si>
  <si>
    <t>HOT WATER JACKET SYSTEM HPS PRESSURE</t>
  </si>
  <si>
    <t>DG7701</t>
  </si>
  <si>
    <t>RL7-HTX-101A-LT-01</t>
  </si>
  <si>
    <t>RL7-CKR-101-XV-27</t>
  </si>
  <si>
    <t>COOKER 1 JHWS BLOCK VALVE OPEN SOLENOID</t>
  </si>
  <si>
    <t>DG7702</t>
  </si>
  <si>
    <t>RL7-CKR-102-TCV-01</t>
  </si>
  <si>
    <t>COOKER 2 JHWR CONTROL VALVE</t>
  </si>
  <si>
    <t>RL7-HTX-ABC-YS-01</t>
  </si>
  <si>
    <t>CHILLERS A,B, &amp; C VALVE CONTROL POWER STATUS OK</t>
  </si>
  <si>
    <t>N/A</t>
  </si>
  <si>
    <t>RL7-HTX-201A-LS-01</t>
  </si>
  <si>
    <t>SHELL &amp; TUBE CHILLER A NH3 LOW LEVEL SWITCH</t>
  </si>
  <si>
    <t>R7011</t>
  </si>
  <si>
    <t>RL7-HTX-201A-LS-02</t>
  </si>
  <si>
    <t>SHELL &amp; TUBE CHILLER A BACKUP OPERATING NH3 LEVEL SWITCH</t>
  </si>
  <si>
    <t>RL7-HTX-101A-YS-01</t>
  </si>
  <si>
    <t>SHELL &amp; TUBE CHILLER A COOLANT SUPPLY VALVE OPEN SOLENOID</t>
  </si>
  <si>
    <t>RL7-HTX-101A-YS-02</t>
  </si>
  <si>
    <t>SHELL &amp; TUBE CHILLER A COOLANT RETURN VALVE OPEN SOLENOID</t>
  </si>
  <si>
    <t>RL7-HTX-101A-YS-03</t>
  </si>
  <si>
    <t>SHELL &amp; TUBE CHILLER A HOT GAS SUPPLY VALVE OPEN SOLENOID</t>
  </si>
  <si>
    <t>RL7-HTX-101A-YS-04</t>
  </si>
  <si>
    <t>SHELL &amp; TUBE CHILLER A PUMP OUT SUPPLY VALVE OPEN SOLENOID</t>
  </si>
  <si>
    <t>RL7-HTX-101B-YS-01</t>
  </si>
  <si>
    <t>FALLING FILM CHILLER B COOLANT SUPPLY VALVE OPEN SOLENOID</t>
  </si>
  <si>
    <t>RL7-HTX-101B-YS-02</t>
  </si>
  <si>
    <t>FALLING FILM CHILLER B COOLANT RETURN VALVE OPEN SOLENOID</t>
  </si>
  <si>
    <t>RL7-HTX-101C-YS-01</t>
  </si>
  <si>
    <t>FALLING FILM CHILLER C COOLANT SUPPLY VALVE OPEN SOLENOID</t>
  </si>
  <si>
    <t>RL7-HTX-101C-YS-02</t>
  </si>
  <si>
    <t>FALLING FILM CHILLER C COOLANT RETURN VALVE OPEN SOLENOID</t>
  </si>
  <si>
    <t>SHELL &amp; TUBE CHILLER A NH3 LEVEL</t>
  </si>
  <si>
    <t>RL7-HTX-101A-TIT-02</t>
  </si>
  <si>
    <t>SHELL &amp; TUBE CHILLER A OUTLET TEMPERATURE</t>
  </si>
  <si>
    <t>RL7-HTX-101B-TIT-02</t>
  </si>
  <si>
    <t>FALLING FILM CHILLER B OUTLET TEMPERATURE</t>
  </si>
  <si>
    <t>RL7-HTX-101C-TIT-02</t>
  </si>
  <si>
    <t>FALLING FILM CHILLER C OUTLET TEMPERATURE</t>
  </si>
  <si>
    <t>RL7-HTX-101A-TIT-01</t>
  </si>
  <si>
    <t>SHELL &amp; TUBE CHILLER A INLET TEMPERATURE</t>
  </si>
  <si>
    <t xml:space="preserve"> (-50 to 150 C)</t>
  </si>
  <si>
    <t>RL7-HTX-101A-TT-01</t>
  </si>
  <si>
    <t>RL7-HTX-101B-TIT-01</t>
  </si>
  <si>
    <t>FALLING FILM CHILLER B INLET TEMPERATURE</t>
  </si>
  <si>
    <t>RL7-HTX-101B-TT-01</t>
  </si>
  <si>
    <t>RL7-HTX-101C-TIT-01</t>
  </si>
  <si>
    <t>FALLING FILM CHILLER C INLET TEMPERATURE</t>
  </si>
  <si>
    <t>RL7-HTX-101A-CV-01E</t>
  </si>
  <si>
    <t>SHELL &amp; TUBE CHILLER A COOLANT SUPPLY MOTOR OPERATED VALVE</t>
  </si>
  <si>
    <t>RL7-HTX-201A-CVI-01E</t>
  </si>
  <si>
    <t>SHELL &amp; TUBE CHILLER A COOLANT SUPPLY MOV POSITION FEEDBACK</t>
  </si>
  <si>
    <t>I/V/T AI</t>
  </si>
  <si>
    <t>5069-IY4</t>
  </si>
  <si>
    <t>RL7-CNV-109-ZSS-10</t>
  </si>
  <si>
    <t>SPARE</t>
  </si>
  <si>
    <t>RL7-GRR-103-ZSS-05</t>
  </si>
  <si>
    <t>ADDRESS RESERVE MODULE</t>
  </si>
  <si>
    <t>ARM</t>
  </si>
  <si>
    <t>RL7-CNV-111-ZSC-05</t>
  </si>
  <si>
    <t>RL7-BIN-101-ZSO-01</t>
  </si>
  <si>
    <t>RL7-BIN-101-ZSC-01</t>
  </si>
  <si>
    <t>RL7-BIN-102-ZSO-01</t>
  </si>
  <si>
    <t>RL7-BIN-102-ZSC-01</t>
  </si>
  <si>
    <t>RL7-CNV-112-ZSO-01</t>
  </si>
  <si>
    <t>RL7-CNV-112-ZSC-01</t>
  </si>
  <si>
    <t>RL7-BIN-104-ZSO-01</t>
  </si>
  <si>
    <t>RL7-BIN-104-ZSC-01</t>
  </si>
  <si>
    <t>RL7-CNV-113-ZSO-01</t>
  </si>
  <si>
    <t>RL7-CNV-113-ZSC-01</t>
  </si>
  <si>
    <t>RL7-CNV-114-ZSO-08</t>
  </si>
  <si>
    <t>RL7-CNV-114-ZSC-08</t>
  </si>
  <si>
    <t>RL7-CNV-107-ZSS-01</t>
  </si>
  <si>
    <t>RESERVED FOR IPA3</t>
  </si>
  <si>
    <t>RL7-CNV-107-ZSS-03</t>
  </si>
  <si>
    <t>RL7-CNV-107-ZSS-04</t>
  </si>
  <si>
    <t>RL7-CNV-107-ZSS-05</t>
  </si>
  <si>
    <t>RL7-CNV-107-ZSS-02</t>
  </si>
  <si>
    <t>RL7-CNV-107-ZSS-06</t>
  </si>
  <si>
    <t>RL7-CNV-107-ZSS-07</t>
  </si>
  <si>
    <t>RL7-CNV-107-ZSC-06</t>
  </si>
  <si>
    <t>RL7-CNV-107-ZSC-03</t>
  </si>
  <si>
    <t>RL7-CNV-107-ZSC-04</t>
  </si>
  <si>
    <t>RL7-CNV-107-ZSC-02</t>
  </si>
  <si>
    <t>RL7-CNV-107-ZSC-05</t>
  </si>
  <si>
    <t>RL7-CNV-107-ZSC-07</t>
  </si>
  <si>
    <t>RL7-CNV-107-XY-01</t>
  </si>
  <si>
    <t>RL7-CNV-107-XY-02</t>
  </si>
  <si>
    <t>RL7-CNV-106-ZSO-08</t>
  </si>
  <si>
    <t>RL7-CNV-106-ZSC-08</t>
  </si>
  <si>
    <t>RL7-CNV-107-ZSO-08</t>
  </si>
  <si>
    <t>INCLINE PIVOT AUGER 3 SANITATION VALVE OPEN LIMIT SWITCH</t>
  </si>
  <si>
    <t>RL7-CNV-107-ZSC-08</t>
  </si>
  <si>
    <t>INCLINE PIVOT AUGER 3 SANITATION VALVE CLOSED LIMIT SWITCH</t>
  </si>
  <si>
    <t>RL7-LINE-FIT-03</t>
  </si>
  <si>
    <t>M2A-4</t>
  </si>
  <si>
    <t>LINE PHWS140 FLOW</t>
  </si>
  <si>
    <t>0 - 125 GPM</t>
  </si>
  <si>
    <t>RL7-LINE-FIT-05</t>
  </si>
  <si>
    <t>M2A-6</t>
  </si>
  <si>
    <t>LINE PHWR140 FLOW</t>
  </si>
  <si>
    <t>RL7-LINE-FIT-01</t>
  </si>
  <si>
    <t>M2A-2</t>
  </si>
  <si>
    <t>LINE PCW FLOW</t>
  </si>
  <si>
    <t>0 - 650 GPM</t>
  </si>
  <si>
    <t>RL7-LINE-FIT-02</t>
  </si>
  <si>
    <t>M2A-3</t>
  </si>
  <si>
    <t>LINE HPWS FLOW</t>
  </si>
  <si>
    <t>0 - 250 GPM</t>
  </si>
  <si>
    <t>RL7-LINE-FIT-04</t>
  </si>
  <si>
    <t>M2A-5</t>
  </si>
  <si>
    <t>LINE HPWR FLOW</t>
  </si>
  <si>
    <t>MULTI-VARIABLE XMTR, INCLUDES PRESSURE &amp; TEMP</t>
  </si>
  <si>
    <t>I/O TOTALS</t>
  </si>
  <si>
    <t>---------</t>
  </si>
  <si>
    <t>------------</t>
  </si>
  <si>
    <t>COMPLETED</t>
  </si>
  <si>
    <t>TOTAL</t>
  </si>
  <si>
    <t>% COMPLETE</t>
  </si>
  <si>
    <t>% REMAINING</t>
  </si>
  <si>
    <t>PROCESSING</t>
  </si>
  <si>
    <t>RL7 TOTAL</t>
  </si>
  <si>
    <t>CHILLING</t>
  </si>
  <si>
    <t>INTERSTITIAL</t>
  </si>
  <si>
    <t>HEAT EXCHANGER / LACTIC ACID</t>
  </si>
  <si>
    <t>OEM TAGNAME</t>
  </si>
  <si>
    <t>RL-TNK-201-ZSO-01</t>
  </si>
  <si>
    <t>FOAM TANK REFILL VALVE OPEN LIMIT SWITCH</t>
  </si>
  <si>
    <t>DG6826</t>
  </si>
  <si>
    <t>PROD-UTIL-PLC2</t>
  </si>
  <si>
    <t>RL-TNK-201-ZSC-01</t>
  </si>
  <si>
    <t>FOAM TANK REFILL VALVE CLOSED LIMIT SWITCH</t>
  </si>
  <si>
    <t>RL-TNK-201-LSL-01</t>
  </si>
  <si>
    <t>FOAM TANK LOW LEVEL</t>
  </si>
  <si>
    <t>RL-TNK-201-XV-01</t>
  </si>
  <si>
    <t>FOAM TANK REFILL VALVE OPEN SOLENOID</t>
  </si>
  <si>
    <t>RL-WSH-101-PIT-01</t>
  </si>
  <si>
    <t>PHASE 2 TOTE WASHER HPS PRESSURE</t>
  </si>
  <si>
    <t>DG6927</t>
  </si>
  <si>
    <t>RL-CKR-100-PIT-101</t>
  </si>
  <si>
    <t>PHASE 2 COOKERS HPS HEADER PRESSURE</t>
  </si>
  <si>
    <t>CVI-1</t>
  </si>
  <si>
    <t>PHASE 1 / 2 COMPRESSED AIR JUMPER VALVE POSITION FEEDBACK</t>
  </si>
  <si>
    <t>CVI-2</t>
  </si>
  <si>
    <t>PHASE 1 / 2 HIGH PRESSURE HOT WATER SUPPLY JUMPER VALVE POSITION FEEDBACK</t>
  </si>
  <si>
    <t>CVI-3</t>
  </si>
  <si>
    <t>PHASE 1 / 2 PROCESS HOT WATER SUPPLY JUMPER VALVE POSITION FEEDBACK</t>
  </si>
  <si>
    <t>CVI-5</t>
  </si>
  <si>
    <t>PHASE 1 / 2 PROCESS HOT WATER RETURN JUMPER VALVE POSITION FEEDBACK</t>
  </si>
  <si>
    <t>CVI-7</t>
  </si>
  <si>
    <t>PHASE 1 / 2 HIGH PRESSURE HOT WATER RETURN JUMPER VALVE POSITION FEEDBACK</t>
  </si>
  <si>
    <t>RL-TNK-201-LIT-01</t>
  </si>
  <si>
    <t>FOAM TANK LEVEL INDICATION</t>
  </si>
  <si>
    <t>CV-1</t>
  </si>
  <si>
    <t>PHASE 1 / 2 COMPRESSED AIR JUMPER VALVE COMMAND</t>
  </si>
  <si>
    <t>CV-2</t>
  </si>
  <si>
    <t>PHASE 1 / 2 HIGH PRESSURE HOT WATER SUPPLY JUMPER VALVE COMMAND</t>
  </si>
  <si>
    <t>CV-3</t>
  </si>
  <si>
    <t>PHASE 1 / 2 PROCESS HOT WATER SUPPLY JUMPER VALVE COMMAND</t>
  </si>
  <si>
    <t>CV-5</t>
  </si>
  <si>
    <t>PHASE 1 / 2 PROCESS HOT WATER RETURN JUMPER VALVE COMMAND</t>
  </si>
  <si>
    <t>CV-7</t>
  </si>
  <si>
    <t>PHASE 1 / 2 HIGH PRESSURE HOT WATER RETURN JUMPER VALVE COMMAND</t>
  </si>
  <si>
    <t>BUCKET</t>
  </si>
  <si>
    <t>EQUIP ID</t>
  </si>
  <si>
    <t>BUCKET TYPE</t>
  </si>
  <si>
    <t>MOTOR HP</t>
  </si>
  <si>
    <t>STARTER
HP RATING</t>
  </si>
  <si>
    <t>VFD AMP RATING</t>
  </si>
  <si>
    <t>STARTER SIZE</t>
  </si>
  <si>
    <t>SF</t>
  </si>
  <si>
    <t>CB TRIP</t>
  </si>
  <si>
    <t>CB FRAME</t>
  </si>
  <si>
    <t>FUSE TRIP</t>
  </si>
  <si>
    <t>CABLE</t>
  </si>
  <si>
    <t>FEEDER
PULLED</t>
  </si>
  <si>
    <t>FEEDER
TERMED</t>
  </si>
  <si>
    <t>MOTOR
BUMPED</t>
  </si>
  <si>
    <t>AUX POINT TO POINT</t>
  </si>
  <si>
    <t>AUX 
I/O CHECK</t>
  </si>
  <si>
    <t>COMMS
PULLED</t>
  </si>
  <si>
    <t>COMMS
TERMED</t>
  </si>
  <si>
    <t>COMMS
TESTED</t>
  </si>
  <si>
    <t>COMMS
TAGGED</t>
  </si>
  <si>
    <t>COMMS CONFIG</t>
  </si>
  <si>
    <t>COMMS
GOOD</t>
  </si>
  <si>
    <t>REVIT FAMILY</t>
  </si>
  <si>
    <t>FAMILY TYPE</t>
  </si>
  <si>
    <t>GRAPHICS</t>
  </si>
  <si>
    <t>SECTION</t>
  </si>
  <si>
    <t>START UNIT</t>
  </si>
  <si>
    <t>START INDEX</t>
  </si>
  <si>
    <t>SIZE</t>
  </si>
  <si>
    <t>UNITS USED</t>
  </si>
  <si>
    <t>END INDEX</t>
  </si>
  <si>
    <t>RL7-6MCC01</t>
  </si>
  <si>
    <t>01A</t>
  </si>
  <si>
    <t>MAIN</t>
  </si>
  <si>
    <t>INCOMING MCB</t>
  </si>
  <si>
    <t>Oneline_MCC</t>
  </si>
  <si>
    <t>MCC_MB-Bus3</t>
  </si>
  <si>
    <t>Power-Meter</t>
  </si>
  <si>
    <t>01H</t>
  </si>
  <si>
    <t>RL7-MCC1-PM</t>
  </si>
  <si>
    <t>POWERMONITOR 5000 W/ ETHERNET</t>
  </si>
  <si>
    <t>PM</t>
  </si>
  <si>
    <t>01L</t>
  </si>
  <si>
    <t>SZ1 FVNR - 1.5HP</t>
  </si>
  <si>
    <t>FVNR</t>
  </si>
  <si>
    <t>Oneline_Motor</t>
  </si>
  <si>
    <t>Motor_FVNR</t>
  </si>
  <si>
    <t>Motor w/ Disc</t>
  </si>
  <si>
    <t>2A</t>
  </si>
  <si>
    <t>RL7-MCC1-2A.SW1 RL7-MCC1-2A.SW2</t>
  </si>
  <si>
    <t>ETHERNET SWITCH (10-PORT)
ETHERNET SWITCH (20-PORT)</t>
  </si>
  <si>
    <t>ENET_30</t>
  </si>
  <si>
    <t>Oneline_Ensw</t>
  </si>
  <si>
    <t>Switch_30-Port</t>
  </si>
  <si>
    <t>02C</t>
  </si>
  <si>
    <t>RL7-MCC1-2C.PS1</t>
  </si>
  <si>
    <t>ETHERNET SWITCH POWER SUPPLY</t>
  </si>
  <si>
    <t>ENET_PS</t>
  </si>
  <si>
    <t>Oneline_Ensw_Power_Supply</t>
  </si>
  <si>
    <t>PS_2Ckt-External-Power</t>
  </si>
  <si>
    <t>02E</t>
  </si>
  <si>
    <t>SPACE</t>
  </si>
  <si>
    <t>6" SPACE</t>
  </si>
  <si>
    <t>Oneline_Feeder_Panel</t>
  </si>
  <si>
    <t>Feeder_Space</t>
  </si>
  <si>
    <t>02F</t>
  </si>
  <si>
    <t>SZ1 FVNR - 7.5HP</t>
  </si>
  <si>
    <t>02H</t>
  </si>
  <si>
    <t>VFD - 10HP</t>
  </si>
  <si>
    <t>VFD_PF755</t>
  </si>
  <si>
    <t>Motor_VFD-w-Fuse</t>
  </si>
  <si>
    <t>03A</t>
  </si>
  <si>
    <t>VFD - 60HP</t>
  </si>
  <si>
    <t>04A</t>
  </si>
  <si>
    <t xml:space="preserve">FINISH GRINDER </t>
  </si>
  <si>
    <t>3/C 400 MCM VFD CABLE</t>
  </si>
  <si>
    <t>05A</t>
  </si>
  <si>
    <t>05F</t>
  </si>
  <si>
    <t>VFD - 25HP</t>
  </si>
  <si>
    <t>06A</t>
  </si>
  <si>
    <t>RL7-CNV-112.M1</t>
  </si>
  <si>
    <t>SURGE BIN TAKE AWAY CONVEYOR</t>
  </si>
  <si>
    <t>3/C #12 VFD CABLE</t>
  </si>
  <si>
    <t>06E</t>
  </si>
  <si>
    <t>RL7-CNV-115.M1</t>
  </si>
  <si>
    <t>INCLINE BELT CONVEYOR 2</t>
  </si>
  <si>
    <t>06J</t>
  </si>
  <si>
    <t>RL7-CNV-116.M1</t>
  </si>
  <si>
    <t>ROTOCLAW BELT CONVEYOR</t>
  </si>
  <si>
    <t>07A</t>
  </si>
  <si>
    <t>RL7-CNV-113.M1</t>
  </si>
  <si>
    <t>INCLINE BELT CONVEYOR 1</t>
  </si>
  <si>
    <t>07E</t>
  </si>
  <si>
    <t>VFD - 2HP</t>
  </si>
  <si>
    <t>07J</t>
  </si>
  <si>
    <t>RL7-CNV-111.M1</t>
  </si>
  <si>
    <t>SURGE BIN SUPPLY CONVEYOR</t>
  </si>
  <si>
    <t>08A</t>
  </si>
  <si>
    <t>RL7-BIN-101.M1</t>
  </si>
  <si>
    <t xml:space="preserve">SURGE BIN 1 UPPER AGITATOR </t>
  </si>
  <si>
    <t>08F</t>
  </si>
  <si>
    <t>12" SPACE</t>
  </si>
  <si>
    <t>08H</t>
  </si>
  <si>
    <t>RL7-BIN-101.M2</t>
  </si>
  <si>
    <t>SURGE BIN 1 AUGER</t>
  </si>
  <si>
    <t>09A</t>
  </si>
  <si>
    <t>RL7-BIN-102.M1</t>
  </si>
  <si>
    <t xml:space="preserve">SURGE BIN 2 UPPER AGITATOR </t>
  </si>
  <si>
    <t>09F</t>
  </si>
  <si>
    <t>09H</t>
  </si>
  <si>
    <t>RL7-BIN-102.M2</t>
  </si>
  <si>
    <t>SURGE BIN 2 AUGER</t>
  </si>
  <si>
    <t>10A</t>
  </si>
  <si>
    <t>RL7-BIN-103.M1</t>
  </si>
  <si>
    <t xml:space="preserve">SURGE BIN 3 UPPER AGITATOR </t>
  </si>
  <si>
    <t>10F</t>
  </si>
  <si>
    <t>10H</t>
  </si>
  <si>
    <t>RL7-BIN-103.M2</t>
  </si>
  <si>
    <t>SURGE BIN 3 AUGER</t>
  </si>
  <si>
    <t>11A</t>
  </si>
  <si>
    <t>RL7-BIN-104.M1</t>
  </si>
  <si>
    <t xml:space="preserve">SURGE BIN 4 UPPER AGITATOR </t>
  </si>
  <si>
    <t>11F</t>
  </si>
  <si>
    <t>11H</t>
  </si>
  <si>
    <t>RL7-BIN-104.M2</t>
  </si>
  <si>
    <t>SURGE BIN 4 AUGER</t>
  </si>
  <si>
    <t>12A</t>
  </si>
  <si>
    <t>RL7-CNV-110.M1</t>
  </si>
  <si>
    <t>METAL DETECTOR CONVEYOR</t>
  </si>
  <si>
    <t>12E</t>
  </si>
  <si>
    <t>12F</t>
  </si>
  <si>
    <t>RL7-CNV-109.M1</t>
  </si>
  <si>
    <t>INCLINE AUGER CONVEYOR</t>
  </si>
  <si>
    <t>3/C #8 VFD CABLE</t>
  </si>
  <si>
    <t>13A</t>
  </si>
  <si>
    <t>INCLINE PIVOT AUGER 1 HYDRAULIC PUMP</t>
  </si>
  <si>
    <t>3/C #12 W/ GND</t>
  </si>
  <si>
    <t>13C</t>
  </si>
  <si>
    <t>RL7-CNV-114.M1</t>
  </si>
  <si>
    <t>INCLINE PIVOT AUGER 1</t>
  </si>
  <si>
    <t>13H</t>
  </si>
  <si>
    <t>13J</t>
  </si>
  <si>
    <t>RL7-CNV-114.M3</t>
  </si>
  <si>
    <t>INCLINE PIVOT AUGER 1 SLIDE TRACK</t>
  </si>
  <si>
    <t>14A</t>
  </si>
  <si>
    <t>RL7-MCC1-14A.SW1 RL7-MCC1-14A.SW2</t>
  </si>
  <si>
    <t>14C</t>
  </si>
  <si>
    <t>14E</t>
  </si>
  <si>
    <t>RL7-AGC-101.M1</t>
  </si>
  <si>
    <t>FRESH AUGER CART 1 - AUGER 1</t>
  </si>
  <si>
    <t>14J</t>
  </si>
  <si>
    <t>RL7-AGC-101.M2</t>
  </si>
  <si>
    <t>FRESH AUGER CART 1 - AUGER 2</t>
  </si>
  <si>
    <t>15A</t>
  </si>
  <si>
    <t>RL7-PMP-101.M1</t>
  </si>
  <si>
    <t>FRESH AUGER CART 1 - PUMP</t>
  </si>
  <si>
    <t>3/C #10 VFD CABLE</t>
  </si>
  <si>
    <t>15G</t>
  </si>
  <si>
    <t>RL7-PMP-102.M1</t>
  </si>
  <si>
    <t>FRESH AUGER CART 2 - PUMP</t>
  </si>
  <si>
    <t>16A</t>
  </si>
  <si>
    <t>FRESH AUGER CART 1 - COMBO DUMPER</t>
  </si>
  <si>
    <t>16C</t>
  </si>
  <si>
    <t>FRESH AUGER CART 2 - COMBO DUMPER</t>
  </si>
  <si>
    <t>16E</t>
  </si>
  <si>
    <t>RL7-AGC-102.M1</t>
  </si>
  <si>
    <t>FRESH AUGER CART 2 - AUGER 1</t>
  </si>
  <si>
    <t>16J</t>
  </si>
  <si>
    <t>RL7-AGC-102.M2</t>
  </si>
  <si>
    <t>FRESH AUGER CART 2 - AUGER 2</t>
  </si>
  <si>
    <t>17A</t>
  </si>
  <si>
    <t>RL7-GRR-103.M1</t>
  </si>
  <si>
    <t>FROZEN BLOCK CRUSHER</t>
  </si>
  <si>
    <t>3/C #4 VFD CABLE</t>
  </si>
  <si>
    <t>18A</t>
  </si>
  <si>
    <t>RL7-GRR-103.M2</t>
  </si>
  <si>
    <t>RL7-6MCC02</t>
  </si>
  <si>
    <t>MCC_MB-Bus4</t>
  </si>
  <si>
    <t>RL7-MCC2-PM</t>
  </si>
  <si>
    <t>BREDDO DUMPER</t>
  </si>
  <si>
    <t>02A</t>
  </si>
  <si>
    <t>RL7-MCC2-2A.SW1</t>
  </si>
  <si>
    <t>ETHERNET SWITCH (20-PORT)</t>
  </si>
  <si>
    <t>ENET_20</t>
  </si>
  <si>
    <t>Switch_20-Port</t>
  </si>
  <si>
    <t>RL7-MCC2-2C.PS1</t>
  </si>
  <si>
    <t>RL7-CKR-101.M1</t>
  </si>
  <si>
    <t>COOKER 1 - AGITATOR 1 (LEFT)</t>
  </si>
  <si>
    <t>03H</t>
  </si>
  <si>
    <t>03M</t>
  </si>
  <si>
    <t>RL7-CKR-101.M2</t>
  </si>
  <si>
    <t>COOKER 1 - AGITATOR 2 (RIGHT)</t>
  </si>
  <si>
    <t>04H</t>
  </si>
  <si>
    <t>04M</t>
  </si>
  <si>
    <t>RL7-CKR-102.M1</t>
  </si>
  <si>
    <t>COOKER 2 - AGITATOR 1 (LEFT)</t>
  </si>
  <si>
    <t>05H</t>
  </si>
  <si>
    <t>05M</t>
  </si>
  <si>
    <t>RL7-SKD-101.M1</t>
  </si>
  <si>
    <t>BREDDO MIXER</t>
  </si>
  <si>
    <t>3/C #1 VFD CABLE</t>
  </si>
  <si>
    <t>RL7-CKR-102.M2</t>
  </si>
  <si>
    <t>COOKER 2 - AGITATOR 2 (RIGHT)</t>
  </si>
  <si>
    <t>07H</t>
  </si>
  <si>
    <t>RL7-PRM-101.M1</t>
  </si>
  <si>
    <t>PRE-MIXER DISCHARGE SCREW</t>
  </si>
  <si>
    <t>FED THRU JIC2A</t>
  </si>
  <si>
    <t>RL7-SKD-101.M2</t>
  </si>
  <si>
    <t>BREDDO MIXER AGITATOR</t>
  </si>
  <si>
    <t>08E</t>
  </si>
  <si>
    <t>08G</t>
  </si>
  <si>
    <t>RL7-PMP-104.M1</t>
  </si>
  <si>
    <t>COOKER 1 - PUMP</t>
  </si>
  <si>
    <t>RL7-FAN-103.M1</t>
  </si>
  <si>
    <t>COOKER 1 HOOD EXHAUST FAN</t>
  </si>
  <si>
    <t>09E</t>
  </si>
  <si>
    <t>09G</t>
  </si>
  <si>
    <t>RL7-PMP-105.M1</t>
  </si>
  <si>
    <t>COOKER 2 - PUMP</t>
  </si>
  <si>
    <t>RL7-FAN-104.M1</t>
  </si>
  <si>
    <t>COOKER 2 HOOD EXHAUST FAN</t>
  </si>
  <si>
    <t>10E</t>
  </si>
  <si>
    <t>RL7-PMP-103.M1</t>
  </si>
  <si>
    <t>BREDDO MIXER PUMP</t>
  </si>
  <si>
    <t>10L</t>
  </si>
  <si>
    <t>18" SPACE</t>
  </si>
  <si>
    <t>11D</t>
  </si>
  <si>
    <t>RL7-SKD-102.M1</t>
  </si>
  <si>
    <t>LACTIC ACID SKID PUMP</t>
  </si>
  <si>
    <t>RL7-PMP-108.M1</t>
  </si>
  <si>
    <t>HOT WATER JACKET PUMP</t>
  </si>
  <si>
    <t>RL7-MCC2-12A.SW1</t>
  </si>
  <si>
    <t>12C</t>
  </si>
  <si>
    <t>SZ1 FVNR - 5HP</t>
  </si>
  <si>
    <t>RL7-FAN-101.M1</t>
  </si>
  <si>
    <t>COOKER 1 - EXHAUST FAN</t>
  </si>
  <si>
    <t>12J</t>
  </si>
  <si>
    <t>RL7-FAN-102.M1</t>
  </si>
  <si>
    <t>COOKER 2 - EXHAUST FAN</t>
  </si>
  <si>
    <t>RL7-PRM-101.M2
RL7-PRM-101.M3</t>
  </si>
  <si>
    <t>PRE-MIXER AGITATORS</t>
  </si>
  <si>
    <t>(2) 30</t>
  </si>
  <si>
    <t>3/C #6 VFD CABLE</t>
  </si>
  <si>
    <t>SHARED VFD - FED THRU JIC2A</t>
  </si>
  <si>
    <t>RL7-PMP-106.M1</t>
  </si>
  <si>
    <t>PRE-MIXER PUMP</t>
  </si>
  <si>
    <t>15C</t>
  </si>
  <si>
    <t>COOKER 1 - COLUMN DUMPER</t>
  </si>
  <si>
    <t>FVR</t>
  </si>
  <si>
    <t>FED THRU COOKER 1 JIC4A</t>
  </si>
  <si>
    <t>Motor_FVR</t>
  </si>
  <si>
    <t>15F</t>
  </si>
  <si>
    <t>COOKER 2 - COLUMN DUMPER</t>
  </si>
  <si>
    <t>FED THRU COOKER 2 JIC3A</t>
  </si>
  <si>
    <t>15J</t>
  </si>
  <si>
    <t>15L</t>
  </si>
  <si>
    <t>RL7-MCC2-16A.SW1 RL7-MCC2-16A.SW2</t>
  </si>
  <si>
    <t>ETHERNET SWITCHES (10P &amp; 20P)</t>
  </si>
  <si>
    <t>VFD - 5HP</t>
  </si>
  <si>
    <t>16G</t>
  </si>
  <si>
    <t>16K</t>
  </si>
  <si>
    <t>17C</t>
  </si>
  <si>
    <t>17G</t>
  </si>
  <si>
    <t>17M</t>
  </si>
  <si>
    <t>INCLINE PIVOT AUGER 2 HYDRAULIC PUMP</t>
  </si>
  <si>
    <t>18C</t>
  </si>
  <si>
    <t>RL7-CNV-106.M3</t>
  </si>
  <si>
    <t>INCLINE PIVOT AUGER 2 SLIDE TRACK</t>
  </si>
  <si>
    <t>18G</t>
  </si>
  <si>
    <t>RL7-CNV-106.M1</t>
  </si>
  <si>
    <t>INCLINE PIVOT AUGER 2</t>
  </si>
  <si>
    <t>18M</t>
  </si>
  <si>
    <t>19A</t>
  </si>
  <si>
    <t>RL7-MCC2-19A.PS1</t>
  </si>
  <si>
    <t>19C</t>
  </si>
  <si>
    <t>19H</t>
  </si>
  <si>
    <t>RL7-6MCC03</t>
  </si>
  <si>
    <t>RL7-MCC3-PM</t>
  </si>
  <si>
    <t>RL7-MCC3-2A.SW1</t>
  </si>
  <si>
    <t>RL7-MCC3-2C.PS1</t>
  </si>
  <si>
    <t>VFD - 1HP</t>
  </si>
  <si>
    <t>02J</t>
  </si>
  <si>
    <t>RL7-CNV-201.M1</t>
  </si>
  <si>
    <t>ROLL FILLER DISCHARGE CONVEYOR</t>
  </si>
  <si>
    <t>NEEDS MELTRIC</t>
  </si>
  <si>
    <t>03E</t>
  </si>
  <si>
    <t>RL7-CNV-203.M1</t>
  </si>
  <si>
    <t>SERPENTINE INFEED CONVEYOR 2</t>
  </si>
  <si>
    <t>03J</t>
  </si>
  <si>
    <t>RL7-CNV-204.M1</t>
  </si>
  <si>
    <t>SERPENTINE INFEED CONVEYOR 3</t>
  </si>
  <si>
    <t>RL7-AGC-201.M1</t>
  </si>
  <si>
    <t>DISCHARGE AUGER CART - LEVELING RIBBON</t>
  </si>
  <si>
    <t>04E</t>
  </si>
  <si>
    <t>04F</t>
  </si>
  <si>
    <t>RL7-SKD-201.M1</t>
  </si>
  <si>
    <t>CLEAN ASSIST FOAM PUMP</t>
  </si>
  <si>
    <t>04L</t>
  </si>
  <si>
    <t>05C</t>
  </si>
  <si>
    <t>RL7-PMP-201.M1</t>
  </si>
  <si>
    <t>DISCHARGE AUGER CART PUMP</t>
  </si>
  <si>
    <t>RL7-AGC-201.M2</t>
  </si>
  <si>
    <t>DISCHARGE AUGER CART AUGER</t>
  </si>
  <si>
    <t>RL7-CNV-205.M1</t>
  </si>
  <si>
    <t>SERPENTINE DISCHARGE CONVEYOR 1</t>
  </si>
  <si>
    <t>RL7-CNV-202.M1</t>
  </si>
  <si>
    <t>SERPENTINE INFEED CONVEYOR 1</t>
  </si>
  <si>
    <t>RL7-CNV-403.M1</t>
  </si>
  <si>
    <t>METERING CONVEYOR 2</t>
  </si>
  <si>
    <t>RL7-CHR-201.M1</t>
  </si>
  <si>
    <t>SERPENTINE MAIN DRIVE</t>
  </si>
  <si>
    <t>07F</t>
  </si>
  <si>
    <t>07G</t>
  </si>
  <si>
    <t>VFD - 20HP</t>
  </si>
  <si>
    <t>RL7-PMP-203.M1</t>
  </si>
  <si>
    <t>SERPENTINE HEX 1 PUMP</t>
  </si>
  <si>
    <t>3/C #2 VFD CABLE</t>
  </si>
  <si>
    <t>RL7-PMP-204.M1</t>
  </si>
  <si>
    <t>SERPENTINE RECIRC 1 PUMP</t>
  </si>
  <si>
    <t>RL7-PMP-205.M1</t>
  </si>
  <si>
    <t>SERPENTINE HEX 2 PUMP</t>
  </si>
  <si>
    <t>RL7-PMP-206.M1</t>
  </si>
  <si>
    <t>SERPENTINE RECIRC 2 PUMP</t>
  </si>
  <si>
    <t>RL7-PMP-207.M1</t>
  </si>
  <si>
    <t>SERPENTINE HEX 3 PUMP</t>
  </si>
  <si>
    <t>13E</t>
  </si>
  <si>
    <t>RL7-FTR-205.M1</t>
  </si>
  <si>
    <t xml:space="preserve">SERPENTINE ZONE 2A FILTER </t>
  </si>
  <si>
    <t>RL7-FTR-207.M1</t>
  </si>
  <si>
    <t>SERPENTINE ZONE 2B FILTER</t>
  </si>
  <si>
    <t>RL7-CNV-402.M1</t>
  </si>
  <si>
    <t>METERING CONVEYOR 1</t>
  </si>
  <si>
    <t>15E</t>
  </si>
  <si>
    <t>RL7-CNV-401.M1</t>
  </si>
  <si>
    <t>INSPECTION CONVEYOR</t>
  </si>
  <si>
    <t>RL7-CNV-206.M1</t>
  </si>
  <si>
    <t>SERPENTINE DISCHARGE CONVEYOR 2</t>
  </si>
  <si>
    <t>RL7-MCC3-16A.SW1</t>
  </si>
  <si>
    <t>RL7-CNV-404.M1</t>
  </si>
  <si>
    <t>CASE PACKER INFEED CONVEYOR</t>
  </si>
  <si>
    <t>RL7-FAN-201.M1</t>
  </si>
  <si>
    <t>AIR KNIFE BLOWER</t>
  </si>
  <si>
    <t>RM6-6MCC01</t>
  </si>
  <si>
    <t>RM6-MCC1-PM</t>
  </si>
  <si>
    <t>RM6-CNV-101.M1</t>
  </si>
  <si>
    <t>VFD</t>
  </si>
  <si>
    <t>RM6-MCC1-02H.PS1</t>
  </si>
  <si>
    <t>02L</t>
  </si>
  <si>
    <t>RM6-MCC1-02L.SW1</t>
  </si>
  <si>
    <t>RM6-GRR-105.M1</t>
  </si>
  <si>
    <t>STEAM COOKER 1 DE-CLUMPER</t>
  </si>
  <si>
    <t>RM6-BIN-101C.M2</t>
  </si>
  <si>
    <t>03L</t>
  </si>
  <si>
    <t>RM6-CKR-101.M1</t>
  </si>
  <si>
    <t>STEAM COOKER 1 STEAM BELT 1</t>
  </si>
  <si>
    <t>RM6-WWL-101.M1 RM6-SHR-101.M1</t>
  </si>
  <si>
    <t>STEAM COOKER 1 WATERWHEEL/SPREADER MOTOR 1</t>
  </si>
  <si>
    <t>04J</t>
  </si>
  <si>
    <t>RM6-CKR-101.M2</t>
  </si>
  <si>
    <t>STEAM COOKER 1 STEAM BELT 2</t>
  </si>
  <si>
    <t>RM6-FAN-101.M1</t>
  </si>
  <si>
    <t>STEAM COOKER 1 EXHAUST FAN 1</t>
  </si>
  <si>
    <t>05E</t>
  </si>
  <si>
    <t>RM6-FAN-102.M1</t>
  </si>
  <si>
    <t>STEAM COOKER 1 EXHAUST FAN 2</t>
  </si>
  <si>
    <t>05J</t>
  </si>
  <si>
    <t>RM6-FAN-103.M1</t>
  </si>
  <si>
    <t>STEAM COOKER 1 EXHAUST FAN 3</t>
  </si>
  <si>
    <t>RM6-BIN-101B.M2</t>
  </si>
  <si>
    <t>06C</t>
  </si>
  <si>
    <t>RM6-CNV-112.M1</t>
  </si>
  <si>
    <t>STEAM COOKER 1 DISCHARGE CONVEYOR</t>
  </si>
  <si>
    <t>06L</t>
  </si>
  <si>
    <t>RM6-MCC1-06L.SW1</t>
  </si>
  <si>
    <t>RM6-GRR-106.M1</t>
  </si>
  <si>
    <t>STEAM COOKER 2 DE-CLUMPER</t>
  </si>
  <si>
    <t>RM6-CKR-102.M1</t>
  </si>
  <si>
    <t>STEAM COOKER 2 STEAM BELT 1</t>
  </si>
  <si>
    <t>RM6-WWL-102.M1 RM6-SHR-102.M1</t>
  </si>
  <si>
    <t>STEAM COOKER 2 WATERWHEEL/SPREADER MOTOR 1</t>
  </si>
  <si>
    <t>RM6-AGC-103.M2</t>
  </si>
  <si>
    <t>DUAL AUGER CART 1 AUGER 1</t>
  </si>
  <si>
    <t>RM6-AGC-103.M3</t>
  </si>
  <si>
    <t>DUAL AUGER CART 1 AUGER 2</t>
  </si>
  <si>
    <t>08J</t>
  </si>
  <si>
    <t>RM6-AGC-104.M2</t>
  </si>
  <si>
    <t>DUAL AUGER CART 2 AUGER 1</t>
  </si>
  <si>
    <t>RM6-CKR-102.M2</t>
  </si>
  <si>
    <t>STEAM COOKER 2 STEAM BELT 2</t>
  </si>
  <si>
    <t>RM6-CNV-115.M1</t>
  </si>
  <si>
    <t>STEAM COOKER 2 DISCHARGE CONVEYOR</t>
  </si>
  <si>
    <t>09J</t>
  </si>
  <si>
    <t>RM6-CNV-107.M1</t>
  </si>
  <si>
    <t>INCLINED BELT CONVEYOR</t>
  </si>
  <si>
    <t>RM6-AGC.103.M4</t>
  </si>
  <si>
    <t>DUAL AUGER CART 1 SLIDING TRACK</t>
  </si>
  <si>
    <t>RM6-AGC-104.M4</t>
  </si>
  <si>
    <t>DUAL AUGER CART 2 SLIDING TRACK</t>
  </si>
  <si>
    <t>10J</t>
  </si>
  <si>
    <t>RM6-CNV-108.M3</t>
  </si>
  <si>
    <t>INCLINE CONVEYOR SLIDE TRACK</t>
  </si>
  <si>
    <t>RM6-GRR-102.M1</t>
  </si>
  <si>
    <t>GRINDER</t>
  </si>
  <si>
    <t>3/C #250 MCM VFD CABLE</t>
  </si>
  <si>
    <t>RM6-SLT-201.M2</t>
  </si>
  <si>
    <t>SLITTER</t>
  </si>
  <si>
    <t>RM6-MGR-101.M4</t>
  </si>
  <si>
    <t>MIXER GRINDER 1 GRINDER</t>
  </si>
  <si>
    <t>3/C #2/0 VFD CABLE</t>
  </si>
  <si>
    <t>RM6-CRT-201.M1</t>
  </si>
  <si>
    <t>VINEGAR SUPPLE CART</t>
  </si>
  <si>
    <t>13F</t>
  </si>
  <si>
    <t>RM6-MGR-102.M4</t>
  </si>
  <si>
    <t>MIXER GRINDER 2 GRINDER</t>
  </si>
  <si>
    <t>RM6-BIN-101D.M2</t>
  </si>
  <si>
    <t>14G</t>
  </si>
  <si>
    <t>14L</t>
  </si>
  <si>
    <t>RM6-MCC1-14L.SW1</t>
  </si>
  <si>
    <t>RM6-BIN-101A.M2</t>
  </si>
  <si>
    <t>15H</t>
  </si>
  <si>
    <t>RM6-AGC-103.M1</t>
  </si>
  <si>
    <t>DUAL AUGER CART 1 LEVELING RIBON</t>
  </si>
  <si>
    <t>RM6-CNV-104.M1</t>
  </si>
  <si>
    <t>RM6-CNV-108.M2</t>
  </si>
  <si>
    <t>INCLINE CONVEYOR HYDRAULICS</t>
  </si>
  <si>
    <t>16L</t>
  </si>
  <si>
    <t>RM6-FAN-104.M1</t>
  </si>
  <si>
    <t>STEAM COOKER 2 EXHAUST FAN 1</t>
  </si>
  <si>
    <t>17E</t>
  </si>
  <si>
    <t>RM6-FAN-105.M1</t>
  </si>
  <si>
    <t>STEAM COOKER 2 EXHAUST FAN 2</t>
  </si>
  <si>
    <t>17J</t>
  </si>
  <si>
    <t>RM6-FAN-106.M1</t>
  </si>
  <si>
    <t>STEAM COOKER 2 EXHAUST FAN 3</t>
  </si>
  <si>
    <t>RM6-AGC-104.M3</t>
  </si>
  <si>
    <t>DUAL AUGER CART 2 AUGER 2</t>
  </si>
  <si>
    <t>18E</t>
  </si>
  <si>
    <t>RM6-MLT-103.M1</t>
  </si>
  <si>
    <t>MIXER GRINDER 1 COLUMN DUMPER</t>
  </si>
  <si>
    <t>18H</t>
  </si>
  <si>
    <t>RM6-AGC-104.M1</t>
  </si>
  <si>
    <t>DUAL AUGER CART 2 LEVELING RIBON</t>
  </si>
  <si>
    <t>19E</t>
  </si>
  <si>
    <t>RM6_82</t>
  </si>
  <si>
    <t>CIP TANK STARTER</t>
  </si>
  <si>
    <t>3/C #6 W/ GND</t>
  </si>
  <si>
    <t>19J</t>
  </si>
  <si>
    <t>RM6-SLT-201.M1</t>
  </si>
  <si>
    <t>RM6-6MCC02</t>
  </si>
  <si>
    <t>01F</t>
  </si>
  <si>
    <t>RM6-MCC2-PM</t>
  </si>
  <si>
    <t>01J</t>
  </si>
  <si>
    <t>01K</t>
  </si>
  <si>
    <t>RM6-MCC2-01K.PS1</t>
  </si>
  <si>
    <t>RM6-MGR-101.M3</t>
  </si>
  <si>
    <t>MIXER GRINDER 1 DISCHARGE SCREW</t>
  </si>
  <si>
    <t>02G</t>
  </si>
  <si>
    <t>RM6-SKD-101.M1</t>
  </si>
  <si>
    <t>VOTATOR PMP-201 COOKER 1</t>
  </si>
  <si>
    <t>RM6-MCC2-02L.SW1</t>
  </si>
  <si>
    <t>RM6-BIN-101D.M1</t>
  </si>
  <si>
    <t>SURGE BIN 4 AGITATOR</t>
  </si>
  <si>
    <t>03G</t>
  </si>
  <si>
    <t>RM6-BIN-101C.M1</t>
  </si>
  <si>
    <t>SURGE BIN 3 AGITATOR</t>
  </si>
  <si>
    <t>RM6-BIN-101B.M1</t>
  </si>
  <si>
    <t>SURGE BIN 2 AGITATOR</t>
  </si>
  <si>
    <t>04G</t>
  </si>
  <si>
    <t>RM6-BIN-101A.M1</t>
  </si>
  <si>
    <t>SURGE BIN 1 AGITATOR</t>
  </si>
  <si>
    <t>RM6-PMP-103.M1</t>
  </si>
  <si>
    <t>DUAL AUGER CART 1 PUMP</t>
  </si>
  <si>
    <t>05G</t>
  </si>
  <si>
    <t>RM6-PMP-104.M1</t>
  </si>
  <si>
    <t>DUAL AUGER CART 2 PUMP</t>
  </si>
  <si>
    <t>RM6-SCR-201.M1</t>
  </si>
  <si>
    <t>VIBRATORY SCREENER</t>
  </si>
  <si>
    <t>RM6-MGR-101.M1 RM6-MGR-101.M2</t>
  </si>
  <si>
    <t>MIXER GRINDER 1</t>
  </si>
  <si>
    <t>RM6-CNV-201.M1</t>
  </si>
  <si>
    <t>INCLINE CONVEYOR</t>
  </si>
  <si>
    <t>RM6-MGR-102.M1 RM6-MGR-102.M2</t>
  </si>
  <si>
    <t>MIXER GRINDER 2</t>
  </si>
  <si>
    <t>RM6-PMP-101.M1</t>
  </si>
  <si>
    <t>AUGER CART 1 PUMP</t>
  </si>
  <si>
    <t>RM6-MTL-104.M1</t>
  </si>
  <si>
    <t>MIXER GRINDER 2 COLUMN DUMPER</t>
  </si>
  <si>
    <t>08L</t>
  </si>
  <si>
    <t>RM6-MCC2-08L.SW1</t>
  </si>
  <si>
    <t>09C</t>
  </si>
  <si>
    <t>RM6-MLT-102.M1</t>
  </si>
  <si>
    <t>COMBO TOTE DUMPER</t>
  </si>
  <si>
    <t>RM6-MGR-102.M3</t>
  </si>
  <si>
    <t>MIXER GRINDER 2 DISCHARGE SCREW</t>
  </si>
  <si>
    <t>RM6-GRR-101.M1</t>
  </si>
  <si>
    <t>FROZEN BLOCK BREAKER 1</t>
  </si>
  <si>
    <t>RM6-GRR-101.M2</t>
  </si>
  <si>
    <t>FROZEN BLOCK BREAKER 2</t>
  </si>
  <si>
    <t>RM6-SKD-101.M2</t>
  </si>
  <si>
    <t>VOTATOR PMP-202 COOKER 1</t>
  </si>
  <si>
    <t>RM6-SKD-102.M2</t>
  </si>
  <si>
    <t xml:space="preserve">VOTATOR PMP-202 COOKER 2 </t>
  </si>
  <si>
    <t>RM6-CNV-105.M1</t>
  </si>
  <si>
    <t>SURGE BIN TAKEAWAY CONVEYOR</t>
  </si>
  <si>
    <t>RM6-CNV-108.M1</t>
  </si>
  <si>
    <t>INCLINE CONVEYOR SCREW</t>
  </si>
  <si>
    <t>13L</t>
  </si>
  <si>
    <t>RM6-MCC2-13L.SW1</t>
  </si>
  <si>
    <t>RM6-SKD-102.M1</t>
  </si>
  <si>
    <t>VOTATOR PMP-101 COOKER 1</t>
  </si>
  <si>
    <t>RM6-CNV-102.M1</t>
  </si>
  <si>
    <t>METAL DETECTOR BELT CONVEYOR</t>
  </si>
  <si>
    <t>RM6-SKD-103.M1</t>
  </si>
  <si>
    <t>VOTATOR PMP-201 COOKER 2</t>
  </si>
  <si>
    <t>RM6-SKD-103.M2</t>
  </si>
  <si>
    <t>VOTATOR PMP-202 COOKER 2</t>
  </si>
  <si>
    <t>RM6-SKD-104.M1</t>
  </si>
  <si>
    <t>VOTATOR PMP-101 COOKER 2</t>
  </si>
  <si>
    <t>RM6-SKD-104.M2</t>
  </si>
  <si>
    <t xml:space="preserve">VOTATOR PMP-102 COOKER 2 </t>
  </si>
  <si>
    <t>RM6-HTX-101.M1</t>
  </si>
  <si>
    <t xml:space="preserve">VOTATOR HX-101 COOKER 1 </t>
  </si>
  <si>
    <t>RM6-HTX-102.M1</t>
  </si>
  <si>
    <t>VOTATOR HX-102 COOKER 1</t>
  </si>
  <si>
    <t>RM6-HTX-103.M1</t>
  </si>
  <si>
    <t>VOTATOR HX-103 COOKER 1</t>
  </si>
  <si>
    <t>RM6-HTX-104.M1</t>
  </si>
  <si>
    <t>VOTATOR HX-104 COOKER 1</t>
  </si>
  <si>
    <t>RM6-AGC-101.M1</t>
  </si>
  <si>
    <t>AUGER CART 1 AUGER 1</t>
  </si>
  <si>
    <t>RM6-AGC-101.M2</t>
  </si>
  <si>
    <t>AUGER CART 1 AUGER 2</t>
  </si>
  <si>
    <t>VTTRS-MCC1</t>
  </si>
  <si>
    <t>HTX-101</t>
  </si>
  <si>
    <t>VOTATOR 1</t>
  </si>
  <si>
    <t>PMP-101</t>
  </si>
  <si>
    <t>B&amp;F HOT WATER LOOP PUMP</t>
  </si>
  <si>
    <t>03F</t>
  </si>
  <si>
    <t>HTX-102</t>
  </si>
  <si>
    <t>VOTATOR 2</t>
  </si>
  <si>
    <t>PMP-102</t>
  </si>
  <si>
    <t>BOOSTER PUMP</t>
  </si>
  <si>
    <t>HTX-103</t>
  </si>
  <si>
    <t>VOTATOR 3</t>
  </si>
  <si>
    <t>RM5-MCC1-5A.SW1</t>
  </si>
  <si>
    <t>05L</t>
  </si>
  <si>
    <t>RM5-MCC1-5L.ENPS</t>
  </si>
  <si>
    <t>PMP-106</t>
  </si>
  <si>
    <t>CHILLED WATER PUMP 2</t>
  </si>
  <si>
    <t>06F</t>
  </si>
  <si>
    <t>HTX-105</t>
  </si>
  <si>
    <t>VOTATOR 5</t>
  </si>
  <si>
    <t>PMP-103</t>
  </si>
  <si>
    <t>CHILLED WATER PUMP 1</t>
  </si>
  <si>
    <t>HTX-104</t>
  </si>
  <si>
    <t>VOTATOR 4</t>
  </si>
  <si>
    <t>08B</t>
  </si>
  <si>
    <t>HTX-106</t>
  </si>
  <si>
    <t>VOTATOR 6</t>
  </si>
  <si>
    <t>09B</t>
  </si>
  <si>
    <t>FHD-101</t>
  </si>
  <si>
    <t>FORMING HEAD</t>
  </si>
  <si>
    <t>HTX-107</t>
  </si>
  <si>
    <t>VOTATOR 7</t>
  </si>
  <si>
    <t>10B</t>
  </si>
  <si>
    <t>PMP-10x</t>
  </si>
  <si>
    <t>VOTATOR SKID HW CIRC PUMP</t>
  </si>
  <si>
    <t>HTX-108</t>
  </si>
  <si>
    <t>VOTATOR 8</t>
  </si>
  <si>
    <t>11C</t>
  </si>
  <si>
    <t>PMP-104</t>
  </si>
  <si>
    <t>INJECTION PUMP 1</t>
  </si>
  <si>
    <t>HTX-109</t>
  </si>
  <si>
    <t>VOTATOR 9</t>
  </si>
  <si>
    <t>HTX-110</t>
  </si>
  <si>
    <t>VOTATOR 10</t>
  </si>
  <si>
    <t>RM5-MCC1-13A.ENPS</t>
  </si>
  <si>
    <t>CNV-101</t>
  </si>
  <si>
    <t>BATH CONVEYOR 1</t>
  </si>
  <si>
    <t>13K</t>
  </si>
  <si>
    <t>VOTATOR SKID MAKEUP WATER PUMP</t>
  </si>
  <si>
    <t>14D</t>
  </si>
  <si>
    <t>14K</t>
  </si>
  <si>
    <t>15D</t>
  </si>
  <si>
    <t>PMP-109</t>
  </si>
  <si>
    <t>BATH 1 CIRCULATION PUMP</t>
  </si>
  <si>
    <t>15K</t>
  </si>
  <si>
    <t>16B</t>
  </si>
  <si>
    <t>CNV-102</t>
  </si>
  <si>
    <t>BATH CONVEYOR 2</t>
  </si>
  <si>
    <t>16F</t>
  </si>
  <si>
    <t>VFD - 30HP</t>
  </si>
  <si>
    <t>17D</t>
  </si>
  <si>
    <t>17K</t>
  </si>
  <si>
    <t>SCR-101</t>
  </si>
  <si>
    <t>WASTE SEPARATOR DRUM</t>
  </si>
  <si>
    <t>18J</t>
  </si>
  <si>
    <t>18L</t>
  </si>
  <si>
    <t>VTTRS-MCC2</t>
  </si>
  <si>
    <t>MGR-001</t>
  </si>
  <si>
    <t>LEFT / RIGHT AUGER</t>
  </si>
  <si>
    <t>(2) 20</t>
  </si>
  <si>
    <t>VFD - 15HP</t>
  </si>
  <si>
    <t>GRR-001</t>
  </si>
  <si>
    <t>FROZEN GRINDER</t>
  </si>
  <si>
    <t>RM5-MCC2-5A.SW1</t>
  </si>
  <si>
    <t>06D</t>
  </si>
  <si>
    <t>AGC-002.M1</t>
  </si>
  <si>
    <t>AUGER CART LEFT AUGER</t>
  </si>
  <si>
    <t>06G</t>
  </si>
  <si>
    <t>AGC-002.M2</t>
  </si>
  <si>
    <t>AUGER CART RIGHT AUGER</t>
  </si>
  <si>
    <t>06K</t>
  </si>
  <si>
    <t>CNV-001</t>
  </si>
  <si>
    <t>INCLINE BELT CONVEYOR</t>
  </si>
  <si>
    <t>CNV-002</t>
  </si>
  <si>
    <t>FB INCLINE / MD CONVEYOR</t>
  </si>
  <si>
    <t>CNV-003</t>
  </si>
  <si>
    <t>DISCHARGE SCREW</t>
  </si>
  <si>
    <t>GRR-002</t>
  </si>
  <si>
    <t>FROZEN GRINDER SCREW</t>
  </si>
  <si>
    <t>MLT-004</t>
  </si>
  <si>
    <t>COLUMN DUMPER</t>
  </si>
  <si>
    <t>09D</t>
  </si>
  <si>
    <t>INCLINE PIVOT AUGER</t>
  </si>
  <si>
    <t>TNK-001</t>
  </si>
  <si>
    <t>COOKING KETTLE MIXER</t>
  </si>
  <si>
    <t>09K</t>
  </si>
  <si>
    <t>AGR-001</t>
  </si>
  <si>
    <t>CHILLING KETTLE AGITATOR</t>
  </si>
  <si>
    <t>PMP-xxx</t>
  </si>
  <si>
    <t>INCLINE AUGER HYDRAULIC PUMP</t>
  </si>
  <si>
    <t>10C</t>
  </si>
  <si>
    <t>MLT-005</t>
  </si>
  <si>
    <t>10G</t>
  </si>
  <si>
    <t>RM5-MCC2-11A.SW1</t>
  </si>
  <si>
    <t>AGC-001.M1</t>
  </si>
  <si>
    <t>AUGER CART 1 - LEFT AUGER</t>
  </si>
  <si>
    <t>AGC-001.M2</t>
  </si>
  <si>
    <t>AUGER CART 1 - RIGHT AUGER</t>
  </si>
  <si>
    <t>11J</t>
  </si>
  <si>
    <t>AGC-002.M3</t>
  </si>
  <si>
    <t>AUGER CART 2 - LEVELING RIBBON</t>
  </si>
  <si>
    <t>MLT-001</t>
  </si>
  <si>
    <t>TOTE DUMPER</t>
  </si>
  <si>
    <t>???</t>
  </si>
  <si>
    <t>TRACK</t>
  </si>
  <si>
    <t>AGC-001.M3</t>
  </si>
  <si>
    <t>AUGER CART 1 - PUMP</t>
  </si>
  <si>
    <t>13G</t>
  </si>
  <si>
    <t>UNUSED</t>
  </si>
  <si>
    <t>VFD - 75HP</t>
  </si>
  <si>
    <t>MASTER NP</t>
  </si>
  <si>
    <t>RL7-6MCC1</t>
  </si>
  <si>
    <t>ROLL LINE 7</t>
  </si>
  <si>
    <t>ETHERNET SWITCHES</t>
  </si>
  <si>
    <t>EQUIPMENT ID</t>
  </si>
  <si>
    <t>TYPE</t>
  </si>
  <si>
    <t>EQUIPMENT DESCRIPTION</t>
  </si>
  <si>
    <t>LOCATION</t>
  </si>
  <si>
    <t>MOUNTING</t>
  </si>
  <si>
    <t>LINE</t>
  </si>
  <si>
    <t>UPS PANEL_CKT</t>
  </si>
  <si>
    <t>CKT PULLED</t>
  </si>
  <si>
    <t>CKT TERMED</t>
  </si>
  <si>
    <t>PANEL / DEVICE ENERGIZED</t>
  </si>
  <si>
    <t>COMMS
CONFIG</t>
  </si>
  <si>
    <t>RL-HWS4-CP1</t>
  </si>
  <si>
    <t>CP</t>
  </si>
  <si>
    <t>HAND WEIGH STATION 4 CONTROL PANEL</t>
  </si>
  <si>
    <t>DRY BATCH</t>
  </si>
  <si>
    <t>WALL</t>
  </si>
  <si>
    <t>RL-HWS4-HMI1</t>
  </si>
  <si>
    <t>HMI</t>
  </si>
  <si>
    <t>HAND WEIGH STATION 4 HMI</t>
  </si>
  <si>
    <t>POST</t>
  </si>
  <si>
    <t>POST INCLUDED W/ 4XXTREME ENCLOSURE</t>
  </si>
  <si>
    <t>RL-HWS4-QR1</t>
  </si>
  <si>
    <t>QR</t>
  </si>
  <si>
    <t>HAND WEIGH STATION 4 QR SCANNER</t>
  </si>
  <si>
    <t>RL-HWS4-SCN1</t>
  </si>
  <si>
    <t>SCN</t>
  </si>
  <si>
    <t>HAND WEIGH STATION 4 BARCODE SCANNER</t>
  </si>
  <si>
    <t>RL-HWS4-ZEB1</t>
  </si>
  <si>
    <t>ZEB</t>
  </si>
  <si>
    <t>HAND WEIGH STATION 4 ZEBRA PRINTER</t>
  </si>
  <si>
    <t>RL-HWS4-FSCL1</t>
  </si>
  <si>
    <t>FSCL</t>
  </si>
  <si>
    <t>HAND WEIGH STATION 4 FLOOR SCALE</t>
  </si>
  <si>
    <t>RL-HWS4-TSCL1</t>
  </si>
  <si>
    <t>TSCL</t>
  </si>
  <si>
    <t>HAND WEIGH STATION 4 TABLE SCALE 1</t>
  </si>
  <si>
    <t>RL-HWS4-TSCL2</t>
  </si>
  <si>
    <t>HAND WEIGH STATION 4 TABLE SCALE 2</t>
  </si>
  <si>
    <t>RL-HWS5-CP1</t>
  </si>
  <si>
    <t>HAND WEIGH STATION 5 CONTROL PANEL</t>
  </si>
  <si>
    <t>RL-HWS5-HMI1</t>
  </si>
  <si>
    <t>HAND WEIGH STATION 5 HMI</t>
  </si>
  <si>
    <t>RL-HWS5-QR1</t>
  </si>
  <si>
    <t>HAND WEIGH STATION 5 QR SCANNER</t>
  </si>
  <si>
    <t>RL-HWS5-SCN1</t>
  </si>
  <si>
    <t>HAND WEIGH STATION 5 BARCODE SCANNER</t>
  </si>
  <si>
    <t>RL-HWS5-ZEB1</t>
  </si>
  <si>
    <t>HAND WEIGH STATION 5 ZEBRA PRINTER</t>
  </si>
  <si>
    <t>RL-HWS5-FSCL1</t>
  </si>
  <si>
    <t>HAND WEIGH STATION 5 FLOOR SCALE</t>
  </si>
  <si>
    <t>RL-HWS5-TSCL1</t>
  </si>
  <si>
    <t>HAND WEIGH STATION 5 TABLE SCALE 1</t>
  </si>
  <si>
    <t>RL-HWS5-TSCL2</t>
  </si>
  <si>
    <t>HAND WEIGH STATION 5 TABLE SCALE 2</t>
  </si>
  <si>
    <t>RL-HWS6-CP1</t>
  </si>
  <si>
    <t>HAND WEIGH STATION 6 CONTROL PANEL</t>
  </si>
  <si>
    <t>RL-HWS6-HMI1</t>
  </si>
  <si>
    <t>HAND WEIGH STATION 6 HMI</t>
  </si>
  <si>
    <t>RL-HWS6-QR1</t>
  </si>
  <si>
    <t>HAND WEIGH STATION 6 QR SCANNER</t>
  </si>
  <si>
    <t>RL-HWS6-SCN1</t>
  </si>
  <si>
    <t>HAND WEIGH STATION 6 BARCODE SCANNER</t>
  </si>
  <si>
    <t>RL-HWS6-ZEB1</t>
  </si>
  <si>
    <t>HAND WEIGH STATION 6 ZEBRA PRINTER</t>
  </si>
  <si>
    <t>RL-HWS6-FSCL1</t>
  </si>
  <si>
    <t>HAND WEIGH STATION 6 FLOOR SCALE</t>
  </si>
  <si>
    <t>RL-HWS6-TSCL1</t>
  </si>
  <si>
    <t>HAND WEIGH STATION 6 TABLE SCALE 1</t>
  </si>
  <si>
    <t>RL-HWS6-TSCL2</t>
  </si>
  <si>
    <t>HAND WEIGH STATION 6 TABLE SCALE 2</t>
  </si>
  <si>
    <t>RL-LWS-HMI2</t>
  </si>
  <si>
    <t>LIQUID WEIGH STATION HMI 2</t>
  </si>
  <si>
    <t>RIO</t>
  </si>
  <si>
    <t>SURGE BINS 1 &amp; 2 RIO</t>
  </si>
  <si>
    <t>GRINDING AND COOKING</t>
  </si>
  <si>
    <t>PLATFORM</t>
  </si>
  <si>
    <t>LINE 7</t>
  </si>
  <si>
    <t>SURGE BINS 3 &amp; 4 RIO</t>
  </si>
  <si>
    <t>RL7-BINS-HMI1</t>
  </si>
  <si>
    <t>SURGE BINS PLATFORM HMI</t>
  </si>
  <si>
    <t>UPDATED TAG - PBK-HMI2 -&gt; BINS-HMI1</t>
  </si>
  <si>
    <t>SURGE BIN SUPPLY CONVEYOR RIO</t>
  </si>
  <si>
    <t>EQUIPMENT</t>
  </si>
  <si>
    <t>NEW</t>
  </si>
  <si>
    <t>BREDDO MIXER RIO</t>
  </si>
  <si>
    <t>RL7-BRED-HMI1</t>
  </si>
  <si>
    <t>BREDDO MIXER HMI</t>
  </si>
  <si>
    <t>RL7-BRED-QR1</t>
  </si>
  <si>
    <t>BREDDO MIXER PLATFORM QR SCANNER</t>
  </si>
  <si>
    <t>RL7-BRED-QR2</t>
  </si>
  <si>
    <t>BREDDO DUMPER QR SCANNER</t>
  </si>
  <si>
    <t>RL7-CIP-HMI1</t>
  </si>
  <si>
    <t>CIP SKID HMI</t>
  </si>
  <si>
    <t>CIP</t>
  </si>
  <si>
    <t>COOKER 1 RIO</t>
  </si>
  <si>
    <t>RL7-CKR1-HMI1</t>
  </si>
  <si>
    <t>COOKER 1 HMI</t>
  </si>
  <si>
    <t>RL7-CKR1-QR1</t>
  </si>
  <si>
    <t>COOKER 1 QR SCANNER</t>
  </si>
  <si>
    <t>COOKER 2 RIO</t>
  </si>
  <si>
    <t>RL7-CKR2-HMI1</t>
  </si>
  <si>
    <t>COOKER 2 HMI</t>
  </si>
  <si>
    <t>RL7-CKR2-QR1</t>
  </si>
  <si>
    <t>COOKER 2 QR SCANNER</t>
  </si>
  <si>
    <t>DISCHARGE AUGER CART</t>
  </si>
  <si>
    <t>FILLING AND CHILLING</t>
  </si>
  <si>
    <t>FRESH AUGER CART 1 RIO</t>
  </si>
  <si>
    <t>FRESH AUGER CART 2 RIO</t>
  </si>
  <si>
    <t>RL7-FAGC-HMI1</t>
  </si>
  <si>
    <t>FRESH AUGER CARTS HMI</t>
  </si>
  <si>
    <t>STAND</t>
  </si>
  <si>
    <t>RL7-FAGC-SCN1</t>
  </si>
  <si>
    <t>FRESH AUGER CARTS BARCODE SCANNER</t>
  </si>
  <si>
    <t>RL7-INSTL-RIO1</t>
  </si>
  <si>
    <t>INTERSTITIAL RIO - GRINDING &amp; COOKING</t>
  </si>
  <si>
    <t>RL7 PROCESS CORRIDOR</t>
  </si>
  <si>
    <t>RL7-INSTL-RIO2</t>
  </si>
  <si>
    <t>INTERSTITIAL RIO - CHILLING &amp; PACKAGING</t>
  </si>
  <si>
    <t>INCLINE PIVOT AUGER 1 RIO</t>
  </si>
  <si>
    <t>INCLINE PIVOT AUGER 2 RIO</t>
  </si>
  <si>
    <t>RL7-LAS-HMI1</t>
  </si>
  <si>
    <t>LACTIC ACID SKID HMI</t>
  </si>
  <si>
    <t>HEAT EXCHANGE / LACTIC ACID</t>
  </si>
  <si>
    <t>RL7-LAS-SCN1</t>
  </si>
  <si>
    <t>LACTIC ACID SKID BARCODE SCANNER</t>
  </si>
  <si>
    <t>RL7-LAS-HMI1_CB10051</t>
  </si>
  <si>
    <t>RL7-LAS-TSCL1</t>
  </si>
  <si>
    <t>LACTIC ACID SKID TABLE SCALE</t>
  </si>
  <si>
    <t>RL7-LINE-HMI1</t>
  </si>
  <si>
    <t>GRINDING AND COOKING AREA HMI'S</t>
  </si>
  <si>
    <t>FLOOR MOUNTED</t>
  </si>
  <si>
    <t>RL7-LINE-PLC</t>
  </si>
  <si>
    <t>PLC</t>
  </si>
  <si>
    <t>MAIN PLC CABINET</t>
  </si>
  <si>
    <t>MDF ROOM</t>
  </si>
  <si>
    <t>RACK</t>
  </si>
  <si>
    <t>PRE-MIXER RIO</t>
  </si>
  <si>
    <t>UPDATED TAG - MISC -&gt; PRM</t>
  </si>
  <si>
    <t>RL7-PRM-HMI1</t>
  </si>
  <si>
    <t>PRE-MIXER HMI</t>
  </si>
  <si>
    <t>RL7-PRM-QR1</t>
  </si>
  <si>
    <t>PRE-MIXER QR SCANNER</t>
  </si>
  <si>
    <t>RL7-PRM-HMI1_CB10051</t>
  </si>
  <si>
    <t>FROZEN GRINDER RIO</t>
  </si>
  <si>
    <t>RL7-PBK-HMI1</t>
  </si>
  <si>
    <t>FROZEN GRINDER HMI</t>
  </si>
  <si>
    <t>RL7-PBK-SCN1</t>
  </si>
  <si>
    <t>FROZEN GRINDER BARCODE SCANNER</t>
  </si>
  <si>
    <t>RL7-PBK-HMI1_CB10049</t>
  </si>
  <si>
    <t>RL7-PKOUT-HMI1</t>
  </si>
  <si>
    <t>PACKAGING HMI</t>
  </si>
  <si>
    <t>PACKAGING</t>
  </si>
  <si>
    <t>PACKAGING RIO</t>
  </si>
  <si>
    <t>RL7-RWK-HMI1</t>
  </si>
  <si>
    <t>HOT REWORK HMI</t>
  </si>
  <si>
    <t>RL7-RWK-QR1</t>
  </si>
  <si>
    <t>HOT REWORK QR SCANNER</t>
  </si>
  <si>
    <t>RL7-RWK-HMI1_CB10060</t>
  </si>
  <si>
    <t>RL7-RWK-SCN1</t>
  </si>
  <si>
    <t>HOT REWORK BARCODE SCANNER</t>
  </si>
  <si>
    <t>RL7-RWK-HMI1_CB10064</t>
  </si>
  <si>
    <t>RL7-RWK-ZEB1</t>
  </si>
  <si>
    <t>HOT REWORK ZEBRA PRINTER</t>
  </si>
  <si>
    <t>RL7-RWK-HMI1_CB10058</t>
  </si>
  <si>
    <t>RL7-RWK-FSCL1</t>
  </si>
  <si>
    <t>HOT REWORK FLOOR SCALE</t>
  </si>
  <si>
    <t>RL7-RWK-HMI1_CB10014</t>
  </si>
  <si>
    <t>SERPENTINE RIO 1</t>
  </si>
  <si>
    <t>SERPENTINE RIO 2</t>
  </si>
  <si>
    <t>RL7-SERP-HMI1</t>
  </si>
  <si>
    <t>SERPENTINE HMI</t>
  </si>
  <si>
    <t>RL7-VEG-HMI1</t>
  </si>
  <si>
    <t>VEGGIE STATION HMI</t>
  </si>
  <si>
    <t>UPDATED TAG - INC -&gt; VEG</t>
  </si>
  <si>
    <t>RL7-VEG-QR1</t>
  </si>
  <si>
    <t>VEGGIE STATION QR SCANNER</t>
  </si>
  <si>
    <t>RL7-VEG-SCN1</t>
  </si>
  <si>
    <t>VEGGIE STATION BARCODE SCANNER</t>
  </si>
  <si>
    <t>RL7-VEG-ZEB1</t>
  </si>
  <si>
    <t>VEGGIE STATION ZEBRA PRINTER</t>
  </si>
  <si>
    <t>RL7-VEG-FSCL1</t>
  </si>
  <si>
    <t>VEGGIE STATION FLOOR SCALE</t>
  </si>
  <si>
    <t>RL7-MCC1-2A.SW1</t>
  </si>
  <si>
    <t>SWITCH</t>
  </si>
  <si>
    <t>7MCC01 BUCKET 2A, NETWORK SWITCH #1</t>
  </si>
  <si>
    <t>UPPER LEVEL EAST-WEST CORRIDOR</t>
  </si>
  <si>
    <t>INSIDE MCC</t>
  </si>
  <si>
    <t>6UL1A_2 &amp; 6UL1A_5</t>
  </si>
  <si>
    <t>RL7-MCC1-2A.SW2</t>
  </si>
  <si>
    <t>7MCC01 BUCKET 2A, NETWORK SWITCH #2</t>
  </si>
  <si>
    <t>RL7-MCC1-14A.SW1</t>
  </si>
  <si>
    <t>7MCC01 BUCKET 14A, NETWORK SWITCH #1</t>
  </si>
  <si>
    <t>RL7-MCC1-14A.SW2</t>
  </si>
  <si>
    <t>7MCC01 BUCKET 14A, NETWORK SWITCH #2</t>
  </si>
  <si>
    <t>7MCC02 BUCKET 2A, NETWORK SWITCH #1</t>
  </si>
  <si>
    <t>6UL1A_1 &amp; 6UL1A_3</t>
  </si>
  <si>
    <t>7MCC02 BUCKET 12A, NETWORK SWITCH #1</t>
  </si>
  <si>
    <t>RL7-MCC2-16A.SW1</t>
  </si>
  <si>
    <t>7MCC02 BUCKET 16A, NETWORK SWITCH #1</t>
  </si>
  <si>
    <t>6UL1A_7 &amp; 6UL1A_8</t>
  </si>
  <si>
    <t>RL7-MCC2-16A.SW2</t>
  </si>
  <si>
    <t>7MCC02 BUCKET 16A, NETWORK SWITCH #2</t>
  </si>
  <si>
    <t>7MCC03 BUCKET 2A, NETWORK SWITCH #1</t>
  </si>
  <si>
    <t>6UL1A_4 &amp; 6UL1A_6</t>
  </si>
  <si>
    <t>7MCC03 BUCKET 16A, NETWORK SWITCH #1</t>
  </si>
  <si>
    <t>WEEK</t>
  </si>
  <si>
    <t>DATE</t>
  </si>
  <si>
    <t>--</t>
  </si>
  <si>
    <t>UnitLetter</t>
  </si>
  <si>
    <t>UnitIndex</t>
  </si>
  <si>
    <t>RevitFamily</t>
  </si>
  <si>
    <t>FamilyType</t>
  </si>
  <si>
    <t>FamilyGraphics</t>
  </si>
  <si>
    <t>A</t>
  </si>
  <si>
    <t>PS_1Ckt-CPT</t>
  </si>
  <si>
    <t>Motor</t>
  </si>
  <si>
    <t>B</t>
  </si>
  <si>
    <t>PS_1Ckt-External-Power</t>
  </si>
  <si>
    <t>C</t>
  </si>
  <si>
    <t>Heater</t>
  </si>
  <si>
    <t>D</t>
  </si>
  <si>
    <t>Oneline_Feeder_Sub-Panel</t>
  </si>
  <si>
    <t>Feeder_Panel</t>
  </si>
  <si>
    <t>E</t>
  </si>
  <si>
    <t>Oneline_Feeder_Sub-Xfmr</t>
  </si>
  <si>
    <t>Feeder_Panel-w-Disc</t>
  </si>
  <si>
    <t>F</t>
  </si>
  <si>
    <t>G</t>
  </si>
  <si>
    <t>Feeder_Spare</t>
  </si>
  <si>
    <t>H</t>
  </si>
  <si>
    <t>Feeder_XFMR</t>
  </si>
  <si>
    <t>J</t>
  </si>
  <si>
    <t>Graphics_Power-Meter</t>
  </si>
  <si>
    <t>K</t>
  </si>
  <si>
    <t>MCC_MB-Bus1</t>
  </si>
  <si>
    <t>L</t>
  </si>
  <si>
    <t>MCC_MB-Bus2</t>
  </si>
  <si>
    <t>M</t>
  </si>
  <si>
    <t>MCC_MLO-Bus1</t>
  </si>
  <si>
    <t>MCC_MLO-Bus2</t>
  </si>
  <si>
    <t>MCC_MLO-Bus3</t>
  </si>
  <si>
    <t>MCC_MLO-Bus4</t>
  </si>
  <si>
    <t>Motor_Soft-Start</t>
  </si>
  <si>
    <t>Motor_VFD</t>
  </si>
  <si>
    <t>Motor_VFD-w-Fuse-Line-Filt</t>
  </si>
  <si>
    <t>Motor_VFD-w-Fuse-Line-Load-Filt</t>
  </si>
  <si>
    <t>Motor_VFD-w-Fuse-Load-Filt</t>
  </si>
  <si>
    <t>Motor_VFD-w-Fuse-Load-Filter-2OL</t>
  </si>
  <si>
    <t>Switch_10-Port</t>
  </si>
  <si>
    <t>01A_x000D_
MAIN_x000D_
INCOMING MCB</t>
  </si>
  <si>
    <t>2A_x000D_
RL7-MCC1-2A.SW1 RL7-MCC1-2A.SW2_x000D_
ETHERNET SWITCH (10-PORT)
ETHERNET SWITCH (20-PORT)</t>
  </si>
  <si>
    <t>03A_x000D_
SPARE_x000D_
VFD - 60HP</t>
  </si>
  <si>
    <t>04A_x000D_
RL7-GRR-101.M1_x000D_
FINISH GRINDER</t>
  </si>
  <si>
    <t>05A_x000D_
SPARE_x000D_
VFD - 10HP</t>
  </si>
  <si>
    <t>06A_x000D_
RL7-CNV-112.M1_x000D_
SURGE BIN TAKE AWAY CONVEYOR</t>
  </si>
  <si>
    <t>07A_x000D_
RL7-CNV-113.M1_x000D_
INCLINE BELT CONVEYOR 1</t>
  </si>
  <si>
    <t>08A_x000D_
RL7-BIN-101.M1_x000D_
SURGE BIN 1 UPPER AGITATOR</t>
  </si>
  <si>
    <t>09A_x000D_
RL7-BIN-102.M1_x000D_
SURGE BIN 2 UPPER AGITATOR</t>
  </si>
  <si>
    <t>10A_x000D_
RL7-BIN-103.M1_x000D_
SURGE BIN 3 UPPER AGITATOR</t>
  </si>
  <si>
    <t>11A_x000D_
RL7-BIN-104.M1_x000D_
SURGE BIN 4 UPPER AGITATOR</t>
  </si>
  <si>
    <t>12A_x000D_
RL7-CNV-110.M1_x000D_
METAL DETECTOR CONVEYOR</t>
  </si>
  <si>
    <t>13A_x000D_
RL7-CNV-114.M2_x000D_
INCLINE PIVOT AUGER 1 HYDRAULIC PUMP</t>
  </si>
  <si>
    <t>14A_x000D_
RL7-MCC1-14A.SW1 RL7-MCC1-14A.SW2_x000D_
ETHERNET SWITCH (10-PORT)
ETHERNET SWITCH (20-PORT)</t>
  </si>
  <si>
    <t>15A_x000D_
RL7-PMP-101.M1_x000D_
FRESH AUGER CART 1 - PUMP</t>
  </si>
  <si>
    <t>16A_x000D_
RL7-MLT-104.M1_x000D_
FRESH AUGER CART 1 - COMBO DUMPER</t>
  </si>
  <si>
    <t>17A_x000D_
RL7-GRR-103.M1_x000D_
FROZEN BLOCK CRUSHER</t>
  </si>
  <si>
    <t>18A_x000D_
RL7-GRR-103.M2_x000D_
FROZEN BLOCK CRUSHER</t>
  </si>
  <si>
    <t>02C_x000D_
RL7-MCC1-2C.PS1_x000D_
ETHERNET SWITCH POWER SUPPLY</t>
  </si>
  <si>
    <t>13C_x000D_
RL7-CNV-114.M1_x000D_
INCLINE PIVOT AUGER 1</t>
  </si>
  <si>
    <t>14C_x000D_
12" SPACE</t>
  </si>
  <si>
    <t>16C_x000D_
RL7-MLT-105.M1_x000D_
FRESH AUGER CART 2 - COMBO DUMPER</t>
  </si>
  <si>
    <t>02E_x000D_
6" SPACE</t>
  </si>
  <si>
    <t>06E_x000D_
RL7-CNV-115.M1_x000D_
INCLINE BELT CONVEYOR 2</t>
  </si>
  <si>
    <t>07E_x000D_
SPARE_x000D_
VFD - 2HP</t>
  </si>
  <si>
    <t>12E_x000D_
6" SPACE</t>
  </si>
  <si>
    <t>14E_x000D_
RL7-AGC-101.M1_x000D_
FRESH AUGER CART 1 - AUGER 1</t>
  </si>
  <si>
    <t>16E_x000D_
RL7-AGC-102.M1_x000D_
FRESH AUGER CART 2 - AUGER 1</t>
  </si>
  <si>
    <t>02F_x000D_
SPARE_x000D_
SZ1 FVNR - 7.5HP</t>
  </si>
  <si>
    <t>05F_x000D_
SPARE_x000D_
VFD - 25HP</t>
  </si>
  <si>
    <t>08F_x000D_
12" SPACE</t>
  </si>
  <si>
    <t>09F_x000D_
12" SPACE</t>
  </si>
  <si>
    <t>10F_x000D_
12" SPACE</t>
  </si>
  <si>
    <t>11F_x000D_
12" SPACE</t>
  </si>
  <si>
    <t>12F_x000D_
RL7-CNV-109.M1_x000D_
INCLINE AUGER CONVEYOR</t>
  </si>
  <si>
    <t>15G_x000D_
RL7-PMP-102.M1_x000D_
FRESH AUGER CART 2 - PUMP</t>
  </si>
  <si>
    <t>01H_x000D_
RL7-MCC1-PM_x000D_
POWERMONITOR 5000 W/ ETHERNET</t>
  </si>
  <si>
    <t>02H_x000D_
SPARE_x000D_
VFD - 10HP</t>
  </si>
  <si>
    <t>08H_x000D_
RL7-BIN-101.M2_x000D_
SURGE BIN 1 AUGER</t>
  </si>
  <si>
    <t>09H_x000D_
RL7-BIN-102.M2_x000D_
SURGE BIN 2 AUGER</t>
  </si>
  <si>
    <t>10H_x000D_
RL7-BIN-103.M2_x000D_
SURGE BIN 3 AUGER</t>
  </si>
  <si>
    <t>11H_x000D_
RL7-BIN-104.M2_x000D_
SURGE BIN 4 AUGER</t>
  </si>
  <si>
    <t>13H_x000D_
6" SPACE</t>
  </si>
  <si>
    <t>06J_x000D_
RL7-CNV-116.M1_x000D_
ROTOCLAW BELT CONVEYOR</t>
  </si>
  <si>
    <t>07J_x000D_
RL7-CNV-111.M1_x000D_
SURGE BIN SUPPLY CONVEYOR</t>
  </si>
  <si>
    <t>13J_x000D_
RL7-CNV-114.M3_x000D_
INCLINE PIVOT AUGER 1 SLIDE TRACK</t>
  </si>
  <si>
    <t>14J_x000D_
RL7-AGC-101.M2_x000D_
FRESH AUGER CART 1 - AUGER 2</t>
  </si>
  <si>
    <t>16J_x000D_
RL7-AGC-102.M2_x000D_
FRESH AUGER CART 2 - AUGER 2</t>
  </si>
  <si>
    <t>01L_x000D_
SPARE_x000D_
SZ1 FVNR - 1.5HP</t>
  </si>
  <si>
    <t>02A_x000D_
RL7-MCC2-2A.SW1_x000D_
ETHERNET SWITCH (20-PORT)</t>
  </si>
  <si>
    <t>03A_x000D_
RL7-CKR-101.M1_x000D_
COOKER 1 - AGITATOR 1 (LEFT)</t>
  </si>
  <si>
    <t>04A_x000D_
RL7-CKR-101.M2_x000D_
COOKER 1 - AGITATOR 2 (RIGHT)</t>
  </si>
  <si>
    <t>05A_x000D_
RL7-CKR-102.M1_x000D_
COOKER 2 - AGITATOR 1 (LEFT)</t>
  </si>
  <si>
    <t>06A_x000D_
RL7-SKD-101.M1_x000D_
BREDDO MIXER</t>
  </si>
  <si>
    <t>07A_x000D_
RL7-CKR-102.M2_x000D_
COOKER 2 - AGITATOR 2 (RIGHT)</t>
  </si>
  <si>
    <t>08A_x000D_
RL7-SKD-101.M2_x000D_
BREDDO MIXER AGITATOR</t>
  </si>
  <si>
    <t>09A_x000D_
RL7-FAN-103.M1_x000D_
COOKER 1 HOOD EXHAUST FAN</t>
  </si>
  <si>
    <t>10A_x000D_
RL7-FAN-104.M1_x000D_
COOKER 2 HOOD EXHAUST FAN</t>
  </si>
  <si>
    <t>11A_x000D_
18" SPACE</t>
  </si>
  <si>
    <t>12A_x000D_
RL7-MCC2-12A.SW1_x000D_
ETHERNET SWITCH (20-PORT)</t>
  </si>
  <si>
    <t>13A_x000D_
RL7-PRM-101.M2
RL7-PRM-101.M3_x000D_
PRE-MIXER AGITATORS</t>
  </si>
  <si>
    <t>14A_x000D_
RL7-PMP-106.M1_x000D_
PRE-MIXER PUMP</t>
  </si>
  <si>
    <t>15A_x000D_
6" SPACE</t>
  </si>
  <si>
    <t>16A_x000D_
RL7-MCC2-16A.SW1 RL7-MCC2-16A.SW2_x000D_
ETHERNET SWITCHES (10P &amp; 20P)</t>
  </si>
  <si>
    <t>17A_x000D_
SPARE_x000D_
SZ1 FVNR - 1.5HP</t>
  </si>
  <si>
    <t>18A_x000D_
RL7-CNV-106.M2_x000D_
INCLINE PIVOT AUGER 2 HYDRAULIC PUMP</t>
  </si>
  <si>
    <t>19A_x000D_
RL7-MCC2-19A.PS1_x000D_
ETHERNET SWITCH POWER SUPPLY</t>
  </si>
  <si>
    <t>02C_x000D_
RL7-MCC2-2C.PS1_x000D_
ETHERNET SWITCH POWER SUPPLY</t>
  </si>
  <si>
    <t>12C_x000D_
SPARE_x000D_
SZ1 FVNR - 5HP</t>
  </si>
  <si>
    <t>15C_x000D_
RL7-MLT-107.M1_x000D_
COOKER 1 - COLUMN DUMPER</t>
  </si>
  <si>
    <t>16C_x000D_
SPARE_x000D_
VFD - 5HP</t>
  </si>
  <si>
    <t>17C_x000D_
SPARE_x000D_
VFD - 2HP</t>
  </si>
  <si>
    <t>18C_x000D_
RL7-CNV-106.M3_x000D_
INCLINE PIVOT AUGER 2 SLIDE TRACK</t>
  </si>
  <si>
    <t>19C_x000D_
SPARE_x000D_
VFD - 10HP</t>
  </si>
  <si>
    <t>11D_x000D_
RL7-SKD-102.M1_x000D_
LACTIC ACID SKID PUMP</t>
  </si>
  <si>
    <t>08E_x000D_
12" SPACE</t>
  </si>
  <si>
    <t>09E_x000D_
12" SPACE</t>
  </si>
  <si>
    <t>10E_x000D_
RL7-PMP-103.M1_x000D_
BREDDO MIXER PUMP</t>
  </si>
  <si>
    <t>12E_x000D_
RL7-FAN-101.M1_x000D_
COOKER 1 - EXHAUST FAN</t>
  </si>
  <si>
    <t>02F_x000D_
SPARE_x000D_
VFD - 25HP</t>
  </si>
  <si>
    <t>15F_x000D_
RL7-MLT-108.M1_x000D_
COOKER 2 - COLUMN DUMPER</t>
  </si>
  <si>
    <t>08G_x000D_
RL7-PMP-104.M1_x000D_
COOKER 1 - PUMP</t>
  </si>
  <si>
    <t>09G_x000D_
RL7-PMP-105.M1_x000D_
COOKER 2 - PUMP</t>
  </si>
  <si>
    <t>16G_x000D_
RL7-MLT-106.M1_x000D_
PRE-MIXER COLUMN DUMPER</t>
  </si>
  <si>
    <t>17G_x000D_
SPARE_x000D_
VFD - 10HP</t>
  </si>
  <si>
    <t>18G_x000D_
RL7-CNV-106.M1_x000D_
INCLINE PIVOT AUGER 2</t>
  </si>
  <si>
    <t>01H_x000D_
RL7-MCC2-PM_x000D_
POWERMONITOR 5000 W/ ETHERNET</t>
  </si>
  <si>
    <t>03H_x000D_
SPARE_x000D_
VFD - 2HP</t>
  </si>
  <si>
    <t>04H_x000D_
SPARE_x000D_
VFD - 2HP</t>
  </si>
  <si>
    <t>05H_x000D_
SPARE_x000D_
VFD - 2HP</t>
  </si>
  <si>
    <t>07H_x000D_
RL7-PRM-101.M1_x000D_
PRE-MIXER DISCHARGE SCREW</t>
  </si>
  <si>
    <t>11H_x000D_
RL7-PMP-108.M1_x000D_
HOT WATER JACKET PUMP</t>
  </si>
  <si>
    <t>19H_x000D_
SPARE_x000D_
VFD - 10HP</t>
  </si>
  <si>
    <t>12J_x000D_
RL7-FAN-102.M1_x000D_
COOKER 2 - EXHAUST FAN</t>
  </si>
  <si>
    <t>15J_x000D_
12" SPACE</t>
  </si>
  <si>
    <t>16K_x000D_
18" SPACE</t>
  </si>
  <si>
    <t>01L_x000D_
RL7-DRM-101.M1_x000D_
BREDDO DUMPER</t>
  </si>
  <si>
    <t>10L_x000D_
12" SPACE</t>
  </si>
  <si>
    <t>15L_x000D_
12" SPACE</t>
  </si>
  <si>
    <t>03M_x000D_
6" SPACE</t>
  </si>
  <si>
    <t>04M_x000D_
6" SPACE</t>
  </si>
  <si>
    <t>05M_x000D_
6" SPACE</t>
  </si>
  <si>
    <t>17M_x000D_
6" SPACE</t>
  </si>
  <si>
    <t>18M_x000D_
6" SPACE</t>
  </si>
  <si>
    <t>02A_x000D_
RL7-MCC3-2A.SW1_x000D_
ETHERNET SWITCH (20-PORT)</t>
  </si>
  <si>
    <t>03A_x000D_
RL7-CNV-201.M1_x000D_
ROLL FILLER DISCHARGE CONVEYOR</t>
  </si>
  <si>
    <t>04A_x000D_
RL7-AGC-201.M1_x000D_
DISCHARGE AUGER CART - LEVELING RIBBON</t>
  </si>
  <si>
    <t>05A_x000D_
12" SPACE</t>
  </si>
  <si>
    <t>06A_x000D_
RL7-CNV-205.M1_x000D_
SERPENTINE DISCHARGE CONVEYOR 1</t>
  </si>
  <si>
    <t>07A_x000D_
RL7-CHR-201.M1_x000D_
SERPENTINE MAIN DRIVE</t>
  </si>
  <si>
    <t>08A_x000D_
RL7-PMP-203.M1_x000D_
SERPENTINE HEX 1 PUMP</t>
  </si>
  <si>
    <t>09A_x000D_
RL7-PMP-204.M1_x000D_
SERPENTINE RECIRC 1 PUMP</t>
  </si>
  <si>
    <t>10A_x000D_
RL7-PMP-205.M1_x000D_
SERPENTINE HEX 2 PUMP</t>
  </si>
  <si>
    <t>11A_x000D_
RL7-PMP-206.M1_x000D_
SERPENTINE RECIRC 2 PUMP</t>
  </si>
  <si>
    <t>12A_x000D_
RL7-PMP-207.M1_x000D_
SERPENTINE HEX 3 PUMP</t>
  </si>
  <si>
    <t>13A_x000D_
12" SPACE</t>
  </si>
  <si>
    <t>14A_x000D_
SPARE_x000D_
VFD - 1HP</t>
  </si>
  <si>
    <t>15A_x000D_
RL7-CNV-402.M1_x000D_
METERING CONVEYOR 1</t>
  </si>
  <si>
    <t>16A_x000D_
RL7-MCC3-16A.SW1_x000D_
ETHERNET SWITCH (20-PORT)</t>
  </si>
  <si>
    <t>02C_x000D_
RL7-MCC3-2C.PS1_x000D_
ETHERNET SWITCH POWER SUPPLY</t>
  </si>
  <si>
    <t>05C_x000D_
RL7-PMP-201.M1_x000D_
DISCHARGE AUGER CART PUMP</t>
  </si>
  <si>
    <t>13C_x000D_
12" SPACE</t>
  </si>
  <si>
    <t>16C_x000D_
RL7-CNV-404.M1_x000D_
CASE PACKER INFEED CONVEYOR</t>
  </si>
  <si>
    <t>02E_x000D_
SPARE_x000D_
VFD - 1HP</t>
  </si>
  <si>
    <t>03E_x000D_
RL7-CNV-203.M1_x000D_
SERPENTINE INFEED CONVEYOR 2</t>
  </si>
  <si>
    <t>04E_x000D_
6" SPACE</t>
  </si>
  <si>
    <t>06E_x000D_
RL7-CNV-202.M1_x000D_
SERPENTINE INFEED CONVEYOR 1</t>
  </si>
  <si>
    <t>13E_x000D_
RL7-FTR-205.M1_x000D_
SERPENTINE ZONE 2A FILTER</t>
  </si>
  <si>
    <t>14E_x000D_
SPARE_x000D_
VFD - 1HP</t>
  </si>
  <si>
    <t>15E_x000D_
RL7-CNV-401.M1_x000D_
INSPECTION CONVEYOR</t>
  </si>
  <si>
    <t>04F_x000D_
RL7-SKD-201.M1_x000D_
CLEAN ASSIST FOAM PUMP</t>
  </si>
  <si>
    <t>07F_x000D_
6" SPACE</t>
  </si>
  <si>
    <t>07G_x000D_
SPARE_x000D_
VFD - 20HP</t>
  </si>
  <si>
    <t>16G_x000D_
RL7-FAN-201.M1_x000D_
AIR KNIFE BLOWER</t>
  </si>
  <si>
    <t>01H_x000D_
RL7-MCC3-PM_x000D_
POWERMONITOR 5000 W/ ETHERNET</t>
  </si>
  <si>
    <t>05H_x000D_
RL7-AGC-201.M2_x000D_
DISCHARGE AUGER CART AUGER</t>
  </si>
  <si>
    <t>02J_x000D_
SPARE_x000D_
VFD - 5HP</t>
  </si>
  <si>
    <t>03J_x000D_
RL7-CNV-204.M1_x000D_
SERPENTINE INFEED CONVEYOR 3</t>
  </si>
  <si>
    <t>06J_x000D_
RL7-CNV-403.M1_x000D_
METERING CONVEYOR 2</t>
  </si>
  <si>
    <t>13J_x000D_
RL7-FTR-207.M1_x000D_
SERPENTINE ZONE 2B FILTER</t>
  </si>
  <si>
    <t>14J_x000D_
SPARE_x000D_
VFD - 1HP</t>
  </si>
  <si>
    <t>15J_x000D_
RL7-CNV-206.M1_x000D_
SERPENTINE DISCHARGE CONVEYOR 2</t>
  </si>
  <si>
    <t>01L_x000D_
12" SPACE</t>
  </si>
  <si>
    <t>04L_x000D_
12" SPACE</t>
  </si>
  <si>
    <t>02A_x000D_
RM6-CNV-101.M1_x000D_
INCLINE AUGER CONVEYOR</t>
  </si>
  <si>
    <t>03A_x000D_
RM6-GRR-105.M1_x000D_
STEAM COOKER 1 DE-CLUMPER</t>
  </si>
  <si>
    <t>04A_x000D_
RM6-CKR-101.M1_x000D_
STEAM COOKER 1 STEAM BELT 1</t>
  </si>
  <si>
    <t>05A_x000D_
RM6-FAN-101.M1_x000D_
STEAM COOKER 1 EXHAUST FAN 1</t>
  </si>
  <si>
    <t>06A_x000D_
RM6-BIN-101B.M2_x000D_
SURGE BIN 2 AUGER</t>
  </si>
  <si>
    <t>07A_x000D_
RM6-GRR-106.M1_x000D_
STEAM COOKER 2 DE-CLUMPER</t>
  </si>
  <si>
    <t>08A_x000D_
RM6-AGC-103.M2_x000D_
DUAL AUGER CART 1 AUGER 1</t>
  </si>
  <si>
    <t>09A_x000D_
RM6-CKR-102.M2_x000D_
STEAM COOKER 2 STEAM BELT 2</t>
  </si>
  <si>
    <t>10A_x000D_
RM6-AGC.103.M4_x000D_
DUAL AUGER CART 1 SLIDING TRACK</t>
  </si>
  <si>
    <t>11A_x000D_
RM6-GRR-102.M1_x000D_
GRINDER</t>
  </si>
  <si>
    <t>12A_x000D_
RM6-SLT-201.M2_x000D_
SLITTER</t>
  </si>
  <si>
    <t>13A_x000D_
RM6-CRT-201.M1_x000D_
VINEGAR SUPPLE CART</t>
  </si>
  <si>
    <t>14A_x000D_
RM6-BIN-101D.M2_x000D_
SURGE BIN 4 AUGER</t>
  </si>
  <si>
    <t>15A_x000D_
RM6-BIN-101A.M2_x000D_
SURGE BIN 1 AUGER</t>
  </si>
  <si>
    <t>16A_x000D_
SPARE_x000D_
VFD - 2HP</t>
  </si>
  <si>
    <t>17A_x000D_
RM6-FAN-104.M1_x000D_
STEAM COOKER 2 EXHAUST FAN 1</t>
  </si>
  <si>
    <t>18A_x000D_
RM6-AGC-104.M3_x000D_
DUAL AUGER CART 2 AUGER 2</t>
  </si>
  <si>
    <t>19A_x000D_
SPARE_x000D_
VFD - 5HP</t>
  </si>
  <si>
    <t>06C_x000D_
RM6-CNV-112.M1_x000D_
STEAM COOKER 1 DISCHARGE CONVEYOR</t>
  </si>
  <si>
    <t>03E_x000D_
RM6-BIN-101C.M2_x000D_
SURGE BIN 3 AUGER</t>
  </si>
  <si>
    <t>04E_x000D_
RM6-WWL-101.M1 RM6-SHR-101.M1_x000D_
STEAM COOKER 1 WATERWHEEL/SPREADER MOTOR 1</t>
  </si>
  <si>
    <t>05E_x000D_
RM6-FAN-102.M1_x000D_
STEAM COOKER 1 EXHAUST FAN 2</t>
  </si>
  <si>
    <t>07E_x000D_
RM6-CKR-102.M1_x000D_
STEAM COOKER 2 STEAM BELT 1</t>
  </si>
  <si>
    <t>08E_x000D_
RM6-AGC-103.M3_x000D_
DUAL AUGER CART 1 AUGER 2</t>
  </si>
  <si>
    <t>09E_x000D_
RM6-CNV-115.M1_x000D_
STEAM COOKER 2 DISCHARGE CONVEYOR</t>
  </si>
  <si>
    <t>10E_x000D_
RM6-AGC-104.M4_x000D_
DUAL AUGER CART 2 SLIDING TRACK</t>
  </si>
  <si>
    <t>13E_x000D_
6" SPACE</t>
  </si>
  <si>
    <t>16E_x000D_
RM6-CNV-104.M1_x000D_
SURGE BIN SUPPLY CONVEYOR</t>
  </si>
  <si>
    <t>17E_x000D_
RM6-FAN-105.M1_x000D_
STEAM COOKER 2 EXHAUST FAN 2</t>
  </si>
  <si>
    <t>18E_x000D_
RM6-MLT-103.M1_x000D_
MIXER GRINDER 1 COLUMN DUMPER</t>
  </si>
  <si>
    <t>19E_x000D_
RM6_82_x000D_
CIP TANK STARTER</t>
  </si>
  <si>
    <t>12F_x000D_
RM6-MGR-101.M4_x000D_
MIXER GRINDER 1 GRINDER</t>
  </si>
  <si>
    <t>13F_x000D_
RM6-MGR-102.M4_x000D_
MIXER GRINDER 2 GRINDER</t>
  </si>
  <si>
    <t>14G_x000D_
SPARE_x000D_
VFD - 2HP</t>
  </si>
  <si>
    <t>15G_x000D_
6" SPACE</t>
  </si>
  <si>
    <t>01H_x000D_
RM6-MCC1-PM_x000D_
POWERMONITOR 5000 W/ ETHERNET</t>
  </si>
  <si>
    <t>02H_x000D_
RM6-MCC1-02H.PS1_x000D_
ETHERNET SWITCH POWER SUPPLY</t>
  </si>
  <si>
    <t>15H_x000D_
RM6-AGC-103.M1_x000D_
DUAL AUGER CART 1 LEVELING RIBON</t>
  </si>
  <si>
    <t>18H_x000D_
RM6-AGC-104.M1_x000D_
DUAL AUGER CART 2 LEVELING RIBON</t>
  </si>
  <si>
    <t>19H_x000D_
6" SPACE</t>
  </si>
  <si>
    <t>04J_x000D_
RM6-CKR-101.M2_x000D_
STEAM COOKER 1 STEAM BELT 2</t>
  </si>
  <si>
    <t>05J_x000D_
RM6-FAN-103.M1_x000D_
STEAM COOKER 1 EXHAUST FAN 3</t>
  </si>
  <si>
    <t>07J_x000D_
RM6-WWL-102.M1 RM6-SHR-102.M1_x000D_
STEAM COOKER 2 WATERWHEEL/SPREADER MOTOR 1</t>
  </si>
  <si>
    <t>08J_x000D_
RM6-AGC-104.M2_x000D_
DUAL AUGER CART 2 AUGER 1</t>
  </si>
  <si>
    <t>09J_x000D_
RM6-CNV-107.M1_x000D_
INCLINED BELT CONVEYOR</t>
  </si>
  <si>
    <t>10J_x000D_
RM6-CNV-108.M3_x000D_
INCLINE CONVEYOR SLIDE TRACK</t>
  </si>
  <si>
    <t>16J_x000D_
RM6-CNV-108.M2_x000D_
INCLINE CONVEYOR HYDRAULICS</t>
  </si>
  <si>
    <t>17J_x000D_
RM6-FAN-106.M1_x000D_
STEAM COOKER 2 EXHAUST FAN 3</t>
  </si>
  <si>
    <t>19J_x000D_
RM6-SLT-201.M1_x000D_
SLITTER</t>
  </si>
  <si>
    <t>02L_x000D_
RM6-MCC1-02L.SW1_x000D_
ETHERNET SWITCH (20-PORT)</t>
  </si>
  <si>
    <t>03L_x000D_
12" SPACE</t>
  </si>
  <si>
    <t>06L_x000D_
RM6-MCC1-06L.SW1_x000D_
ETHERNET SWITCH (20-PORT)</t>
  </si>
  <si>
    <t>14L_x000D_
RM6-MCC1-14L.SW1_x000D_
ETHERNET SWITCH (20-PORT)</t>
  </si>
  <si>
    <t>16L_x000D_
12" SPACE</t>
  </si>
  <si>
    <t>02A_x000D_
RM6-MGR-101.M3_x000D_
MIXER GRINDER 1 DISCHARGE SCREW</t>
  </si>
  <si>
    <t>03A_x000D_
RM6-BIN-101D.M1_x000D_
SURGE BIN 4 AGITATOR</t>
  </si>
  <si>
    <t>04A_x000D_
RM6-BIN-101B.M1_x000D_
SURGE BIN 2 AGITATOR</t>
  </si>
  <si>
    <t>05A_x000D_
RM6-PMP-103.M1_x000D_
DUAL AUGER CART 1 PUMP</t>
  </si>
  <si>
    <t>06A_x000D_
RM6-SCR-201.M1_x000D_
VIBRATORY SCREENER</t>
  </si>
  <si>
    <t>07A_x000D_
RM6-CNV-201.M1_x000D_
INCLINE CONVEYOR</t>
  </si>
  <si>
    <t>08A_x000D_
RM6-PMP-101.M1_x000D_
AUGER CART 1 PUMP</t>
  </si>
  <si>
    <t>09A_x000D_
12" SPACE</t>
  </si>
  <si>
    <t>10A_x000D_
RM6-GRR-101.M1_x000D_
FROZEN BLOCK BREAKER 1</t>
  </si>
  <si>
    <t>11A_x000D_
RM6-GRR-101.M2_x000D_
FROZEN BLOCK BREAKER 2</t>
  </si>
  <si>
    <t>12A_x000D_
RM6-SKD-101.M2_x000D_
VOTATOR PMP-202 COOKER 1</t>
  </si>
  <si>
    <t>13A_x000D_
SPARE_x000D_
VFD - 1HP</t>
  </si>
  <si>
    <t>14A_x000D_
RM6-SKD-102.M1_x000D_
VOTATOR PMP-101 COOKER 1</t>
  </si>
  <si>
    <t>15A_x000D_
RM6-SKD-103.M2_x000D_
VOTATOR PMP-202 COOKER 2</t>
  </si>
  <si>
    <t>16A_x000D_
RM6-HTX-101.M1_x000D_
VOTATOR HX-101 COOKER 1</t>
  </si>
  <si>
    <t>17A_x000D_
RM6-HTX-103.M1_x000D_
VOTATOR HX-103 COOKER 1</t>
  </si>
  <si>
    <t>09C_x000D_
12" SPACE</t>
  </si>
  <si>
    <t>18C_x000D_
RM6-AGC-101.M1_x000D_
AUGER CART 1 AUGER 1</t>
  </si>
  <si>
    <t>06E_x000D_
RM6-MGR-101.M1 RM6-MGR-101.M2_x000D_
MIXER GRINDER 1</t>
  </si>
  <si>
    <t>07E_x000D_
RM6-MGR-102.M1 RM6-MGR-102.M2_x000D_
MIXER GRINDER 2</t>
  </si>
  <si>
    <t>09E_x000D_
RM6-MLT-102.M1_x000D_
COMBO TOTE DUMPER</t>
  </si>
  <si>
    <t>12E_x000D_
RM6-SKD-102.M2_x000D_
VOTATOR PMP-202 COOKER 2</t>
  </si>
  <si>
    <t>13E_x000D_
RM6-CNV-108.M1_x000D_
INCLINE CONVEYOR SCREW</t>
  </si>
  <si>
    <t>14E_x000D_
RM6-CNV-102.M1_x000D_
METAL DETECTOR BELT CONVEYOR</t>
  </si>
  <si>
    <t>15E_x000D_
RM6-SKD-104.M1_x000D_
VOTATOR PMP-101 COOKER 2</t>
  </si>
  <si>
    <t>01F_x000D_
RM6-MCC2-PM_x000D_
POWERMONITOR 5000 W/ ETHERNET</t>
  </si>
  <si>
    <t>02G_x000D_
RM6-SKD-101.M1_x000D_
VOTATOR PMP-201 COOKER 1</t>
  </si>
  <si>
    <t>03G_x000D_
RM6-BIN-101C.M1_x000D_
SURGE BIN 3 AGITATOR</t>
  </si>
  <si>
    <t>04G_x000D_
RM6-BIN-101A.M1_x000D_
SURGE BIN 1 AGITATOR</t>
  </si>
  <si>
    <t>05G_x000D_
RM6-PMP-104.M1_x000D_
DUAL AUGER CART 2 PUMP</t>
  </si>
  <si>
    <t>09G_x000D_
RM6-MGR-102.M3_x000D_
MIXER GRINDER 2 DISCHARGE SCREW</t>
  </si>
  <si>
    <t>16G_x000D_
RM6-HTX-102.M1_x000D_
VOTATOR HX-102 COOKER 1</t>
  </si>
  <si>
    <t>17G_x000D_
RM6-HTX-104.M1_x000D_
VOTATOR HX-104 COOKER 1</t>
  </si>
  <si>
    <t>08H_x000D_
RM6-MTL-104.M1_x000D_
MIXER GRINDER 2 COLUMN DUMPER</t>
  </si>
  <si>
    <t>18H_x000D_
RM6-AGC-101.M2_x000D_
AUGER CART 1 AUGER 2</t>
  </si>
  <si>
    <t>01J_x000D_
6" SPACE</t>
  </si>
  <si>
    <t>12J_x000D_
RM6-CNV-105.M1_x000D_
SURGE BIN TAKEAWAY CONVEYOR</t>
  </si>
  <si>
    <t>14J_x000D_
RM6-SKD-103.M1_x000D_
VOTATOR PMP-201 COOKER 2</t>
  </si>
  <si>
    <t>15J_x000D_
RM6-SKD-104.M2_x000D_
VOTATOR PMP-102 COOKER 2</t>
  </si>
  <si>
    <t>01K_x000D_
RM6-MCC2-01K.PS1_x000D_
ETHERNET SWITCH POWER SUPPLY</t>
  </si>
  <si>
    <t>02L_x000D_
RM6-MCC2-02L.SW1_x000D_
ETHERNET SWITCH (20-PORT)</t>
  </si>
  <si>
    <t>08L_x000D_
RM6-MCC2-08L.SW1_x000D_
ETHERNET SWITCH (20-PORT)</t>
  </si>
  <si>
    <t>13L_x000D_
RM6-MCC2-13L.SW1_x000D_
ETHERNET SWITCH (20-PORT)</t>
  </si>
  <si>
    <t>02A_x000D_
12" SPACE</t>
  </si>
  <si>
    <t>03A_x000D_
PMP-101_x000D_
B&amp;F HOT WATER LOOP PUMP</t>
  </si>
  <si>
    <t>04A_x000D_
PMP-102_x000D_
BOOSTER PUMP</t>
  </si>
  <si>
    <t>05A_x000D_
RM5-MCC1-5A.SW1_x000D_
ETHERNET SWITCH (20-PORT)</t>
  </si>
  <si>
    <t>06A_x000D_
PMP-106_x000D_
CHILLED WATER PUMP 2</t>
  </si>
  <si>
    <t>07A_x000D_
PMP-103_x000D_
CHILLED WATER PUMP 1</t>
  </si>
  <si>
    <t>08A_x000D_
6" SPACE</t>
  </si>
  <si>
    <t>09A_x000D_
6" SPACE</t>
  </si>
  <si>
    <t>10A_x000D_
6" SPACE</t>
  </si>
  <si>
    <t>11A_x000D_
12" SPACE</t>
  </si>
  <si>
    <t>12A_x000D_
12" SPACE</t>
  </si>
  <si>
    <t>13A_x000D_
RM5-MCC1-13A.ENPS_x000D_
ETHERNET SWITCH POWER SUPPLY</t>
  </si>
  <si>
    <t>14A_x000D_
SPARE_x000D_
VFD - 2HP</t>
  </si>
  <si>
    <t>15A_x000D_
SPARE_x000D_
VFD - 2HP</t>
  </si>
  <si>
    <t>16A_x000D_
6" SPACE</t>
  </si>
  <si>
    <t>17A_x000D_
RM5-MCC1-5A.SW1_x000D_
ETHERNET SWITCH (20-PORT)</t>
  </si>
  <si>
    <t>18A_x000D_
12" SPACE</t>
  </si>
  <si>
    <t>08B_x000D_
SPARE_x000D_
VFD - 10HP</t>
  </si>
  <si>
    <t>09B_x000D_
FHD-101_x000D_
FORMING HEAD</t>
  </si>
  <si>
    <t>10B_x000D_
PMP-10x_x000D_
VOTATOR SKID HW CIRC PUMP</t>
  </si>
  <si>
    <t>16B_x000D_
CNV-102_x000D_
BATH CONVEYOR 2</t>
  </si>
  <si>
    <t>02C_x000D_
RL7-MCC1-PM_x000D_
POWERMONITOR 5000 W/ ETHERNET</t>
  </si>
  <si>
    <t>05C_x000D_
12" SPACE</t>
  </si>
  <si>
    <t>11C_x000D_
PMP-104_x000D_
INJECTION PUMP 1</t>
  </si>
  <si>
    <t>12C_x000D_
SPARE_x000D_
VFD - 5HP</t>
  </si>
  <si>
    <t>17C_x000D_
6" SPACE</t>
  </si>
  <si>
    <t>18C_x000D_
12" SPACE</t>
  </si>
  <si>
    <t>14D_x000D_
SPARE_x000D_
VFD - 2HP</t>
  </si>
  <si>
    <t>15D_x000D_
SPARE_x000D_
VFD - 2HP</t>
  </si>
  <si>
    <t>17D_x000D_
SPARE_x000D_
VFD - 5HP</t>
  </si>
  <si>
    <t>05E_x000D_
12" SPACE</t>
  </si>
  <si>
    <t>18E_x000D_
12" SPACE</t>
  </si>
  <si>
    <t>02F_x000D_
HTX-101_x000D_
VOTATOR 1</t>
  </si>
  <si>
    <t>03F_x000D_
HTX-102_x000D_
VOTATOR 2</t>
  </si>
  <si>
    <t>04F_x000D_
HTX-103_x000D_
VOTATOR 3</t>
  </si>
  <si>
    <t>06F_x000D_
HTX-105_x000D_
VOTATOR 5</t>
  </si>
  <si>
    <t>07F_x000D_
HTX-104_x000D_
VOTATOR 4</t>
  </si>
  <si>
    <t>08F_x000D_
HTX-106_x000D_
VOTATOR 6</t>
  </si>
  <si>
    <t>09F_x000D_
HTX-107_x000D_
VOTATOR 7</t>
  </si>
  <si>
    <t>10F_x000D_
HTX-108_x000D_
VOTATOR 8</t>
  </si>
  <si>
    <t>11F_x000D_
HTX-109_x000D_
VOTATOR 9</t>
  </si>
  <si>
    <t>12F_x000D_
HTX-110_x000D_
VOTATOR 10</t>
  </si>
  <si>
    <t>13F_x000D_
CNV-101_x000D_
BATH CONVEYOR 1</t>
  </si>
  <si>
    <t>16F_x000D_
SPARE_x000D_
VFD - 30HP</t>
  </si>
  <si>
    <t>05G_x000D_
12" SPACE</t>
  </si>
  <si>
    <t>14G_x000D_
SPARE_x000D_
VFD - 5HP</t>
  </si>
  <si>
    <t>15G_x000D_
PMP-109_x000D_
BATH 1 CIRCULATION PUMP</t>
  </si>
  <si>
    <t>17G_x000D_
SPARE_x000D_
VFD - 5HP</t>
  </si>
  <si>
    <t>18G_x000D_
12" SPACE</t>
  </si>
  <si>
    <t>01H_x000D_
6" SPACE</t>
  </si>
  <si>
    <t>01J_x000D_
12" SPACE</t>
  </si>
  <si>
    <t>05J_x000D_
12" SPACE</t>
  </si>
  <si>
    <t>18J_x000D_
12" SPACE</t>
  </si>
  <si>
    <t>13K_x000D_
PMP-106_x000D_
VOTATOR SKID MAKEUP WATER PUMP</t>
  </si>
  <si>
    <t>14K_x000D_
SPARE_x000D_
VFD - 5HP</t>
  </si>
  <si>
    <t>15K_x000D_
SPARE_x000D_
VFD - 5HP</t>
  </si>
  <si>
    <t>17K_x000D_
SCR-101_x000D_
WASTE SEPARATOR DRUM</t>
  </si>
  <si>
    <t>05L_x000D_
RM5-MCC1-5L.ENPS_x000D_
ETHERNET SWITCH POWER SUPPLY</t>
  </si>
  <si>
    <t>18L_x000D_
12" SPACE</t>
  </si>
  <si>
    <t>03A_x000D_
SPARE_x000D_
VFD - 15HP</t>
  </si>
  <si>
    <t>04A_x000D_
GRR-001_x000D_
FROZEN GRINDER</t>
  </si>
  <si>
    <t>05A_x000D_
RM5-MCC2-5A.SW1_x000D_
ETHERNET SWITCH (20-PORT)</t>
  </si>
  <si>
    <t>06A_x000D_
SPARE_x000D_
VFD - 5HP</t>
  </si>
  <si>
    <t>07A_x000D_
CNV-002_x000D_
FB INCLINE / MD CONVEYOR</t>
  </si>
  <si>
    <t>08A_x000D_
MGR-001_x000D_
DISCHARGE SCREW</t>
  </si>
  <si>
    <t>09A_x000D_
MLT-004_x000D_
COLUMN DUMPER</t>
  </si>
  <si>
    <t>10A_x000D_
PMP-xxx_x000D_
INCLINE AUGER HYDRAULIC PUMP</t>
  </si>
  <si>
    <t>11A_x000D_
RM5-MCC2-11A.SW1_x000D_
ETHERNET SWITCH (20-PORT)</t>
  </si>
  <si>
    <t>12A_x000D_
MLT-001_x000D_
TOTE DUMPER</t>
  </si>
  <si>
    <t>14A_x000D_
GRR-001_x000D_
FROZEN GRINDER</t>
  </si>
  <si>
    <t>02C_x000D_
MGR-001_x000D_
LEFT / RIGHT AUGER</t>
  </si>
  <si>
    <t>10C_x000D_
MLT-005_x000D_
COLUMN DUMPER</t>
  </si>
  <si>
    <t>11C_x000D_
AGC-001.M1_x000D_
AUGER CART 1 - LEFT AUGER</t>
  </si>
  <si>
    <t>12C_x000D_
???_x000D_
TRACK</t>
  </si>
  <si>
    <t>06D_x000D_
AGC-002.M1_x000D_
AUGER CART LEFT AUGER</t>
  </si>
  <si>
    <t>09D_x000D_
CNV-002_x000D_
INCLINE PIVOT AUGER</t>
  </si>
  <si>
    <t>07E_x000D_
12" SPACE</t>
  </si>
  <si>
    <t>13E_x000D_
12" SPACE</t>
  </si>
  <si>
    <t>03F_x000D_
SPARE_x000D_
VFD - 30HP</t>
  </si>
  <si>
    <t>08F_x000D_
GRR-002_x000D_
FROZEN GRINDER SCREW</t>
  </si>
  <si>
    <t>10F_x000D_
6" SPACE</t>
  </si>
  <si>
    <t>11F_x000D_
AGC-001.M2_x000D_
AUGER CART 1 - RIGHT AUGER</t>
  </si>
  <si>
    <t>12F_x000D_
AGC-001.M3_x000D_
AUGER CART 1 - PUMP</t>
  </si>
  <si>
    <t>06G_x000D_
AGC-002.M2_x000D_
AUGER CART RIGHT AUGER</t>
  </si>
  <si>
    <t>07G_x000D_
12" SPACE</t>
  </si>
  <si>
    <t>09G_x000D_
TNK-001_x000D_
COOKING KETTLE MIXER</t>
  </si>
  <si>
    <t>10G_x000D_
12" SPACE</t>
  </si>
  <si>
    <t>13G_x000D_
12" SPACE</t>
  </si>
  <si>
    <t>07J_x000D_
CNV-003_x000D_
INCLINE AUGER CONVEYOR</t>
  </si>
  <si>
    <t>10J_x000D_
12" SPACE</t>
  </si>
  <si>
    <t>11J_x000D_
AGC-002.M3_x000D_
AUGER CART 2 - LEVELING RIBBON</t>
  </si>
  <si>
    <t>13J_x000D_
12" SPACE</t>
  </si>
  <si>
    <t>06K_x000D_
CNV-001_x000D_
INCLINE BELT CONVEYOR</t>
  </si>
  <si>
    <t>09K_x000D_
AGR-001_x000D_
CHILLING KETTLE AGITATOR</t>
  </si>
  <si>
    <t>13L_x000D_
12" SPACE</t>
  </si>
  <si>
    <t>01A_x000D_
SPARE_x000D_
VFD - 75HP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</si>
</sst>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#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</font>
    <font>
      <b/>
      <sz val="22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17" fillId="3" borderId="1" xfId="0" applyFont="1" applyFill="1" applyBorder="1" applyAlignment="1">
      <alignment horizontal="center" vertical="center" wrapText="1" shrinkToFit="1"/>
    </xf>
    <xf numFmtId="0" fontId="17" fillId="3" borderId="39" xfId="0" applyFont="1" applyFill="1" applyBorder="1" applyAlignment="1">
      <alignment horizontal="center" vertical="center" wrapText="1" shrinkToFit="1"/>
    </xf>
    <xf numFmtId="0" fontId="17" fillId="3" borderId="41" xfId="0" applyFont="1" applyFill="1" applyBorder="1" applyAlignment="1">
      <alignment horizontal="center" vertical="center" wrapText="1" shrinkToFit="1"/>
    </xf>
    <xf numFmtId="0" fontId="17" fillId="3" borderId="42" xfId="0" applyFont="1" applyFill="1" applyBorder="1" applyAlignment="1">
      <alignment horizontal="center" vertical="center" wrapText="1" shrinkToFit="1"/>
    </xf>
    <xf numFmtId="0" fontId="17" fillId="3" borderId="43" xfId="0" applyFont="1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left" vertical="center" wrapText="1" inden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textRotation="90" wrapText="1"/>
    </xf>
    <xf numFmtId="0" fontId="8" fillId="0" borderId="19" xfId="0" applyFont="1" applyBorder="1" applyAlignment="1">
      <alignment horizontal="center" vertical="center" textRotation="90" wrapText="1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 indent="1"/>
    </xf>
    <xf numFmtId="165" fontId="1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/>
    </xf>
    <xf numFmtId="165" fontId="1" fillId="0" borderId="1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/>
    </xf>
    <xf numFmtId="0" fontId="10" fillId="0" borderId="12" xfId="0" applyFont="1" applyBorder="1" applyAlignment="1">
      <alignment horizontal="center" vertical="center" textRotation="90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textRotation="90"/>
    </xf>
    <xf numFmtId="166" fontId="1" fillId="0" borderId="1" xfId="0" applyNumberFormat="1" applyFont="1" applyBorder="1" applyAlignment="1">
      <alignment horizontal="left" vertical="center" inden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indent="1"/>
    </xf>
    <xf numFmtId="0" fontId="1" fillId="0" borderId="35" xfId="0" applyFon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 indent="1"/>
    </xf>
    <xf numFmtId="165" fontId="1" fillId="0" borderId="12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 textRotation="90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25" xfId="0" applyBorder="1" applyAlignment="1">
      <alignment horizontal="center" vertical="center" textRotation="90" wrapText="1"/>
    </xf>
    <xf numFmtId="0" fontId="0" fillId="0" borderId="25" xfId="0" applyBorder="1" applyAlignment="1">
      <alignment vertical="center" textRotation="90"/>
    </xf>
    <xf numFmtId="0" fontId="0" fillId="0" borderId="23" xfId="0" applyBorder="1" applyAlignment="1">
      <alignment vertical="center" textRotation="90"/>
    </xf>
    <xf numFmtId="0" fontId="1" fillId="0" borderId="34" xfId="0" applyFon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2"/>
    </xf>
    <xf numFmtId="0" fontId="1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 indent="1"/>
    </xf>
    <xf numFmtId="0" fontId="10" fillId="0" borderId="35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textRotation="90" wrapText="1"/>
      <protection locked="0"/>
    </xf>
    <xf numFmtId="0" fontId="8" fillId="0" borderId="1" xfId="0" applyFont="1" applyBorder="1" applyAlignment="1" applyProtection="1">
      <alignment horizontal="center" vertical="center" textRotation="90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textRotation="90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left" indent="1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0" fillId="0" borderId="1" xfId="0" applyNumberFormat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left" indent="1"/>
      <protection locked="0"/>
    </xf>
    <xf numFmtId="0" fontId="1" fillId="0" borderId="0" xfId="0" applyFont="1" applyProtection="1">
      <protection locked="0"/>
    </xf>
    <xf numFmtId="49" fontId="12" fillId="0" borderId="1" xfId="0" applyNumberFormat="1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>
      <alignment horizontal="left" indent="1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 applyProtection="1">
      <alignment horizontal="left" indent="1"/>
      <protection locked="0"/>
    </xf>
    <xf numFmtId="0" fontId="14" fillId="0" borderId="1" xfId="0" applyFont="1" applyBorder="1" applyAlignment="1">
      <alignment horizontal="left" indent="1"/>
    </xf>
    <xf numFmtId="0" fontId="1" fillId="0" borderId="1" xfId="0" quotePrefix="1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 wrapText="1" indent="1"/>
      <protection locked="0"/>
    </xf>
    <xf numFmtId="14" fontId="1" fillId="0" borderId="1" xfId="0" quotePrefix="1" applyNumberFormat="1" applyFont="1" applyBorder="1" applyAlignment="1" applyProtection="1">
      <alignment horizontal="left" indent="1"/>
      <protection locked="0"/>
    </xf>
    <xf numFmtId="0" fontId="1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indent="1"/>
    </xf>
    <xf numFmtId="0" fontId="1" fillId="0" borderId="1" xfId="0" applyFont="1" applyBorder="1" applyAlignment="1" applyProtection="1">
      <alignment horizontal="left" indent="2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11" fillId="0" borderId="1" xfId="0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alignment horizontal="left" wrapText="1" indent="2"/>
      <protection locked="0"/>
    </xf>
    <xf numFmtId="0" fontId="13" fillId="0" borderId="1" xfId="0" applyFont="1" applyBorder="1" applyAlignment="1" applyProtection="1">
      <alignment horizontal="left" indent="2"/>
      <protection locked="0"/>
    </xf>
    <xf numFmtId="0" fontId="0" fillId="0" borderId="1" xfId="0" applyBorder="1" applyProtection="1">
      <protection locked="0"/>
    </xf>
    <xf numFmtId="0" fontId="10" fillId="0" borderId="1" xfId="0" applyFont="1" applyBorder="1" applyAlignment="1" applyProtection="1">
      <alignment horizontal="left" indent="1"/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left" wrapText="1" indent="1"/>
    </xf>
    <xf numFmtId="0" fontId="7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0" fontId="1" fillId="0" borderId="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5" xfId="0" quotePrefix="1" applyFont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/>
    </xf>
    <xf numFmtId="0" fontId="1" fillId="0" borderId="0" xfId="0" applyFont="1" applyAlignment="1" applyProtection="1">
      <alignment horizontal="left" indent="3"/>
      <protection locked="0"/>
    </xf>
    <xf numFmtId="0" fontId="9" fillId="0" borderId="25" xfId="0" applyFont="1" applyBorder="1" applyAlignment="1">
      <alignment horizontal="right" indent="1"/>
    </xf>
    <xf numFmtId="0" fontId="6" fillId="0" borderId="23" xfId="0" applyFont="1" applyBorder="1" applyAlignment="1">
      <alignment horizontal="right" indent="1"/>
    </xf>
    <xf numFmtId="0" fontId="9" fillId="0" borderId="0" xfId="0" applyFont="1" applyAlignment="1" applyProtection="1">
      <alignment horizontal="left" indent="2"/>
      <protection locked="0"/>
    </xf>
    <xf numFmtId="164" fontId="1" fillId="0" borderId="1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25" xfId="0" applyFont="1" applyBorder="1"/>
    <xf numFmtId="0" fontId="1" fillId="0" borderId="0" xfId="0" applyFont="1" applyAlignment="1">
      <alignment horizontal="center"/>
    </xf>
    <xf numFmtId="49" fontId="9" fillId="0" borderId="25" xfId="0" applyNumberFormat="1" applyFont="1" applyBorder="1" applyAlignment="1">
      <alignment horizontal="left" indent="1"/>
    </xf>
    <xf numFmtId="49" fontId="0" fillId="0" borderId="25" xfId="0" applyNumberFormat="1" applyBorder="1" applyAlignment="1">
      <alignment horizontal="center"/>
    </xf>
    <xf numFmtId="49" fontId="6" fillId="0" borderId="25" xfId="0" applyNumberFormat="1" applyFont="1" applyBorder="1" applyAlignment="1">
      <alignment horizontal="left" indent="1"/>
    </xf>
    <xf numFmtId="0" fontId="1" fillId="0" borderId="23" xfId="0" applyFont="1" applyBorder="1" applyAlignment="1">
      <alignment horizontal="center"/>
    </xf>
    <xf numFmtId="49" fontId="9" fillId="0" borderId="25" xfId="0" applyNumberFormat="1" applyFont="1" applyBorder="1" applyAlignment="1">
      <alignment horizontal="right" indent="1"/>
    </xf>
    <xf numFmtId="49" fontId="6" fillId="0" borderId="23" xfId="0" applyNumberFormat="1" applyFont="1" applyBorder="1" applyAlignment="1">
      <alignment horizontal="right" indent="1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25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textRotation="90" wrapText="1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textRotation="90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" fillId="0" borderId="44" xfId="0" applyFont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left" indent="1"/>
    </xf>
    <xf numFmtId="49" fontId="1" fillId="0" borderId="9" xfId="0" applyNumberFormat="1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9" xfId="0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left" indent="1"/>
      <protection locked="0"/>
    </xf>
    <xf numFmtId="49" fontId="8" fillId="0" borderId="12" xfId="0" applyNumberFormat="1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textRotation="90" wrapText="1"/>
      <protection locked="0"/>
    </xf>
    <xf numFmtId="0" fontId="2" fillId="0" borderId="1" xfId="0" applyFont="1" applyBorder="1" applyAlignment="1" applyProtection="1">
      <alignment horizontal="center" vertical="center" textRotation="90" wrapText="1"/>
      <protection locked="0"/>
    </xf>
    <xf numFmtId="0" fontId="0" fillId="0" borderId="25" xfId="0" quotePrefix="1" applyBorder="1" applyAlignment="1">
      <alignment horizontal="center" vertical="center"/>
    </xf>
    <xf numFmtId="0" fontId="6" fillId="0" borderId="25" xfId="0" applyFont="1" applyBorder="1" applyAlignment="1">
      <alignment horizontal="right" indent="1"/>
    </xf>
    <xf numFmtId="49" fontId="6" fillId="0" borderId="25" xfId="0" applyNumberFormat="1" applyFont="1" applyBorder="1" applyAlignment="1">
      <alignment horizontal="right" indent="1"/>
    </xf>
    <xf numFmtId="0" fontId="0" fillId="0" borderId="7" xfId="0" applyBorder="1" applyAlignment="1">
      <alignment horizontal="right"/>
    </xf>
    <xf numFmtId="0" fontId="1" fillId="0" borderId="0" xfId="0" applyFont="1" applyAlignment="1" applyProtection="1">
      <alignment horizontal="left" indent="2"/>
      <protection locked="0"/>
    </xf>
    <xf numFmtId="0" fontId="0" fillId="0" borderId="1" xfId="0" applyBorder="1" applyAlignment="1">
      <alignment horizontal="center" vertical="center" wrapText="1"/>
    </xf>
    <xf numFmtId="0" fontId="2" fillId="0" borderId="46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textRotation="90" wrapText="1"/>
    </xf>
    <xf numFmtId="0" fontId="0" fillId="0" borderId="36" xfId="0" applyBorder="1" applyAlignment="1">
      <alignment horizontal="center" vertical="center" textRotation="90"/>
    </xf>
    <xf numFmtId="0" fontId="10" fillId="0" borderId="35" xfId="0" applyFont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1" fontId="0" fillId="0" borderId="49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47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indent="1"/>
    </xf>
    <xf numFmtId="0" fontId="0" fillId="0" borderId="51" xfId="0" applyBorder="1" applyAlignment="1">
      <alignment horizontal="left" vertical="center" indent="1"/>
    </xf>
    <xf numFmtId="0" fontId="1" fillId="4" borderId="23" xfId="0" applyFont="1" applyFill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indent="1"/>
      <protection locked="0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11" xfId="0" applyFont="1" applyFill="1" applyBorder="1" applyAlignment="1" applyProtection="1">
      <alignment horizontal="center"/>
      <protection locked="0"/>
    </xf>
    <xf numFmtId="0" fontId="1" fillId="4" borderId="2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8" fillId="4" borderId="31" xfId="0" applyFont="1" applyFill="1" applyBorder="1" applyAlignment="1" applyProtection="1">
      <alignment horizontal="center"/>
      <protection locked="0"/>
    </xf>
    <xf numFmtId="0" fontId="1" fillId="4" borderId="0" xfId="0" applyFont="1" applyFill="1" applyProtection="1">
      <protection locked="0"/>
    </xf>
    <xf numFmtId="0" fontId="8" fillId="5" borderId="12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49" fontId="1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 applyProtection="1">
      <alignment horizontal="center"/>
      <protection locked="0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32" xfId="0" applyFill="1" applyBorder="1" applyAlignment="1">
      <alignment horizontal="center"/>
    </xf>
    <xf numFmtId="0" fontId="0" fillId="4" borderId="0" xfId="0" applyFill="1" applyProtection="1">
      <protection locked="0"/>
    </xf>
    <xf numFmtId="0" fontId="16" fillId="4" borderId="14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Protection="1">
      <protection locked="0"/>
    </xf>
    <xf numFmtId="0" fontId="0" fillId="0" borderId="0" xfId="0" applyAlignment="1">
      <alignment horizontal="center"/>
    </xf>
    <xf numFmtId="0" fontId="17" fillId="3" borderId="1" xfId="0" applyFont="1" applyFill="1" applyBorder="1" applyAlignment="1">
      <alignment horizontal="center" vertical="center" wrapText="1" shrinkToFit="1"/>
    </xf>
    <xf numFmtId="0" fontId="0" fillId="0" borderId="12" xfId="0" applyBorder="1"/>
    <xf numFmtId="0" fontId="0" fillId="0" borderId="55" xfId="0" applyBorder="1"/>
    <xf numFmtId="0" fontId="17" fillId="3" borderId="39" xfId="0" applyFont="1" applyFill="1" applyBorder="1" applyAlignment="1">
      <alignment horizontal="center" vertical="center" wrapText="1" shrinkToFit="1"/>
    </xf>
    <xf numFmtId="0" fontId="17" fillId="3" borderId="41" xfId="0" applyFont="1" applyFill="1" applyBorder="1" applyAlignment="1">
      <alignment horizontal="center" vertical="center" wrapText="1" shrinkToFit="1"/>
    </xf>
    <xf numFmtId="0" fontId="0" fillId="0" borderId="58" xfId="0" applyBorder="1"/>
    <xf numFmtId="0" fontId="0" fillId="0" borderId="59" xfId="0" applyBorder="1"/>
    <xf numFmtId="0" fontId="17" fillId="3" borderId="40" xfId="0" applyFont="1" applyFill="1" applyBorder="1" applyAlignment="1">
      <alignment horizontal="center" vertical="center" wrapText="1" shrinkToFit="1"/>
    </xf>
    <xf numFmtId="0" fontId="0" fillId="0" borderId="57" xfId="0" applyBorder="1"/>
    <xf numFmtId="0" fontId="17" fillId="3" borderId="42" xfId="0" applyFont="1" applyFill="1" applyBorder="1" applyAlignment="1">
      <alignment horizontal="center" vertical="center" wrapText="1" shrinkToFit="1"/>
    </xf>
    <xf numFmtId="0" fontId="0" fillId="0" borderId="56" xfId="0" applyBorder="1"/>
    <xf numFmtId="0" fontId="17" fillId="3" borderId="38" xfId="0" applyFont="1" applyFill="1" applyBorder="1" applyAlignment="1">
      <alignment horizontal="center" vertical="center" wrapText="1" shrinkToFit="1"/>
    </xf>
    <xf numFmtId="0" fontId="17" fillId="3" borderId="45" xfId="0" applyFont="1" applyFill="1" applyBorder="1" applyAlignment="1">
      <alignment horizontal="center" vertical="center" wrapText="1" shrinkToFit="1"/>
    </xf>
    <xf numFmtId="0" fontId="0" fillId="0" borderId="53" xfId="0" applyBorder="1"/>
    <xf numFmtId="0" fontId="0" fillId="0" borderId="54" xfId="0" applyBorder="1"/>
  </cellXfs>
  <cellStyles count="2">
    <cellStyle name="Normal" xfId="0" builtinId="0"/>
    <cellStyle name="Normal 3" xfId="1" xr:uid="{00000000-0005-0000-0000-000001000000}"/>
  </cellStyles>
  <dxfs count="111"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alignment horizontal="center" vertical="bottom"/>
    </dxf>
    <dxf>
      <border outline="0"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165" formatCode="0.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relativeInden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protection locked="0" hidden="0"/>
    </dxf>
    <dxf>
      <border outline="0"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RL5 PROGRESS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'RL7'!$O$1631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'RL7'!$P$1628:$Y$1628</c:f>
              <c:strCache>
                <c:ptCount val="10"/>
                <c:pt idx="0">
                  <c:v>DEVICE
INSTALLED</c:v>
                </c:pt>
                <c:pt idx="1">
                  <c:v>DEVICE
TAGGED</c:v>
                </c:pt>
                <c:pt idx="2">
                  <c:v>CA
INSTALLED</c:v>
                </c:pt>
                <c:pt idx="3">
                  <c:v>RACEWAYS
COMPLETE</c:v>
                </c:pt>
                <c:pt idx="4">
                  <c:v>WIRE
PULLED</c:v>
                </c:pt>
                <c:pt idx="5">
                  <c:v>WIRE
TERMED</c:v>
                </c:pt>
                <c:pt idx="6">
                  <c:v>WIRE
TAGGED</c:v>
                </c:pt>
                <c:pt idx="7">
                  <c:v>POINT
TO POINT</c:v>
                </c:pt>
                <c:pt idx="8">
                  <c:v>IO CHECK</c:v>
                </c:pt>
                <c:pt idx="9">
                  <c:v>IO GOOD</c:v>
                </c:pt>
              </c:strCache>
            </c:strRef>
          </c:cat>
          <c:val>
            <c:numRef>
              <c:f>'RL7'!$P$1631:$Y$1631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9-412B-B191-412665D2FF81}"/>
            </c:ext>
          </c:extLst>
        </c:ser>
        <c:ser>
          <c:idx val="1"/>
          <c:order val="1"/>
          <c:tx>
            <c:strRef>
              <c:f>'RL7'!$O$1632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'RL7'!$P$1628:$Y$1628</c:f>
              <c:strCache>
                <c:ptCount val="10"/>
                <c:pt idx="0">
                  <c:v>DEVICE
INSTALLED</c:v>
                </c:pt>
                <c:pt idx="1">
                  <c:v>DEVICE
TAGGED</c:v>
                </c:pt>
                <c:pt idx="2">
                  <c:v>CA
INSTALLED</c:v>
                </c:pt>
                <c:pt idx="3">
                  <c:v>RACEWAYS
COMPLETE</c:v>
                </c:pt>
                <c:pt idx="4">
                  <c:v>WIRE
PULLED</c:v>
                </c:pt>
                <c:pt idx="5">
                  <c:v>WIRE
TERMED</c:v>
                </c:pt>
                <c:pt idx="6">
                  <c:v>WIRE
TAGGED</c:v>
                </c:pt>
                <c:pt idx="7">
                  <c:v>POINT
TO POINT</c:v>
                </c:pt>
                <c:pt idx="8">
                  <c:v>IO CHECK</c:v>
                </c:pt>
                <c:pt idx="9">
                  <c:v>IO GOOD</c:v>
                </c:pt>
              </c:strCache>
            </c:strRef>
          </c:cat>
          <c:val>
            <c:numRef>
              <c:f>'RL7'!$P$1632:$Y$1632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9-412B-B191-412665D2F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2485727"/>
        <c:axId val="74129503"/>
      </c:barChart>
      <c:catAx>
        <c:axId val="98248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9503"/>
        <c:crosses val="autoZero"/>
        <c:auto val="1"/>
        <c:lblAlgn val="ctr"/>
        <c:lblOffset val="100"/>
        <c:noMultiLvlLbl val="0"/>
      </c:catAx>
      <c:valAx>
        <c:axId val="7412950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8572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19049</xdr:rowOff>
    </xdr:from>
    <xdr:to>
      <xdr:col>10</xdr:col>
      <xdr:colOff>581024</xdr:colOff>
      <xdr:row>35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Z1623" totalsRowShown="0" headerRowDxfId="110" dataDxfId="108" headerRowBorderDxfId="109" tableBorderDxfId="107">
  <autoFilter ref="A1:Z1623" xr:uid="{00000000-0009-0000-0100-000001000000}"/>
  <sortState xmlns:xlrd2="http://schemas.microsoft.com/office/spreadsheetml/2017/richdata2" ref="A2:Z1623">
    <sortCondition ref="G1:G1623"/>
  </sortState>
  <tableColumns count="26">
    <tableColumn id="1" xr3:uid="{00000000-0010-0000-0000-000001000000}" name="NO" dataDxfId="106"/>
    <tableColumn id="2" xr3:uid="{00000000-0010-0000-0000-000002000000}" name="PHASE 2 TAG" dataDxfId="105"/>
    <tableColumn id="3" xr3:uid="{00000000-0010-0000-0000-000003000000}" name="PHASE 2A TAG" dataDxfId="0"/>
    <tableColumn id="4" xr3:uid="{00000000-0010-0000-0000-000004000000}" name="OEM TAG" dataDxfId="104"/>
    <tableColumn id="5" xr3:uid="{00000000-0010-0000-0000-000005000000}" name="JB" dataDxfId="103"/>
    <tableColumn id="6" xr3:uid="{00000000-0010-0000-0000-000006000000}" name="DESCRIPTION" dataDxfId="102"/>
    <tableColumn id="7" xr3:uid="{00000000-0010-0000-0000-000007000000}" name="P&amp;ID" dataDxfId="101"/>
    <tableColumn id="8" xr3:uid="{00000000-0010-0000-0000-000008000000}" name="ROOM" dataDxfId="100"/>
    <tableColumn id="9" xr3:uid="{00000000-0010-0000-0000-000009000000}" name="PANEL" dataDxfId="99"/>
    <tableColumn id="10" xr3:uid="{00000000-0010-0000-0000-00000A000000}" name="ORDER" dataDxfId="98"/>
    <tableColumn id="11" xr3:uid="{00000000-0010-0000-0000-00000B000000}" name="SLOT" dataDxfId="97"/>
    <tableColumn id="12" xr3:uid="{00000000-0010-0000-0000-00000C000000}" name="CH" dataDxfId="96"/>
    <tableColumn id="13" xr3:uid="{00000000-0010-0000-0000-00000D000000}" name="MODULE _x000a_TYPE" dataDxfId="95"/>
    <tableColumn id="14" xr3:uid="{00000000-0010-0000-0000-00000E000000}" name="MODULE _x000a_P/N" dataDxfId="94"/>
    <tableColumn id="15" xr3:uid="{00000000-0010-0000-0000-00000F000000}" name="RANGE" dataDxfId="93"/>
    <tableColumn id="16" xr3:uid="{00000000-0010-0000-0000-000010000000}" name="DEVICE_x000a_INSTALLED" dataDxfId="92"/>
    <tableColumn id="17" xr3:uid="{00000000-0010-0000-0000-000011000000}" name="DEVICE_x000a_TAGGED" dataDxfId="91"/>
    <tableColumn id="18" xr3:uid="{00000000-0010-0000-0000-000012000000}" name="CA_x000a_INSTALLED" dataDxfId="90"/>
    <tableColumn id="19" xr3:uid="{00000000-0010-0000-0000-000013000000}" name="RACEWAYS_x000a_COMPLETE" dataDxfId="89"/>
    <tableColumn id="20" xr3:uid="{00000000-0010-0000-0000-000014000000}" name="WIRE_x000a_PULLED" dataDxfId="88"/>
    <tableColumn id="21" xr3:uid="{00000000-0010-0000-0000-000015000000}" name="WIRE_x000a_TERMED" dataDxfId="87"/>
    <tableColumn id="22" xr3:uid="{00000000-0010-0000-0000-000016000000}" name="WIRE_x000a_TAGGED" dataDxfId="86"/>
    <tableColumn id="23" xr3:uid="{00000000-0010-0000-0000-000017000000}" name="POINT_x000a_TO POINT" dataDxfId="85"/>
    <tableColumn id="24" xr3:uid="{00000000-0010-0000-0000-000018000000}" name="IO CHECK" dataDxfId="84"/>
    <tableColumn id="25" xr3:uid="{00000000-0010-0000-0000-000019000000}" name="IO GOOD" dataDxfId="83"/>
    <tableColumn id="26" xr3:uid="{00000000-0010-0000-0000-00001A000000}" name="NOTES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Z83" totalsRowShown="0" headerRowDxfId="81" dataDxfId="79" headerRowBorderDxfId="80" tableBorderDxfId="78">
  <autoFilter ref="A1:Z83" xr:uid="{00000000-0009-0000-0100-000002000000}"/>
  <tableColumns count="26">
    <tableColumn id="1" xr3:uid="{00000000-0010-0000-0100-000001000000}" name="NO" dataDxfId="77"/>
    <tableColumn id="2" xr3:uid="{00000000-0010-0000-0100-000002000000}" name="PHASE 2 TAG" dataDxfId="76"/>
    <tableColumn id="3" xr3:uid="{00000000-0010-0000-0100-000003000000}" name="PHASE 2A TAG" dataDxfId="75"/>
    <tableColumn id="4" xr3:uid="{00000000-0010-0000-0100-000004000000}" name="OEM TAGNAME" dataDxfId="74"/>
    <tableColumn id="5" xr3:uid="{00000000-0010-0000-0100-000005000000}" name="JB" dataDxfId="73"/>
    <tableColumn id="6" xr3:uid="{00000000-0010-0000-0100-000006000000}" name="DESCRIPTION" dataDxfId="72"/>
    <tableColumn id="7" xr3:uid="{00000000-0010-0000-0100-000007000000}" name="P&amp;ID" dataDxfId="71"/>
    <tableColumn id="8" xr3:uid="{00000000-0010-0000-0100-000008000000}" name="ROOM" dataDxfId="70"/>
    <tableColumn id="9" xr3:uid="{00000000-0010-0000-0100-000009000000}" name="PANEL" dataDxfId="69"/>
    <tableColumn id="10" xr3:uid="{00000000-0010-0000-0100-00000A000000}" name="ORDER" dataDxfId="68"/>
    <tableColumn id="11" xr3:uid="{00000000-0010-0000-0100-00000B000000}" name="SLOT" dataDxfId="67"/>
    <tableColumn id="12" xr3:uid="{00000000-0010-0000-0100-00000C000000}" name="CH" dataDxfId="66"/>
    <tableColumn id="13" xr3:uid="{00000000-0010-0000-0100-00000D000000}" name="MODULE _x000a_TYPE" dataDxfId="65"/>
    <tableColumn id="14" xr3:uid="{00000000-0010-0000-0100-00000E000000}" name="MODULE _x000a_P/N" dataDxfId="64"/>
    <tableColumn id="15" xr3:uid="{00000000-0010-0000-0100-00000F000000}" name="RANGE" dataDxfId="63"/>
    <tableColumn id="16" xr3:uid="{00000000-0010-0000-0100-000010000000}" name="DEVICE_x000a_INSTALLED" dataDxfId="62"/>
    <tableColumn id="17" xr3:uid="{00000000-0010-0000-0100-000011000000}" name="DEVICE_x000a_TAGGED" dataDxfId="61"/>
    <tableColumn id="18" xr3:uid="{00000000-0010-0000-0100-000012000000}" name="CA_x000a_INSTALLED" dataDxfId="60"/>
    <tableColumn id="19" xr3:uid="{00000000-0010-0000-0100-000013000000}" name="RACEWAYS_x000a_COMPLETE" dataDxfId="59"/>
    <tableColumn id="20" xr3:uid="{00000000-0010-0000-0100-000014000000}" name="WIRE_x000a_PULLED" dataDxfId="58"/>
    <tableColumn id="21" xr3:uid="{00000000-0010-0000-0100-000015000000}" name="WIRE_x000a_TERMED" dataDxfId="57"/>
    <tableColumn id="22" xr3:uid="{00000000-0010-0000-0100-000016000000}" name="WIRE_x000a_TAGGED" dataDxfId="56"/>
    <tableColumn id="23" xr3:uid="{00000000-0010-0000-0100-000017000000}" name="POINT_x000a_TO POINT" dataDxfId="55"/>
    <tableColumn id="24" xr3:uid="{00000000-0010-0000-0100-000018000000}" name="IO CHECK" dataDxfId="54"/>
    <tableColumn id="25" xr3:uid="{00000000-0010-0000-0100-000019000000}" name="IO GOOD" dataDxfId="53"/>
    <tableColumn id="26" xr3:uid="{00000000-0010-0000-0100-00001A000000}" name="NOTES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CC_Table" displayName="MCC_Table" ref="A1:AJ412" totalsRowShown="0" headerRowDxfId="51" dataDxfId="49" headerRowBorderDxfId="50" tableBorderDxfId="48" totalsRowBorderDxfId="47">
  <autoFilter ref="A1:AJ412" xr:uid="{00000000-0009-0000-0100-000003000000}">
    <filterColumn colId="0">
      <filters>
        <filter val="RL7-6MCC01"/>
        <filter val="RL7-6MCC02"/>
        <filter val="RL7-6MCC03"/>
      </filters>
    </filterColumn>
  </autoFilter>
  <tableColumns count="36">
    <tableColumn id="7" xr3:uid="{00000000-0010-0000-0200-000007000000}" name="MCC" dataDxfId="46"/>
    <tableColumn id="6" xr3:uid="{00000000-0010-0000-0200-000006000000}" name="BUCKET" dataDxfId="45"/>
    <tableColumn id="2" xr3:uid="{00000000-0010-0000-0200-000002000000}" name="EQUIP ID" dataDxfId="44"/>
    <tableColumn id="3" xr3:uid="{00000000-0010-0000-0200-000003000000}" name="DESCRIPTION" dataDxfId="43"/>
    <tableColumn id="23" xr3:uid="{00000000-0010-0000-0200-000017000000}" name="BUCKET TYPE" dataDxfId="42"/>
    <tableColumn id="4" xr3:uid="{00000000-0010-0000-0200-000004000000}" name="MOTOR HP" dataDxfId="41"/>
    <tableColumn id="5" xr3:uid="{00000000-0010-0000-0200-000005000000}" name="STARTER_x000a_HP RATING" dataDxfId="40"/>
    <tableColumn id="33" xr3:uid="{00000000-0010-0000-0200-000021000000}" name="VFD AMP RATING" dataDxfId="39"/>
    <tableColumn id="19" xr3:uid="{00000000-0010-0000-0200-000013000000}" name="STARTER SIZE" dataDxfId="38"/>
    <tableColumn id="24" xr3:uid="{00000000-0010-0000-0200-000018000000}" name="SF" dataDxfId="37">
      <calculatedColumnFormula>IF(ISNUMBER(MCC_Table[[#This Row],[SIZE]]), MCC_Table[[#This Row],[SIZE]]/12, 0)</calculatedColumnFormula>
    </tableColumn>
    <tableColumn id="20" xr3:uid="{00000000-0010-0000-0200-000014000000}" name="CB TRIP" dataDxfId="36"/>
    <tableColumn id="14" xr3:uid="{00000000-0010-0000-0200-00000E000000}" name="CB FRAME" dataDxfId="35"/>
    <tableColumn id="31" xr3:uid="{00000000-0010-0000-0200-00001F000000}" name="FUSE TRIP" dataDxfId="34"/>
    <tableColumn id="32" xr3:uid="{00000000-0010-0000-0200-000020000000}" name="CABLE" dataDxfId="33"/>
    <tableColumn id="13" xr3:uid="{00000000-0010-0000-0200-00000D000000}" name="NOTES" dataDxfId="32"/>
    <tableColumn id="21" xr3:uid="{00000000-0010-0000-0200-000015000000}" name="RACEWAYS_x000a_COMPLETE" dataDxfId="31"/>
    <tableColumn id="1" xr3:uid="{00000000-0010-0000-0200-000001000000}" name="FEEDER_x000a_PULLED" dataDxfId="30"/>
    <tableColumn id="8" xr3:uid="{00000000-0010-0000-0200-000008000000}" name="FEEDER_x000a_TERMED" dataDxfId="29"/>
    <tableColumn id="11" xr3:uid="{00000000-0010-0000-0200-00000B000000}" name="MOTOR_x000a_BUMPED" dataDxfId="28"/>
    <tableColumn id="22" xr3:uid="{00000000-0010-0000-0200-000016000000}" name="AUX POINT TO POINT" dataDxfId="27"/>
    <tableColumn id="18" xr3:uid="{00000000-0010-0000-0200-000012000000}" name="AUX _x000a_I/O CHECK" dataDxfId="26"/>
    <tableColumn id="15" xr3:uid="{00000000-0010-0000-0200-00000F000000}" name="COMMS_x000a_PULLED" dataDxfId="25"/>
    <tableColumn id="16" xr3:uid="{00000000-0010-0000-0200-000010000000}" name="COMMS_x000a_TERMED" dataDxfId="24"/>
    <tableColumn id="17" xr3:uid="{00000000-0010-0000-0200-000011000000}" name="COMMS_x000a_TESTED" dataDxfId="23"/>
    <tableColumn id="9" xr3:uid="{00000000-0010-0000-0200-000009000000}" name="COMMS_x000a_TAGGED" dataDxfId="22"/>
    <tableColumn id="10" xr3:uid="{00000000-0010-0000-0200-00000A000000}" name="COMMS CONFIG" dataDxfId="21"/>
    <tableColumn id="12" xr3:uid="{00000000-0010-0000-0200-00000C000000}" name="COMMS_x000a_GOOD" dataDxfId="20"/>
    <tableColumn id="35" xr3:uid="{00000000-0010-0000-0200-000023000000}" name="REVIT FAMILY" dataDxfId="19"/>
    <tableColumn id="36" xr3:uid="{00000000-0010-0000-0200-000024000000}" name="FAMILY TYPE" dataDxfId="18"/>
    <tableColumn id="34" xr3:uid="{00000000-0010-0000-0200-000022000000}" name="GRAPHICS" dataDxfId="17"/>
    <tableColumn id="25" xr3:uid="{00000000-0010-0000-0200-000019000000}" name="SECTION" dataDxfId="16">
      <calculatedColumnFormula>_xlfn.NUMBERVALUE(LEFT(MCC_Table[[#This Row],[BUCKET]],LEN(MCC_Table[[#This Row],[BUCKET]])-1))</calculatedColumnFormula>
    </tableColumn>
    <tableColumn id="26" xr3:uid="{00000000-0010-0000-0200-00001A000000}" name="START UNIT" dataDxfId="15">
      <calculatedColumnFormula>RIGHT(MCC_Table[[#This Row],[BUCKET]],1)</calculatedColumnFormula>
    </tableColumn>
    <tableColumn id="27" xr3:uid="{00000000-0010-0000-0200-00001B000000}" name="START INDEX" dataDxfId="14">
      <calculatedColumnFormula>VLOOKUP(MCC_Table[[#This Row],[START UNIT]],UnitMap[],2,FALSE)</calculatedColumnFormula>
    </tableColumn>
    <tableColumn id="28" xr3:uid="{00000000-0010-0000-0200-00001C000000}" name="SIZE" dataDxfId="13">
      <calculatedColumnFormula array="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calculatedColumnFormula>
    </tableColumn>
    <tableColumn id="29" xr3:uid="{00000000-0010-0000-0200-00001D000000}" name="UNITS USED" dataDxfId="12">
      <calculatedColumnFormula>IF(ISNUMBER(MCC_Table[[#This Row],[SIZE]]), MCC_Table[[#This Row],[SIZE]]/6, 0)</calculatedColumnFormula>
    </tableColumn>
    <tableColumn id="30" xr3:uid="{00000000-0010-0000-0200-00001E000000}" name="END INDEX" dataDxfId="11">
      <calculatedColumnFormula>MCC_Table[[#This Row],[START INDEX]]+MCC_Table[[#This Row],[UNITS USED]]-1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nitMap" displayName="UnitMap" ref="A1:B13" totalsRowShown="0" headerRowDxfId="8" dataDxfId="7">
  <autoFilter ref="A1:B13" xr:uid="{00000000-0009-0000-0100-000004000000}"/>
  <tableColumns count="2">
    <tableColumn id="1" xr3:uid="{00000000-0010-0000-0300-000001000000}" name="UnitLetter" dataDxfId="6"/>
    <tableColumn id="2" xr3:uid="{00000000-0010-0000-0300-000002000000}" name="UnitIndex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ucketOptions" displayName="BucketOptions" ref="D1:D13" totalsRowShown="0" headerRowDxfId="4" headerRowBorderDxfId="3">
  <autoFilter ref="D1:D13" xr:uid="{00000000-0009-0000-0100-000005000000}"/>
  <tableColumns count="1">
    <tableColumn id="1" xr3:uid="{00000000-0010-0000-0400-000001000000}" name="RevitFamil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milyType" displayName="FamilyType" ref="F1:F30" totalsRowShown="0" headerRowDxfId="2">
  <autoFilter ref="F1:F30" xr:uid="{00000000-0009-0000-0100-000006000000}"/>
  <tableColumns count="1">
    <tableColumn id="1" xr3:uid="{00000000-0010-0000-0500-000001000000}" name="FamilyTyp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milyGraphics" displayName="FamilyGraphics" ref="H1:H11" totalsRowShown="0" headerRowDxfId="1">
  <autoFilter ref="H1:H11" xr:uid="{00000000-0009-0000-0100-000007000000}"/>
  <tableColumns count="1">
    <tableColumn id="1" xr3:uid="{00000000-0010-0000-0600-000001000000}" name="FamilyGraphic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79998168889431442"/>
    <pageSetUpPr fitToPage="1"/>
  </sheetPr>
  <dimension ref="A1:Z1662"/>
  <sheetViews>
    <sheetView tabSelected="1" zoomScaleNormal="100" zoomScaleSheetLayoutView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2" sqref="C2:C1048576"/>
    </sheetView>
  </sheetViews>
  <sheetFormatPr defaultColWidth="8.85546875" defaultRowHeight="15" x14ac:dyDescent="0.25"/>
  <cols>
    <col min="1" max="1" width="8.42578125" style="165" bestFit="1" customWidth="1"/>
    <col min="2" max="2" width="22.42578125" style="167" hidden="1" customWidth="1"/>
    <col min="3" max="3" width="33.28515625" style="267" customWidth="1"/>
    <col min="4" max="4" width="12.28515625" style="282" hidden="1" customWidth="1"/>
    <col min="5" max="5" width="10.28515625" style="167" customWidth="1"/>
    <col min="6" max="6" width="86" style="168" customWidth="1"/>
    <col min="7" max="7" width="8.140625" style="165" bestFit="1" customWidth="1"/>
    <col min="8" max="8" width="9" style="167" customWidth="1"/>
    <col min="9" max="9" width="19.5703125" style="167" bestFit="1" customWidth="1"/>
    <col min="10" max="12" width="7.7109375" style="165" customWidth="1"/>
    <col min="13" max="14" width="12.7109375" style="165" customWidth="1"/>
    <col min="15" max="15" width="13.7109375" style="195" customWidth="1"/>
    <col min="16" max="23" width="11.140625" style="165" customWidth="1"/>
    <col min="24" max="25" width="8.28515625" style="165" customWidth="1"/>
    <col min="26" max="26" width="57.140625" style="175" customWidth="1"/>
    <col min="27" max="37" width="8.85546875" style="122" customWidth="1"/>
    <col min="38" max="16384" width="8.85546875" style="122"/>
  </cols>
  <sheetData>
    <row r="1" spans="1:26" s="136" customFormat="1" ht="60.6" customHeight="1" x14ac:dyDescent="0.25">
      <c r="A1" s="196" t="s">
        <v>0</v>
      </c>
      <c r="B1" s="198" t="s">
        <v>1</v>
      </c>
      <c r="C1" s="273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9" t="s">
        <v>9</v>
      </c>
      <c r="K1" s="199" t="s">
        <v>10</v>
      </c>
      <c r="L1" s="199" t="s">
        <v>11</v>
      </c>
      <c r="M1" s="198" t="s">
        <v>12</v>
      </c>
      <c r="N1" s="198" t="s">
        <v>13</v>
      </c>
      <c r="O1" s="213" t="s">
        <v>14</v>
      </c>
      <c r="P1" s="199" t="s">
        <v>15</v>
      </c>
      <c r="Q1" s="199" t="s">
        <v>16</v>
      </c>
      <c r="R1" s="199" t="s">
        <v>17</v>
      </c>
      <c r="S1" s="199" t="s">
        <v>18</v>
      </c>
      <c r="T1" s="199" t="s">
        <v>19</v>
      </c>
      <c r="U1" s="199" t="s">
        <v>20</v>
      </c>
      <c r="V1" s="199" t="s">
        <v>21</v>
      </c>
      <c r="W1" s="199" t="s">
        <v>22</v>
      </c>
      <c r="X1" s="201" t="s">
        <v>23</v>
      </c>
      <c r="Y1" s="201" t="s">
        <v>24</v>
      </c>
      <c r="Z1" s="198" t="s">
        <v>25</v>
      </c>
    </row>
    <row r="2" spans="1:26" x14ac:dyDescent="0.25">
      <c r="A2" s="203">
        <f t="shared" ref="A2:A40" si="0">ROW()-2</f>
        <v>0</v>
      </c>
      <c r="B2" s="128" t="s">
        <v>26</v>
      </c>
      <c r="C2" s="262" t="s">
        <v>26</v>
      </c>
      <c r="D2" s="262"/>
      <c r="E2" s="128"/>
      <c r="F2" s="138" t="s">
        <v>27</v>
      </c>
      <c r="G2" s="131" t="s">
        <v>28</v>
      </c>
      <c r="H2" s="128" t="s">
        <v>29</v>
      </c>
      <c r="I2" s="132" t="s">
        <v>30</v>
      </c>
      <c r="J2" s="133">
        <v>2</v>
      </c>
      <c r="K2" s="129">
        <v>1</v>
      </c>
      <c r="L2" s="129">
        <v>0</v>
      </c>
      <c r="M2" s="129" t="s">
        <v>31</v>
      </c>
      <c r="N2" s="129" t="s">
        <v>32</v>
      </c>
      <c r="O2" s="139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40" t="s">
        <v>33</v>
      </c>
    </row>
    <row r="3" spans="1:26" x14ac:dyDescent="0.25">
      <c r="A3" s="203">
        <f t="shared" si="0"/>
        <v>1</v>
      </c>
      <c r="B3" s="128" t="s">
        <v>34</v>
      </c>
      <c r="C3" s="262" t="s">
        <v>34</v>
      </c>
      <c r="D3" s="262"/>
      <c r="E3" s="128"/>
      <c r="F3" s="138" t="s">
        <v>35</v>
      </c>
      <c r="G3" s="131" t="s">
        <v>28</v>
      </c>
      <c r="H3" s="128" t="s">
        <v>29</v>
      </c>
      <c r="I3" s="132" t="s">
        <v>30</v>
      </c>
      <c r="J3" s="133">
        <v>2</v>
      </c>
      <c r="K3" s="129">
        <v>1</v>
      </c>
      <c r="L3" s="129">
        <v>1</v>
      </c>
      <c r="M3" s="129" t="s">
        <v>31</v>
      </c>
      <c r="N3" s="129" t="s">
        <v>32</v>
      </c>
      <c r="O3" s="139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40" t="s">
        <v>33</v>
      </c>
    </row>
    <row r="4" spans="1:26" x14ac:dyDescent="0.25">
      <c r="A4" s="203">
        <f t="shared" si="0"/>
        <v>2</v>
      </c>
      <c r="B4" s="128" t="s">
        <v>36</v>
      </c>
      <c r="C4" s="262" t="s">
        <v>36</v>
      </c>
      <c r="D4" s="262"/>
      <c r="E4" s="128"/>
      <c r="F4" s="138" t="s">
        <v>37</v>
      </c>
      <c r="G4" s="131" t="s">
        <v>28</v>
      </c>
      <c r="H4" s="128" t="s">
        <v>29</v>
      </c>
      <c r="I4" s="132" t="s">
        <v>30</v>
      </c>
      <c r="J4" s="133">
        <v>2</v>
      </c>
      <c r="K4" s="129">
        <v>1</v>
      </c>
      <c r="L4" s="129">
        <v>2</v>
      </c>
      <c r="M4" s="129" t="s">
        <v>31</v>
      </c>
      <c r="N4" s="129" t="s">
        <v>32</v>
      </c>
      <c r="O4" s="139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40" t="s">
        <v>33</v>
      </c>
    </row>
    <row r="5" spans="1:26" x14ac:dyDescent="0.25">
      <c r="A5" s="203">
        <f t="shared" si="0"/>
        <v>3</v>
      </c>
      <c r="B5" s="128" t="s">
        <v>38</v>
      </c>
      <c r="C5" s="262" t="s">
        <v>38</v>
      </c>
      <c r="D5" s="262"/>
      <c r="E5" s="128"/>
      <c r="F5" s="138" t="s">
        <v>39</v>
      </c>
      <c r="G5" s="131" t="s">
        <v>28</v>
      </c>
      <c r="H5" s="128" t="s">
        <v>29</v>
      </c>
      <c r="I5" s="132" t="s">
        <v>30</v>
      </c>
      <c r="J5" s="133">
        <v>2</v>
      </c>
      <c r="K5" s="129">
        <v>1</v>
      </c>
      <c r="L5" s="129">
        <v>3</v>
      </c>
      <c r="M5" s="129" t="s">
        <v>31</v>
      </c>
      <c r="N5" s="129" t="s">
        <v>32</v>
      </c>
      <c r="O5" s="139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40" t="s">
        <v>33</v>
      </c>
    </row>
    <row r="6" spans="1:26" x14ac:dyDescent="0.25">
      <c r="A6" s="203">
        <f t="shared" si="0"/>
        <v>4</v>
      </c>
      <c r="B6" s="128" t="s">
        <v>40</v>
      </c>
      <c r="C6" s="262" t="s">
        <v>40</v>
      </c>
      <c r="D6" s="262"/>
      <c r="E6" s="128"/>
      <c r="F6" s="138" t="s">
        <v>41</v>
      </c>
      <c r="G6" s="131" t="s">
        <v>28</v>
      </c>
      <c r="H6" s="128" t="s">
        <v>29</v>
      </c>
      <c r="I6" s="132" t="s">
        <v>30</v>
      </c>
      <c r="J6" s="133">
        <v>2</v>
      </c>
      <c r="K6" s="129">
        <v>1</v>
      </c>
      <c r="L6" s="129">
        <v>4</v>
      </c>
      <c r="M6" s="129" t="s">
        <v>31</v>
      </c>
      <c r="N6" s="129" t="s">
        <v>32</v>
      </c>
      <c r="O6" s="139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40" t="s">
        <v>33</v>
      </c>
    </row>
    <row r="7" spans="1:26" x14ac:dyDescent="0.25">
      <c r="A7" s="203">
        <f t="shared" si="0"/>
        <v>5</v>
      </c>
      <c r="B7" s="128" t="s">
        <v>42</v>
      </c>
      <c r="C7" s="262" t="s">
        <v>42</v>
      </c>
      <c r="D7" s="262"/>
      <c r="E7" s="128"/>
      <c r="F7" s="138" t="s">
        <v>43</v>
      </c>
      <c r="G7" s="131" t="s">
        <v>28</v>
      </c>
      <c r="H7" s="128" t="s">
        <v>29</v>
      </c>
      <c r="I7" s="132" t="s">
        <v>30</v>
      </c>
      <c r="J7" s="133">
        <v>2</v>
      </c>
      <c r="K7" s="129">
        <v>1</v>
      </c>
      <c r="L7" s="129">
        <v>5</v>
      </c>
      <c r="M7" s="129" t="s">
        <v>31</v>
      </c>
      <c r="N7" s="129" t="s">
        <v>32</v>
      </c>
      <c r="O7" s="139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40" t="s">
        <v>33</v>
      </c>
    </row>
    <row r="8" spans="1:26" x14ac:dyDescent="0.25">
      <c r="A8" s="203">
        <f t="shared" si="0"/>
        <v>6</v>
      </c>
      <c r="B8" s="128" t="s">
        <v>44</v>
      </c>
      <c r="C8" s="262" t="s">
        <v>44</v>
      </c>
      <c r="D8" s="262"/>
      <c r="E8" s="128"/>
      <c r="F8" s="138" t="s">
        <v>45</v>
      </c>
      <c r="G8" s="131" t="s">
        <v>28</v>
      </c>
      <c r="H8" s="128" t="s">
        <v>29</v>
      </c>
      <c r="I8" s="132" t="s">
        <v>30</v>
      </c>
      <c r="J8" s="133">
        <v>2</v>
      </c>
      <c r="K8" s="129">
        <v>1</v>
      </c>
      <c r="L8" s="129">
        <v>6</v>
      </c>
      <c r="M8" s="129" t="s">
        <v>31</v>
      </c>
      <c r="N8" s="129" t="s">
        <v>32</v>
      </c>
      <c r="O8" s="139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40" t="s">
        <v>33</v>
      </c>
    </row>
    <row r="9" spans="1:26" x14ac:dyDescent="0.25">
      <c r="A9" s="203">
        <f t="shared" si="0"/>
        <v>7</v>
      </c>
      <c r="B9" s="128" t="s">
        <v>46</v>
      </c>
      <c r="C9" s="262" t="s">
        <v>46</v>
      </c>
      <c r="D9" s="262"/>
      <c r="E9" s="128"/>
      <c r="F9" s="138" t="s">
        <v>47</v>
      </c>
      <c r="G9" s="131" t="s">
        <v>28</v>
      </c>
      <c r="H9" s="128" t="s">
        <v>29</v>
      </c>
      <c r="I9" s="132" t="s">
        <v>30</v>
      </c>
      <c r="J9" s="133">
        <v>2</v>
      </c>
      <c r="K9" s="129">
        <v>1</v>
      </c>
      <c r="L9" s="129">
        <v>7</v>
      </c>
      <c r="M9" s="129" t="s">
        <v>31</v>
      </c>
      <c r="N9" s="129" t="s">
        <v>32</v>
      </c>
      <c r="O9" s="139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40" t="s">
        <v>33</v>
      </c>
    </row>
    <row r="10" spans="1:26" x14ac:dyDescent="0.25">
      <c r="A10" s="203">
        <f t="shared" si="0"/>
        <v>8</v>
      </c>
      <c r="B10" s="128" t="s">
        <v>48</v>
      </c>
      <c r="C10" s="262" t="s">
        <v>48</v>
      </c>
      <c r="D10" s="262"/>
      <c r="E10" s="128"/>
      <c r="F10" s="138" t="s">
        <v>49</v>
      </c>
      <c r="G10" s="131" t="s">
        <v>28</v>
      </c>
      <c r="H10" s="128" t="s">
        <v>29</v>
      </c>
      <c r="I10" s="132" t="s">
        <v>30</v>
      </c>
      <c r="J10" s="133">
        <v>2</v>
      </c>
      <c r="K10" s="129">
        <v>1</v>
      </c>
      <c r="L10" s="129">
        <v>8</v>
      </c>
      <c r="M10" s="129" t="s">
        <v>31</v>
      </c>
      <c r="N10" s="129" t="s">
        <v>32</v>
      </c>
      <c r="O10" s="139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40" t="s">
        <v>33</v>
      </c>
    </row>
    <row r="11" spans="1:26" s="136" customFormat="1" x14ac:dyDescent="0.25">
      <c r="A11" s="203">
        <f t="shared" si="0"/>
        <v>9</v>
      </c>
      <c r="B11" s="128" t="s">
        <v>50</v>
      </c>
      <c r="C11" s="262" t="s">
        <v>50</v>
      </c>
      <c r="D11" s="262"/>
      <c r="E11" s="128"/>
      <c r="F11" s="138" t="s">
        <v>51</v>
      </c>
      <c r="G11" s="131" t="s">
        <v>28</v>
      </c>
      <c r="H11" s="128" t="s">
        <v>29</v>
      </c>
      <c r="I11" s="132" t="s">
        <v>30</v>
      </c>
      <c r="J11" s="133">
        <v>2</v>
      </c>
      <c r="K11" s="129">
        <v>1</v>
      </c>
      <c r="L11" s="129">
        <v>9</v>
      </c>
      <c r="M11" s="129" t="s">
        <v>31</v>
      </c>
      <c r="N11" s="129" t="s">
        <v>32</v>
      </c>
      <c r="O11" s="139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40" t="s">
        <v>33</v>
      </c>
    </row>
    <row r="12" spans="1:26" x14ac:dyDescent="0.25">
      <c r="A12" s="203">
        <f t="shared" si="0"/>
        <v>10</v>
      </c>
      <c r="B12" s="128" t="s">
        <v>52</v>
      </c>
      <c r="C12" s="262" t="s">
        <v>52</v>
      </c>
      <c r="D12" s="262"/>
      <c r="E12" s="128"/>
      <c r="F12" s="138" t="s">
        <v>53</v>
      </c>
      <c r="G12" s="131" t="s">
        <v>28</v>
      </c>
      <c r="H12" s="128" t="s">
        <v>29</v>
      </c>
      <c r="I12" s="132" t="s">
        <v>30</v>
      </c>
      <c r="J12" s="133">
        <v>2</v>
      </c>
      <c r="K12" s="129">
        <v>1</v>
      </c>
      <c r="L12" s="129">
        <v>10</v>
      </c>
      <c r="M12" s="129" t="s">
        <v>31</v>
      </c>
      <c r="N12" s="129" t="s">
        <v>32</v>
      </c>
      <c r="O12" s="139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40" t="s">
        <v>33</v>
      </c>
    </row>
    <row r="13" spans="1:26" x14ac:dyDescent="0.25">
      <c r="A13" s="203">
        <f t="shared" si="0"/>
        <v>11</v>
      </c>
      <c r="B13" s="128" t="s">
        <v>54</v>
      </c>
      <c r="C13" s="262" t="s">
        <v>54</v>
      </c>
      <c r="D13" s="262"/>
      <c r="E13" s="128"/>
      <c r="F13" s="138" t="s">
        <v>55</v>
      </c>
      <c r="G13" s="131" t="s">
        <v>28</v>
      </c>
      <c r="H13" s="128" t="s">
        <v>29</v>
      </c>
      <c r="I13" s="132" t="s">
        <v>30</v>
      </c>
      <c r="J13" s="133">
        <v>2</v>
      </c>
      <c r="K13" s="129">
        <v>1</v>
      </c>
      <c r="L13" s="129">
        <v>11</v>
      </c>
      <c r="M13" s="129" t="s">
        <v>31</v>
      </c>
      <c r="N13" s="129" t="s">
        <v>32</v>
      </c>
      <c r="O13" s="139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40" t="s">
        <v>33</v>
      </c>
    </row>
    <row r="14" spans="1:26" x14ac:dyDescent="0.25">
      <c r="A14" s="203">
        <f t="shared" si="0"/>
        <v>12</v>
      </c>
      <c r="B14" s="128" t="s">
        <v>56</v>
      </c>
      <c r="C14" s="262" t="s">
        <v>56</v>
      </c>
      <c r="D14" s="262"/>
      <c r="E14" s="128"/>
      <c r="F14" s="138" t="s">
        <v>57</v>
      </c>
      <c r="G14" s="131" t="s">
        <v>28</v>
      </c>
      <c r="H14" s="128" t="s">
        <v>29</v>
      </c>
      <c r="I14" s="132" t="s">
        <v>30</v>
      </c>
      <c r="J14" s="133">
        <v>2</v>
      </c>
      <c r="K14" s="129">
        <v>1</v>
      </c>
      <c r="L14" s="129">
        <v>12</v>
      </c>
      <c r="M14" s="129" t="s">
        <v>31</v>
      </c>
      <c r="N14" s="129" t="s">
        <v>32</v>
      </c>
      <c r="O14" s="139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40" t="s">
        <v>33</v>
      </c>
    </row>
    <row r="15" spans="1:26" x14ac:dyDescent="0.25">
      <c r="A15" s="203">
        <f t="shared" si="0"/>
        <v>13</v>
      </c>
      <c r="B15" s="128" t="s">
        <v>58</v>
      </c>
      <c r="C15" s="262" t="s">
        <v>58</v>
      </c>
      <c r="D15" s="262"/>
      <c r="E15" s="128"/>
      <c r="F15" s="138" t="s">
        <v>59</v>
      </c>
      <c r="G15" s="131" t="s">
        <v>28</v>
      </c>
      <c r="H15" s="128" t="s">
        <v>29</v>
      </c>
      <c r="I15" s="132" t="s">
        <v>30</v>
      </c>
      <c r="J15" s="133">
        <v>2</v>
      </c>
      <c r="K15" s="129">
        <v>1</v>
      </c>
      <c r="L15" s="129">
        <v>13</v>
      </c>
      <c r="M15" s="129" t="s">
        <v>31</v>
      </c>
      <c r="N15" s="129" t="s">
        <v>32</v>
      </c>
      <c r="O15" s="139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40" t="s">
        <v>33</v>
      </c>
    </row>
    <row r="16" spans="1:26" x14ac:dyDescent="0.25">
      <c r="A16" s="203">
        <f t="shared" si="0"/>
        <v>14</v>
      </c>
      <c r="B16" s="128" t="s">
        <v>60</v>
      </c>
      <c r="C16" s="262" t="s">
        <v>60</v>
      </c>
      <c r="D16" s="262"/>
      <c r="E16" s="128"/>
      <c r="F16" s="138" t="s">
        <v>61</v>
      </c>
      <c r="G16" s="131" t="s">
        <v>28</v>
      </c>
      <c r="H16" s="128" t="s">
        <v>29</v>
      </c>
      <c r="I16" s="132" t="s">
        <v>30</v>
      </c>
      <c r="J16" s="133">
        <v>2</v>
      </c>
      <c r="K16" s="129">
        <v>1</v>
      </c>
      <c r="L16" s="129">
        <v>14</v>
      </c>
      <c r="M16" s="129" t="s">
        <v>31</v>
      </c>
      <c r="N16" s="129" t="s">
        <v>32</v>
      </c>
      <c r="O16" s="139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40" t="s">
        <v>33</v>
      </c>
    </row>
    <row r="17" spans="1:26" x14ac:dyDescent="0.25">
      <c r="A17" s="203">
        <f t="shared" si="0"/>
        <v>15</v>
      </c>
      <c r="B17" s="128" t="s">
        <v>62</v>
      </c>
      <c r="C17" s="262" t="s">
        <v>62</v>
      </c>
      <c r="D17" s="262"/>
      <c r="E17" s="128"/>
      <c r="F17" s="138" t="s">
        <v>63</v>
      </c>
      <c r="G17" s="131" t="s">
        <v>28</v>
      </c>
      <c r="H17" s="128" t="s">
        <v>29</v>
      </c>
      <c r="I17" s="132" t="s">
        <v>30</v>
      </c>
      <c r="J17" s="133">
        <v>2</v>
      </c>
      <c r="K17" s="129">
        <v>1</v>
      </c>
      <c r="L17" s="129">
        <v>15</v>
      </c>
      <c r="M17" s="129" t="s">
        <v>31</v>
      </c>
      <c r="N17" s="129" t="s">
        <v>32</v>
      </c>
      <c r="O17" s="139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40" t="s">
        <v>33</v>
      </c>
    </row>
    <row r="18" spans="1:26" x14ac:dyDescent="0.25">
      <c r="A18" s="203">
        <f t="shared" si="0"/>
        <v>16</v>
      </c>
      <c r="B18" s="128" t="s">
        <v>64</v>
      </c>
      <c r="C18" s="262" t="s">
        <v>64</v>
      </c>
      <c r="D18" s="262"/>
      <c r="E18" s="128"/>
      <c r="F18" s="138" t="s">
        <v>65</v>
      </c>
      <c r="G18" s="131" t="s">
        <v>28</v>
      </c>
      <c r="H18" s="128" t="s">
        <v>29</v>
      </c>
      <c r="I18" s="132" t="s">
        <v>30</v>
      </c>
      <c r="J18" s="133">
        <v>2</v>
      </c>
      <c r="K18" s="129">
        <v>2</v>
      </c>
      <c r="L18" s="129">
        <v>0</v>
      </c>
      <c r="M18" s="129" t="s">
        <v>31</v>
      </c>
      <c r="N18" s="129" t="s">
        <v>32</v>
      </c>
      <c r="O18" s="139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40" t="s">
        <v>33</v>
      </c>
    </row>
    <row r="19" spans="1:26" s="136" customFormat="1" x14ac:dyDescent="0.25">
      <c r="A19" s="203">
        <f t="shared" si="0"/>
        <v>17</v>
      </c>
      <c r="B19" s="128" t="s">
        <v>66</v>
      </c>
      <c r="C19" s="262" t="s">
        <v>66</v>
      </c>
      <c r="D19" s="262"/>
      <c r="E19" s="128"/>
      <c r="F19" s="138" t="s">
        <v>67</v>
      </c>
      <c r="G19" s="131" t="s">
        <v>28</v>
      </c>
      <c r="H19" s="128" t="s">
        <v>29</v>
      </c>
      <c r="I19" s="132" t="s">
        <v>30</v>
      </c>
      <c r="J19" s="133">
        <v>2</v>
      </c>
      <c r="K19" s="129">
        <v>2</v>
      </c>
      <c r="L19" s="129">
        <v>1</v>
      </c>
      <c r="M19" s="129" t="s">
        <v>31</v>
      </c>
      <c r="N19" s="129" t="s">
        <v>32</v>
      </c>
      <c r="O19" s="139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40" t="s">
        <v>33</v>
      </c>
    </row>
    <row r="20" spans="1:26" x14ac:dyDescent="0.25">
      <c r="A20" s="203">
        <f t="shared" si="0"/>
        <v>18</v>
      </c>
      <c r="B20" s="128" t="s">
        <v>68</v>
      </c>
      <c r="C20" s="262" t="s">
        <v>68</v>
      </c>
      <c r="D20" s="262"/>
      <c r="E20" s="128"/>
      <c r="F20" s="138" t="s">
        <v>69</v>
      </c>
      <c r="G20" s="131" t="s">
        <v>28</v>
      </c>
      <c r="H20" s="128" t="s">
        <v>29</v>
      </c>
      <c r="I20" s="132" t="s">
        <v>30</v>
      </c>
      <c r="J20" s="133">
        <v>2</v>
      </c>
      <c r="K20" s="129">
        <v>2</v>
      </c>
      <c r="L20" s="129">
        <v>2</v>
      </c>
      <c r="M20" s="129" t="s">
        <v>31</v>
      </c>
      <c r="N20" s="129" t="s">
        <v>32</v>
      </c>
      <c r="O20" s="139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40" t="s">
        <v>33</v>
      </c>
    </row>
    <row r="21" spans="1:26" x14ac:dyDescent="0.25">
      <c r="A21" s="203">
        <f t="shared" si="0"/>
        <v>19</v>
      </c>
      <c r="B21" s="128" t="s">
        <v>70</v>
      </c>
      <c r="C21" s="262" t="s">
        <v>70</v>
      </c>
      <c r="D21" s="262"/>
      <c r="E21" s="128"/>
      <c r="F21" s="138" t="s">
        <v>71</v>
      </c>
      <c r="G21" s="131" t="s">
        <v>28</v>
      </c>
      <c r="H21" s="128" t="s">
        <v>29</v>
      </c>
      <c r="I21" s="132" t="s">
        <v>30</v>
      </c>
      <c r="J21" s="133">
        <v>2</v>
      </c>
      <c r="K21" s="129">
        <v>2</v>
      </c>
      <c r="L21" s="129">
        <v>3</v>
      </c>
      <c r="M21" s="129" t="s">
        <v>31</v>
      </c>
      <c r="N21" s="129" t="s">
        <v>32</v>
      </c>
      <c r="O21" s="139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40"/>
    </row>
    <row r="22" spans="1:26" x14ac:dyDescent="0.25">
      <c r="A22" s="203">
        <f t="shared" si="0"/>
        <v>20</v>
      </c>
      <c r="B22" s="128" t="s">
        <v>72</v>
      </c>
      <c r="C22" s="262" t="s">
        <v>72</v>
      </c>
      <c r="D22" s="262"/>
      <c r="E22" s="128"/>
      <c r="F22" s="138" t="s">
        <v>73</v>
      </c>
      <c r="G22" s="131" t="s">
        <v>28</v>
      </c>
      <c r="H22" s="128" t="s">
        <v>29</v>
      </c>
      <c r="I22" s="132" t="s">
        <v>30</v>
      </c>
      <c r="J22" s="133">
        <v>2</v>
      </c>
      <c r="K22" s="129">
        <v>2</v>
      </c>
      <c r="L22" s="129">
        <v>4</v>
      </c>
      <c r="M22" s="129" t="s">
        <v>31</v>
      </c>
      <c r="N22" s="129" t="s">
        <v>32</v>
      </c>
      <c r="O22" s="139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40" t="s">
        <v>33</v>
      </c>
    </row>
    <row r="23" spans="1:26" x14ac:dyDescent="0.25">
      <c r="A23" s="203">
        <f t="shared" si="0"/>
        <v>21</v>
      </c>
      <c r="B23" s="128" t="s">
        <v>74</v>
      </c>
      <c r="C23" s="262" t="s">
        <v>74</v>
      </c>
      <c r="D23" s="262"/>
      <c r="E23" s="128"/>
      <c r="F23" s="138" t="s">
        <v>75</v>
      </c>
      <c r="G23" s="131" t="s">
        <v>28</v>
      </c>
      <c r="H23" s="128" t="s">
        <v>29</v>
      </c>
      <c r="I23" s="132" t="s">
        <v>30</v>
      </c>
      <c r="J23" s="133">
        <v>2</v>
      </c>
      <c r="K23" s="129">
        <v>2</v>
      </c>
      <c r="L23" s="129">
        <v>5</v>
      </c>
      <c r="M23" s="129" t="s">
        <v>31</v>
      </c>
      <c r="N23" s="129" t="s">
        <v>32</v>
      </c>
      <c r="O23" s="139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40" t="s">
        <v>33</v>
      </c>
    </row>
    <row r="24" spans="1:26" x14ac:dyDescent="0.25">
      <c r="A24" s="203">
        <f t="shared" si="0"/>
        <v>22</v>
      </c>
      <c r="B24" s="128" t="s">
        <v>76</v>
      </c>
      <c r="C24" s="262" t="s">
        <v>76</v>
      </c>
      <c r="D24" s="262"/>
      <c r="E24" s="128"/>
      <c r="F24" s="138" t="s">
        <v>77</v>
      </c>
      <c r="G24" s="131" t="s">
        <v>28</v>
      </c>
      <c r="H24" s="128" t="s">
        <v>29</v>
      </c>
      <c r="I24" s="132" t="s">
        <v>30</v>
      </c>
      <c r="J24" s="133">
        <v>2</v>
      </c>
      <c r="K24" s="129">
        <v>2</v>
      </c>
      <c r="L24" s="129">
        <v>6</v>
      </c>
      <c r="M24" s="129" t="s">
        <v>31</v>
      </c>
      <c r="N24" s="129" t="s">
        <v>32</v>
      </c>
      <c r="O24" s="139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40" t="s">
        <v>33</v>
      </c>
    </row>
    <row r="25" spans="1:26" x14ac:dyDescent="0.25">
      <c r="A25" s="203">
        <f t="shared" si="0"/>
        <v>23</v>
      </c>
      <c r="B25" s="128" t="s">
        <v>78</v>
      </c>
      <c r="C25" s="262" t="s">
        <v>78</v>
      </c>
      <c r="D25" s="262"/>
      <c r="E25" s="128"/>
      <c r="F25" s="138" t="s">
        <v>79</v>
      </c>
      <c r="G25" s="131" t="s">
        <v>28</v>
      </c>
      <c r="H25" s="128" t="s">
        <v>29</v>
      </c>
      <c r="I25" s="132" t="s">
        <v>30</v>
      </c>
      <c r="J25" s="133">
        <v>2</v>
      </c>
      <c r="K25" s="129">
        <v>2</v>
      </c>
      <c r="L25" s="129">
        <v>7</v>
      </c>
      <c r="M25" s="129" t="s">
        <v>31</v>
      </c>
      <c r="N25" s="129" t="s">
        <v>32</v>
      </c>
      <c r="O25" s="139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40" t="s">
        <v>33</v>
      </c>
    </row>
    <row r="26" spans="1:26" x14ac:dyDescent="0.25">
      <c r="A26" s="203">
        <f t="shared" si="0"/>
        <v>24</v>
      </c>
      <c r="B26" s="128" t="s">
        <v>80</v>
      </c>
      <c r="C26" s="262" t="s">
        <v>80</v>
      </c>
      <c r="D26" s="262"/>
      <c r="E26" s="128"/>
      <c r="F26" s="138" t="s">
        <v>81</v>
      </c>
      <c r="G26" s="131" t="s">
        <v>28</v>
      </c>
      <c r="H26" s="128" t="s">
        <v>29</v>
      </c>
      <c r="I26" s="132" t="s">
        <v>30</v>
      </c>
      <c r="J26" s="133">
        <v>2</v>
      </c>
      <c r="K26" s="129">
        <v>3</v>
      </c>
      <c r="L26" s="129">
        <v>0</v>
      </c>
      <c r="M26" s="129" t="s">
        <v>82</v>
      </c>
      <c r="N26" s="129" t="s">
        <v>83</v>
      </c>
      <c r="O26" s="139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40" t="s">
        <v>33</v>
      </c>
    </row>
    <row r="27" spans="1:26" x14ac:dyDescent="0.25">
      <c r="A27" s="203">
        <f t="shared" si="0"/>
        <v>25</v>
      </c>
      <c r="B27" s="128" t="s">
        <v>84</v>
      </c>
      <c r="C27" s="262" t="s">
        <v>84</v>
      </c>
      <c r="D27" s="262"/>
      <c r="E27" s="128"/>
      <c r="F27" s="138" t="s">
        <v>85</v>
      </c>
      <c r="G27" s="131" t="s">
        <v>28</v>
      </c>
      <c r="H27" s="128" t="s">
        <v>29</v>
      </c>
      <c r="I27" s="132" t="s">
        <v>30</v>
      </c>
      <c r="J27" s="133">
        <v>2</v>
      </c>
      <c r="K27" s="129">
        <v>3</v>
      </c>
      <c r="L27" s="129">
        <v>1</v>
      </c>
      <c r="M27" s="129" t="s">
        <v>82</v>
      </c>
      <c r="N27" s="129" t="s">
        <v>83</v>
      </c>
      <c r="O27" s="139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40" t="s">
        <v>33</v>
      </c>
    </row>
    <row r="28" spans="1:26" x14ac:dyDescent="0.25">
      <c r="A28" s="203">
        <f t="shared" si="0"/>
        <v>26</v>
      </c>
      <c r="B28" s="128" t="s">
        <v>86</v>
      </c>
      <c r="C28" s="262" t="s">
        <v>86</v>
      </c>
      <c r="D28" s="262"/>
      <c r="E28" s="128"/>
      <c r="F28" s="138" t="s">
        <v>87</v>
      </c>
      <c r="G28" s="131" t="s">
        <v>28</v>
      </c>
      <c r="H28" s="128" t="s">
        <v>29</v>
      </c>
      <c r="I28" s="132" t="s">
        <v>30</v>
      </c>
      <c r="J28" s="133">
        <v>2</v>
      </c>
      <c r="K28" s="129">
        <v>3</v>
      </c>
      <c r="L28" s="129">
        <v>2</v>
      </c>
      <c r="M28" s="129" t="s">
        <v>82</v>
      </c>
      <c r="N28" s="129" t="s">
        <v>83</v>
      </c>
      <c r="O28" s="139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40" t="s">
        <v>33</v>
      </c>
    </row>
    <row r="29" spans="1:26" x14ac:dyDescent="0.25">
      <c r="A29" s="203">
        <f t="shared" si="0"/>
        <v>27</v>
      </c>
      <c r="B29" s="128" t="s">
        <v>88</v>
      </c>
      <c r="C29" s="262" t="s">
        <v>88</v>
      </c>
      <c r="D29" s="262"/>
      <c r="E29" s="128"/>
      <c r="F29" s="138" t="s">
        <v>89</v>
      </c>
      <c r="G29" s="131" t="s">
        <v>28</v>
      </c>
      <c r="H29" s="128" t="s">
        <v>29</v>
      </c>
      <c r="I29" s="132" t="s">
        <v>30</v>
      </c>
      <c r="J29" s="133">
        <v>2</v>
      </c>
      <c r="K29" s="129">
        <v>3</v>
      </c>
      <c r="L29" s="129">
        <v>3</v>
      </c>
      <c r="M29" s="129" t="s">
        <v>82</v>
      </c>
      <c r="N29" s="129" t="s">
        <v>83</v>
      </c>
      <c r="O29" s="139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40" t="s">
        <v>33</v>
      </c>
    </row>
    <row r="30" spans="1:26" x14ac:dyDescent="0.25">
      <c r="A30" s="203">
        <f t="shared" si="0"/>
        <v>28</v>
      </c>
      <c r="B30" s="128" t="s">
        <v>90</v>
      </c>
      <c r="C30" s="262" t="s">
        <v>90</v>
      </c>
      <c r="D30" s="262"/>
      <c r="E30" s="128"/>
      <c r="F30" s="138" t="s">
        <v>91</v>
      </c>
      <c r="G30" s="131" t="s">
        <v>28</v>
      </c>
      <c r="H30" s="128" t="s">
        <v>29</v>
      </c>
      <c r="I30" s="132" t="s">
        <v>30</v>
      </c>
      <c r="J30" s="133">
        <v>2</v>
      </c>
      <c r="K30" s="129">
        <v>3</v>
      </c>
      <c r="L30" s="129">
        <v>4</v>
      </c>
      <c r="M30" s="129" t="s">
        <v>82</v>
      </c>
      <c r="N30" s="129" t="s">
        <v>83</v>
      </c>
      <c r="O30" s="139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40" t="s">
        <v>33</v>
      </c>
    </row>
    <row r="31" spans="1:26" x14ac:dyDescent="0.25">
      <c r="A31" s="203">
        <f t="shared" si="0"/>
        <v>29</v>
      </c>
      <c r="B31" s="128" t="s">
        <v>92</v>
      </c>
      <c r="C31" s="262" t="s">
        <v>92</v>
      </c>
      <c r="D31" s="262"/>
      <c r="E31" s="128"/>
      <c r="F31" s="138" t="s">
        <v>93</v>
      </c>
      <c r="G31" s="131" t="s">
        <v>28</v>
      </c>
      <c r="H31" s="128" t="s">
        <v>29</v>
      </c>
      <c r="I31" s="132" t="s">
        <v>30</v>
      </c>
      <c r="J31" s="133">
        <v>2</v>
      </c>
      <c r="K31" s="129">
        <v>3</v>
      </c>
      <c r="L31" s="129">
        <v>5</v>
      </c>
      <c r="M31" s="129" t="s">
        <v>82</v>
      </c>
      <c r="N31" s="129" t="s">
        <v>83</v>
      </c>
      <c r="O31" s="139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40" t="s">
        <v>33</v>
      </c>
    </row>
    <row r="32" spans="1:26" x14ac:dyDescent="0.25">
      <c r="A32" s="203">
        <f t="shared" si="0"/>
        <v>30</v>
      </c>
      <c r="B32" s="128" t="s">
        <v>94</v>
      </c>
      <c r="C32" s="262" t="s">
        <v>94</v>
      </c>
      <c r="D32" s="262"/>
      <c r="E32" s="128"/>
      <c r="F32" s="138" t="s">
        <v>95</v>
      </c>
      <c r="G32" s="131" t="s">
        <v>28</v>
      </c>
      <c r="H32" s="128" t="s">
        <v>29</v>
      </c>
      <c r="I32" s="132" t="s">
        <v>30</v>
      </c>
      <c r="J32" s="133">
        <v>2</v>
      </c>
      <c r="K32" s="129">
        <v>3</v>
      </c>
      <c r="L32" s="129">
        <v>6</v>
      </c>
      <c r="M32" s="129" t="s">
        <v>82</v>
      </c>
      <c r="N32" s="129" t="s">
        <v>83</v>
      </c>
      <c r="O32" s="139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40" t="s">
        <v>33</v>
      </c>
    </row>
    <row r="33" spans="1:26" x14ac:dyDescent="0.25">
      <c r="A33" s="203">
        <f t="shared" si="0"/>
        <v>31</v>
      </c>
      <c r="B33" s="128" t="s">
        <v>96</v>
      </c>
      <c r="C33" s="262" t="s">
        <v>96</v>
      </c>
      <c r="D33" s="262"/>
      <c r="E33" s="128"/>
      <c r="F33" s="138" t="s">
        <v>97</v>
      </c>
      <c r="G33" s="131" t="s">
        <v>28</v>
      </c>
      <c r="H33" s="128" t="s">
        <v>29</v>
      </c>
      <c r="I33" s="132" t="s">
        <v>30</v>
      </c>
      <c r="J33" s="133">
        <v>2</v>
      </c>
      <c r="K33" s="129">
        <v>3</v>
      </c>
      <c r="L33" s="129">
        <v>7</v>
      </c>
      <c r="M33" s="129" t="s">
        <v>82</v>
      </c>
      <c r="N33" s="129" t="s">
        <v>83</v>
      </c>
      <c r="O33" s="139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40" t="s">
        <v>33</v>
      </c>
    </row>
    <row r="34" spans="1:26" x14ac:dyDescent="0.25">
      <c r="A34" s="203">
        <f t="shared" si="0"/>
        <v>32</v>
      </c>
      <c r="B34" s="128" t="s">
        <v>98</v>
      </c>
      <c r="C34" s="262" t="s">
        <v>98</v>
      </c>
      <c r="D34" s="262"/>
      <c r="E34" s="128"/>
      <c r="F34" s="138" t="s">
        <v>99</v>
      </c>
      <c r="G34" s="131" t="s">
        <v>28</v>
      </c>
      <c r="H34" s="128" t="s">
        <v>29</v>
      </c>
      <c r="I34" s="132" t="s">
        <v>30</v>
      </c>
      <c r="J34" s="133">
        <v>2</v>
      </c>
      <c r="K34" s="129">
        <v>3</v>
      </c>
      <c r="L34" s="129">
        <v>8</v>
      </c>
      <c r="M34" s="129" t="s">
        <v>82</v>
      </c>
      <c r="N34" s="129" t="s">
        <v>83</v>
      </c>
      <c r="O34" s="139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40" t="s">
        <v>33</v>
      </c>
    </row>
    <row r="35" spans="1:26" x14ac:dyDescent="0.25">
      <c r="A35" s="203">
        <f t="shared" si="0"/>
        <v>33</v>
      </c>
      <c r="B35" s="128" t="s">
        <v>100</v>
      </c>
      <c r="C35" s="262" t="s">
        <v>100</v>
      </c>
      <c r="D35" s="262"/>
      <c r="E35" s="128"/>
      <c r="F35" s="138" t="s">
        <v>101</v>
      </c>
      <c r="G35" s="131" t="s">
        <v>28</v>
      </c>
      <c r="H35" s="128" t="s">
        <v>29</v>
      </c>
      <c r="I35" s="132" t="s">
        <v>30</v>
      </c>
      <c r="J35" s="133">
        <v>2</v>
      </c>
      <c r="K35" s="129">
        <v>3</v>
      </c>
      <c r="L35" s="129">
        <v>9</v>
      </c>
      <c r="M35" s="129" t="s">
        <v>82</v>
      </c>
      <c r="N35" s="129" t="s">
        <v>83</v>
      </c>
      <c r="O35" s="139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40" t="s">
        <v>33</v>
      </c>
    </row>
    <row r="36" spans="1:26" x14ac:dyDescent="0.25">
      <c r="A36" s="203">
        <f t="shared" si="0"/>
        <v>34</v>
      </c>
      <c r="B36" s="128" t="s">
        <v>102</v>
      </c>
      <c r="C36" s="262" t="s">
        <v>102</v>
      </c>
      <c r="D36" s="262"/>
      <c r="E36" s="128"/>
      <c r="F36" s="138" t="s">
        <v>103</v>
      </c>
      <c r="G36" s="131" t="s">
        <v>28</v>
      </c>
      <c r="H36" s="128" t="s">
        <v>29</v>
      </c>
      <c r="I36" s="132" t="s">
        <v>30</v>
      </c>
      <c r="J36" s="133">
        <v>2</v>
      </c>
      <c r="K36" s="129">
        <v>3</v>
      </c>
      <c r="L36" s="129">
        <v>10</v>
      </c>
      <c r="M36" s="129" t="s">
        <v>82</v>
      </c>
      <c r="N36" s="129" t="s">
        <v>83</v>
      </c>
      <c r="O36" s="139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40" t="s">
        <v>33</v>
      </c>
    </row>
    <row r="37" spans="1:26" x14ac:dyDescent="0.25">
      <c r="A37" s="203">
        <f t="shared" si="0"/>
        <v>35</v>
      </c>
      <c r="B37" s="128" t="s">
        <v>104</v>
      </c>
      <c r="C37" s="262" t="s">
        <v>104</v>
      </c>
      <c r="D37" s="262"/>
      <c r="E37" s="128"/>
      <c r="F37" s="138" t="s">
        <v>105</v>
      </c>
      <c r="G37" s="131" t="s">
        <v>28</v>
      </c>
      <c r="H37" s="128" t="s">
        <v>29</v>
      </c>
      <c r="I37" s="132" t="s">
        <v>30</v>
      </c>
      <c r="J37" s="133">
        <v>2</v>
      </c>
      <c r="K37" s="129">
        <v>3</v>
      </c>
      <c r="L37" s="129">
        <v>11</v>
      </c>
      <c r="M37" s="129" t="s">
        <v>82</v>
      </c>
      <c r="N37" s="129" t="s">
        <v>83</v>
      </c>
      <c r="O37" s="139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40" t="s">
        <v>33</v>
      </c>
    </row>
    <row r="38" spans="1:26" x14ac:dyDescent="0.25">
      <c r="A38" s="203">
        <f t="shared" si="0"/>
        <v>36</v>
      </c>
      <c r="B38" s="128" t="s">
        <v>106</v>
      </c>
      <c r="C38" s="262" t="s">
        <v>106</v>
      </c>
      <c r="D38" s="262"/>
      <c r="E38" s="128"/>
      <c r="F38" s="138" t="s">
        <v>107</v>
      </c>
      <c r="G38" s="131" t="s">
        <v>28</v>
      </c>
      <c r="H38" s="128" t="s">
        <v>29</v>
      </c>
      <c r="I38" s="132" t="s">
        <v>30</v>
      </c>
      <c r="J38" s="133">
        <v>2</v>
      </c>
      <c r="K38" s="129">
        <v>3</v>
      </c>
      <c r="L38" s="129">
        <v>12</v>
      </c>
      <c r="M38" s="129" t="s">
        <v>82</v>
      </c>
      <c r="N38" s="129" t="s">
        <v>83</v>
      </c>
      <c r="O38" s="139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40" t="s">
        <v>33</v>
      </c>
    </row>
    <row r="39" spans="1:26" x14ac:dyDescent="0.25">
      <c r="A39" s="203">
        <f t="shared" si="0"/>
        <v>37</v>
      </c>
      <c r="B39" s="128" t="s">
        <v>108</v>
      </c>
      <c r="C39" s="262" t="s">
        <v>108</v>
      </c>
      <c r="D39" s="262"/>
      <c r="E39" s="128"/>
      <c r="F39" s="138" t="s">
        <v>109</v>
      </c>
      <c r="G39" s="131" t="s">
        <v>28</v>
      </c>
      <c r="H39" s="128" t="s">
        <v>29</v>
      </c>
      <c r="I39" s="132" t="s">
        <v>30</v>
      </c>
      <c r="J39" s="133">
        <v>2</v>
      </c>
      <c r="K39" s="129">
        <v>3</v>
      </c>
      <c r="L39" s="129">
        <v>13</v>
      </c>
      <c r="M39" s="129" t="s">
        <v>82</v>
      </c>
      <c r="N39" s="129" t="s">
        <v>83</v>
      </c>
      <c r="O39" s="139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40" t="s">
        <v>33</v>
      </c>
    </row>
    <row r="40" spans="1:26" x14ac:dyDescent="0.25">
      <c r="A40" s="203">
        <f t="shared" si="0"/>
        <v>38</v>
      </c>
      <c r="B40" s="128" t="s">
        <v>110</v>
      </c>
      <c r="C40" s="262" t="s">
        <v>110</v>
      </c>
      <c r="D40" s="262"/>
      <c r="E40" s="128"/>
      <c r="F40" s="138" t="s">
        <v>111</v>
      </c>
      <c r="G40" s="131" t="s">
        <v>28</v>
      </c>
      <c r="H40" s="128" t="s">
        <v>29</v>
      </c>
      <c r="I40" s="132" t="s">
        <v>30</v>
      </c>
      <c r="J40" s="133">
        <v>2</v>
      </c>
      <c r="K40" s="129">
        <v>3</v>
      </c>
      <c r="L40" s="129">
        <v>14</v>
      </c>
      <c r="M40" s="129" t="s">
        <v>82</v>
      </c>
      <c r="N40" s="129" t="s">
        <v>83</v>
      </c>
      <c r="O40" s="139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40" t="s">
        <v>33</v>
      </c>
    </row>
    <row r="41" spans="1:26" x14ac:dyDescent="0.25">
      <c r="A41" s="203">
        <f t="shared" ref="A41:A51" si="1">ROW()-1</f>
        <v>40</v>
      </c>
      <c r="B41" s="128" t="s">
        <v>112</v>
      </c>
      <c r="C41" s="263" t="s">
        <v>112</v>
      </c>
      <c r="D41" s="262"/>
      <c r="E41" s="128"/>
      <c r="F41" s="138" t="s">
        <v>113</v>
      </c>
      <c r="G41" s="131" t="s">
        <v>114</v>
      </c>
      <c r="H41" s="128" t="s">
        <v>29</v>
      </c>
      <c r="I41" s="132" t="s">
        <v>115</v>
      </c>
      <c r="J41" s="133">
        <v>11</v>
      </c>
      <c r="K41" s="128">
        <v>3</v>
      </c>
      <c r="L41" s="128">
        <v>6</v>
      </c>
      <c r="M41" s="128" t="s">
        <v>31</v>
      </c>
      <c r="N41" s="128" t="s">
        <v>32</v>
      </c>
      <c r="O41" s="139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40"/>
    </row>
    <row r="42" spans="1:26" x14ac:dyDescent="0.25">
      <c r="A42" s="203">
        <f t="shared" si="1"/>
        <v>41</v>
      </c>
      <c r="B42" s="128" t="s">
        <v>116</v>
      </c>
      <c r="C42" s="263" t="s">
        <v>116</v>
      </c>
      <c r="D42" s="262"/>
      <c r="E42" s="128"/>
      <c r="F42" s="138" t="s">
        <v>117</v>
      </c>
      <c r="G42" s="131" t="s">
        <v>114</v>
      </c>
      <c r="H42" s="128" t="s">
        <v>29</v>
      </c>
      <c r="I42" s="132" t="s">
        <v>115</v>
      </c>
      <c r="J42" s="133">
        <v>11</v>
      </c>
      <c r="K42" s="128">
        <v>3</v>
      </c>
      <c r="L42" s="128">
        <v>7</v>
      </c>
      <c r="M42" s="128" t="s">
        <v>31</v>
      </c>
      <c r="N42" s="128" t="s">
        <v>32</v>
      </c>
      <c r="O42" s="139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40"/>
    </row>
    <row r="43" spans="1:26" x14ac:dyDescent="0.25">
      <c r="A43" s="203">
        <f t="shared" si="1"/>
        <v>42</v>
      </c>
      <c r="B43" s="128" t="s">
        <v>118</v>
      </c>
      <c r="C43" s="263" t="s">
        <v>118</v>
      </c>
      <c r="D43" s="262" t="s">
        <v>119</v>
      </c>
      <c r="E43" s="128" t="s">
        <v>120</v>
      </c>
      <c r="F43" s="138" t="s">
        <v>121</v>
      </c>
      <c r="G43" s="131" t="s">
        <v>122</v>
      </c>
      <c r="H43" s="128" t="s">
        <v>29</v>
      </c>
      <c r="I43" s="132" t="s">
        <v>123</v>
      </c>
      <c r="J43" s="133">
        <v>8</v>
      </c>
      <c r="K43" s="128">
        <v>6</v>
      </c>
      <c r="L43" s="128">
        <v>8</v>
      </c>
      <c r="M43" s="128" t="s">
        <v>82</v>
      </c>
      <c r="N43" s="128" t="s">
        <v>83</v>
      </c>
      <c r="O43" s="139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40"/>
    </row>
    <row r="44" spans="1:26" x14ac:dyDescent="0.25">
      <c r="A44" s="203">
        <f t="shared" si="1"/>
        <v>43</v>
      </c>
      <c r="B44" s="128" t="s">
        <v>124</v>
      </c>
      <c r="C44" s="263" t="s">
        <v>124</v>
      </c>
      <c r="D44" s="262"/>
      <c r="E44" s="128"/>
      <c r="F44" s="138" t="s">
        <v>125</v>
      </c>
      <c r="G44" s="131" t="s">
        <v>126</v>
      </c>
      <c r="H44" s="128" t="s">
        <v>29</v>
      </c>
      <c r="I44" s="132" t="s">
        <v>127</v>
      </c>
      <c r="J44" s="133">
        <v>13</v>
      </c>
      <c r="K44" s="128">
        <v>9</v>
      </c>
      <c r="L44" s="128">
        <v>12</v>
      </c>
      <c r="M44" s="128" t="s">
        <v>82</v>
      </c>
      <c r="N44" s="128" t="s">
        <v>83</v>
      </c>
      <c r="O44" s="139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40"/>
    </row>
    <row r="45" spans="1:26" x14ac:dyDescent="0.25">
      <c r="A45" s="203">
        <f t="shared" si="1"/>
        <v>44</v>
      </c>
      <c r="B45" s="128"/>
      <c r="C45" s="263" t="s">
        <v>128</v>
      </c>
      <c r="D45" s="277"/>
      <c r="E45" s="142"/>
      <c r="F45" s="141" t="s">
        <v>129</v>
      </c>
      <c r="G45" s="142" t="s">
        <v>126</v>
      </c>
      <c r="H45" s="133" t="s">
        <v>130</v>
      </c>
      <c r="I45" s="131" t="s">
        <v>131</v>
      </c>
      <c r="J45" s="133">
        <v>18</v>
      </c>
      <c r="K45" s="129">
        <v>14</v>
      </c>
      <c r="L45" s="129">
        <v>7</v>
      </c>
      <c r="M45" s="129" t="s">
        <v>82</v>
      </c>
      <c r="N45" s="129" t="s">
        <v>83</v>
      </c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3"/>
    </row>
    <row r="46" spans="1:26" x14ac:dyDescent="0.25">
      <c r="A46" s="203">
        <f t="shared" si="1"/>
        <v>45</v>
      </c>
      <c r="B46" s="128" t="s">
        <v>132</v>
      </c>
      <c r="C46" s="263" t="s">
        <v>132</v>
      </c>
      <c r="D46" s="262" t="s">
        <v>133</v>
      </c>
      <c r="E46" s="128"/>
      <c r="F46" s="138" t="s">
        <v>134</v>
      </c>
      <c r="G46" s="131" t="s">
        <v>135</v>
      </c>
      <c r="H46" s="128" t="s">
        <v>136</v>
      </c>
      <c r="I46" s="132" t="s">
        <v>137</v>
      </c>
      <c r="J46" s="133">
        <v>14</v>
      </c>
      <c r="K46" s="128">
        <v>2</v>
      </c>
      <c r="L46" s="128">
        <v>0</v>
      </c>
      <c r="M46" s="128" t="s">
        <v>138</v>
      </c>
      <c r="N46" s="128" t="s">
        <v>139</v>
      </c>
      <c r="O46" s="139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40"/>
    </row>
    <row r="47" spans="1:26" x14ac:dyDescent="0.25">
      <c r="A47" s="203">
        <f t="shared" si="1"/>
        <v>46</v>
      </c>
      <c r="B47" s="128" t="s">
        <v>132</v>
      </c>
      <c r="C47" s="263" t="s">
        <v>132</v>
      </c>
      <c r="D47" s="262" t="s">
        <v>133</v>
      </c>
      <c r="E47" s="128"/>
      <c r="F47" s="138" t="s">
        <v>140</v>
      </c>
      <c r="G47" s="131" t="s">
        <v>135</v>
      </c>
      <c r="H47" s="128" t="s">
        <v>136</v>
      </c>
      <c r="I47" s="132" t="s">
        <v>137</v>
      </c>
      <c r="J47" s="133">
        <v>14</v>
      </c>
      <c r="K47" s="128">
        <v>2</v>
      </c>
      <c r="L47" s="128">
        <v>1</v>
      </c>
      <c r="M47" s="128" t="s">
        <v>138</v>
      </c>
      <c r="N47" s="128" t="s">
        <v>139</v>
      </c>
      <c r="O47" s="139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40"/>
    </row>
    <row r="48" spans="1:26" x14ac:dyDescent="0.25">
      <c r="A48" s="203">
        <f t="shared" si="1"/>
        <v>47</v>
      </c>
      <c r="B48" s="128" t="s">
        <v>141</v>
      </c>
      <c r="C48" s="263" t="s">
        <v>141</v>
      </c>
      <c r="D48" s="262" t="s">
        <v>142</v>
      </c>
      <c r="E48" s="128" t="s">
        <v>143</v>
      </c>
      <c r="F48" s="138" t="s">
        <v>144</v>
      </c>
      <c r="G48" s="131" t="s">
        <v>135</v>
      </c>
      <c r="H48" s="128" t="s">
        <v>136</v>
      </c>
      <c r="I48" s="132" t="s">
        <v>137</v>
      </c>
      <c r="J48" s="133">
        <v>14</v>
      </c>
      <c r="K48" s="128">
        <v>4</v>
      </c>
      <c r="L48" s="128">
        <v>2</v>
      </c>
      <c r="M48" s="128" t="s">
        <v>31</v>
      </c>
      <c r="N48" s="128" t="s">
        <v>32</v>
      </c>
      <c r="O48" s="139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40"/>
    </row>
    <row r="49" spans="1:26" x14ac:dyDescent="0.25">
      <c r="A49" s="203">
        <f t="shared" si="1"/>
        <v>48</v>
      </c>
      <c r="B49" s="128" t="s">
        <v>145</v>
      </c>
      <c r="C49" s="263" t="s">
        <v>145</v>
      </c>
      <c r="D49" s="262"/>
      <c r="E49" s="128"/>
      <c r="F49" s="138" t="s">
        <v>146</v>
      </c>
      <c r="G49" s="131" t="s">
        <v>147</v>
      </c>
      <c r="H49" s="128" t="s">
        <v>136</v>
      </c>
      <c r="I49" s="132" t="s">
        <v>148</v>
      </c>
      <c r="J49" s="133">
        <v>15</v>
      </c>
      <c r="K49" s="128">
        <v>3</v>
      </c>
      <c r="L49" s="128">
        <v>13</v>
      </c>
      <c r="M49" s="128" t="s">
        <v>31</v>
      </c>
      <c r="N49" s="128" t="s">
        <v>32</v>
      </c>
      <c r="O49" s="139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40"/>
    </row>
    <row r="50" spans="1:26" x14ac:dyDescent="0.25">
      <c r="A50" s="203">
        <f t="shared" si="1"/>
        <v>49</v>
      </c>
      <c r="B50" s="128" t="s">
        <v>149</v>
      </c>
      <c r="C50" s="263" t="s">
        <v>149</v>
      </c>
      <c r="D50" s="262"/>
      <c r="E50" s="128"/>
      <c r="F50" s="138" t="s">
        <v>150</v>
      </c>
      <c r="G50" s="131" t="s">
        <v>147</v>
      </c>
      <c r="H50" s="128" t="s">
        <v>136</v>
      </c>
      <c r="I50" s="132" t="s">
        <v>148</v>
      </c>
      <c r="J50" s="133">
        <v>15</v>
      </c>
      <c r="K50" s="128">
        <v>6</v>
      </c>
      <c r="L50" s="128">
        <v>0</v>
      </c>
      <c r="M50" s="128" t="s">
        <v>82</v>
      </c>
      <c r="N50" s="128" t="s">
        <v>83</v>
      </c>
      <c r="O50" s="139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40"/>
    </row>
    <row r="51" spans="1:26" x14ac:dyDescent="0.25">
      <c r="A51" s="203">
        <f t="shared" si="1"/>
        <v>50</v>
      </c>
      <c r="B51" s="128" t="s">
        <v>151</v>
      </c>
      <c r="C51" s="263" t="s">
        <v>151</v>
      </c>
      <c r="D51" s="262"/>
      <c r="E51" s="128"/>
      <c r="F51" s="138" t="s">
        <v>152</v>
      </c>
      <c r="G51" s="131" t="s">
        <v>153</v>
      </c>
      <c r="H51" s="128" t="s">
        <v>136</v>
      </c>
      <c r="I51" s="132" t="s">
        <v>148</v>
      </c>
      <c r="J51" s="133">
        <v>15</v>
      </c>
      <c r="K51" s="128">
        <v>5</v>
      </c>
      <c r="L51" s="128">
        <v>0</v>
      </c>
      <c r="M51" s="128" t="s">
        <v>82</v>
      </c>
      <c r="N51" s="128" t="s">
        <v>83</v>
      </c>
      <c r="O51" s="139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53"/>
    </row>
    <row r="52" spans="1:26" x14ac:dyDescent="0.25">
      <c r="A52" s="203">
        <f t="shared" ref="A52:A90" si="2">ROW()-2</f>
        <v>50</v>
      </c>
      <c r="B52" s="128" t="s">
        <v>154</v>
      </c>
      <c r="C52" s="274" t="s">
        <v>154</v>
      </c>
      <c r="D52" s="262" t="s">
        <v>155</v>
      </c>
      <c r="E52" s="128" t="s">
        <v>156</v>
      </c>
      <c r="F52" s="130" t="s">
        <v>157</v>
      </c>
      <c r="G52" s="131" t="s">
        <v>158</v>
      </c>
      <c r="H52" s="128" t="s">
        <v>29</v>
      </c>
      <c r="I52" s="132" t="s">
        <v>159</v>
      </c>
      <c r="J52" s="133">
        <v>1</v>
      </c>
      <c r="K52" s="128">
        <v>1</v>
      </c>
      <c r="L52" s="128">
        <v>0</v>
      </c>
      <c r="M52" s="132" t="s">
        <v>138</v>
      </c>
      <c r="N52" s="132" t="s">
        <v>139</v>
      </c>
      <c r="O52" s="134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35"/>
    </row>
    <row r="53" spans="1:26" x14ac:dyDescent="0.25">
      <c r="A53" s="203">
        <f t="shared" si="2"/>
        <v>51</v>
      </c>
      <c r="B53" s="128" t="s">
        <v>154</v>
      </c>
      <c r="C53" s="274" t="s">
        <v>154</v>
      </c>
      <c r="D53" s="262" t="s">
        <v>155</v>
      </c>
      <c r="E53" s="128" t="s">
        <v>156</v>
      </c>
      <c r="F53" s="130" t="s">
        <v>160</v>
      </c>
      <c r="G53" s="131" t="s">
        <v>158</v>
      </c>
      <c r="H53" s="128" t="s">
        <v>29</v>
      </c>
      <c r="I53" s="132" t="s">
        <v>159</v>
      </c>
      <c r="J53" s="133">
        <v>1</v>
      </c>
      <c r="K53" s="128">
        <v>1</v>
      </c>
      <c r="L53" s="128">
        <v>1</v>
      </c>
      <c r="M53" s="132" t="s">
        <v>138</v>
      </c>
      <c r="N53" s="132" t="s">
        <v>139</v>
      </c>
      <c r="O53" s="134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35"/>
    </row>
    <row r="54" spans="1:26" x14ac:dyDescent="0.25">
      <c r="A54" s="203">
        <f t="shared" si="2"/>
        <v>52</v>
      </c>
      <c r="B54" s="128" t="s">
        <v>161</v>
      </c>
      <c r="C54" s="274" t="s">
        <v>161</v>
      </c>
      <c r="D54" s="262" t="s">
        <v>162</v>
      </c>
      <c r="E54" s="128" t="s">
        <v>156</v>
      </c>
      <c r="F54" s="130" t="s">
        <v>163</v>
      </c>
      <c r="G54" s="131" t="s">
        <v>158</v>
      </c>
      <c r="H54" s="128" t="s">
        <v>29</v>
      </c>
      <c r="I54" s="132" t="s">
        <v>159</v>
      </c>
      <c r="J54" s="133">
        <v>1</v>
      </c>
      <c r="K54" s="128">
        <v>1</v>
      </c>
      <c r="L54" s="128">
        <v>2</v>
      </c>
      <c r="M54" s="132" t="s">
        <v>138</v>
      </c>
      <c r="N54" s="132" t="s">
        <v>139</v>
      </c>
      <c r="O54" s="134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35"/>
    </row>
    <row r="55" spans="1:26" x14ac:dyDescent="0.25">
      <c r="A55" s="203">
        <f t="shared" si="2"/>
        <v>53</v>
      </c>
      <c r="B55" s="128" t="s">
        <v>161</v>
      </c>
      <c r="C55" s="274" t="s">
        <v>161</v>
      </c>
      <c r="D55" s="262" t="s">
        <v>162</v>
      </c>
      <c r="E55" s="128" t="s">
        <v>156</v>
      </c>
      <c r="F55" s="130" t="s">
        <v>164</v>
      </c>
      <c r="G55" s="131" t="s">
        <v>158</v>
      </c>
      <c r="H55" s="128" t="s">
        <v>29</v>
      </c>
      <c r="I55" s="132" t="s">
        <v>159</v>
      </c>
      <c r="J55" s="133">
        <v>1</v>
      </c>
      <c r="K55" s="128">
        <v>1</v>
      </c>
      <c r="L55" s="128">
        <v>3</v>
      </c>
      <c r="M55" s="132" t="s">
        <v>138</v>
      </c>
      <c r="N55" s="132" t="s">
        <v>139</v>
      </c>
      <c r="O55" s="134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35"/>
    </row>
    <row r="56" spans="1:26" x14ac:dyDescent="0.25">
      <c r="A56" s="203">
        <f t="shared" si="2"/>
        <v>54</v>
      </c>
      <c r="B56" s="128" t="s">
        <v>165</v>
      </c>
      <c r="C56" s="274" t="s">
        <v>165</v>
      </c>
      <c r="D56" s="262" t="s">
        <v>166</v>
      </c>
      <c r="E56" s="128" t="s">
        <v>156</v>
      </c>
      <c r="F56" s="130" t="s">
        <v>167</v>
      </c>
      <c r="G56" s="131" t="s">
        <v>158</v>
      </c>
      <c r="H56" s="128" t="s">
        <v>29</v>
      </c>
      <c r="I56" s="132" t="s">
        <v>159</v>
      </c>
      <c r="J56" s="133">
        <v>1</v>
      </c>
      <c r="K56" s="128">
        <v>1</v>
      </c>
      <c r="L56" s="128">
        <v>4</v>
      </c>
      <c r="M56" s="132" t="s">
        <v>138</v>
      </c>
      <c r="N56" s="132" t="s">
        <v>139</v>
      </c>
      <c r="O56" s="134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35"/>
    </row>
    <row r="57" spans="1:26" x14ac:dyDescent="0.25">
      <c r="A57" s="203">
        <f t="shared" si="2"/>
        <v>55</v>
      </c>
      <c r="B57" s="128" t="s">
        <v>165</v>
      </c>
      <c r="C57" s="274" t="s">
        <v>165</v>
      </c>
      <c r="D57" s="262" t="s">
        <v>166</v>
      </c>
      <c r="E57" s="128" t="s">
        <v>156</v>
      </c>
      <c r="F57" s="130" t="s">
        <v>168</v>
      </c>
      <c r="G57" s="131" t="s">
        <v>158</v>
      </c>
      <c r="H57" s="128" t="s">
        <v>29</v>
      </c>
      <c r="I57" s="132" t="s">
        <v>159</v>
      </c>
      <c r="J57" s="133">
        <v>1</v>
      </c>
      <c r="K57" s="128">
        <v>1</v>
      </c>
      <c r="L57" s="128">
        <v>5</v>
      </c>
      <c r="M57" s="132" t="s">
        <v>138</v>
      </c>
      <c r="N57" s="132" t="s">
        <v>139</v>
      </c>
      <c r="O57" s="134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35"/>
    </row>
    <row r="58" spans="1:26" x14ac:dyDescent="0.25">
      <c r="A58" s="203">
        <f t="shared" si="2"/>
        <v>56</v>
      </c>
      <c r="B58" s="128" t="s">
        <v>169</v>
      </c>
      <c r="C58" s="274" t="s">
        <v>169</v>
      </c>
      <c r="D58" s="262" t="s">
        <v>170</v>
      </c>
      <c r="E58" s="128" t="s">
        <v>156</v>
      </c>
      <c r="F58" s="130" t="s">
        <v>171</v>
      </c>
      <c r="G58" s="131" t="s">
        <v>158</v>
      </c>
      <c r="H58" s="128" t="s">
        <v>29</v>
      </c>
      <c r="I58" s="132" t="s">
        <v>159</v>
      </c>
      <c r="J58" s="133">
        <v>1</v>
      </c>
      <c r="K58" s="128">
        <v>1</v>
      </c>
      <c r="L58" s="128">
        <v>6</v>
      </c>
      <c r="M58" s="132" t="s">
        <v>138</v>
      </c>
      <c r="N58" s="132" t="s">
        <v>139</v>
      </c>
      <c r="O58" s="134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35"/>
    </row>
    <row r="59" spans="1:26" x14ac:dyDescent="0.25">
      <c r="A59" s="203">
        <f t="shared" si="2"/>
        <v>57</v>
      </c>
      <c r="B59" s="128" t="s">
        <v>169</v>
      </c>
      <c r="C59" s="274" t="s">
        <v>169</v>
      </c>
      <c r="D59" s="262" t="s">
        <v>170</v>
      </c>
      <c r="E59" s="128" t="s">
        <v>156</v>
      </c>
      <c r="F59" s="130" t="s">
        <v>172</v>
      </c>
      <c r="G59" s="131" t="s">
        <v>158</v>
      </c>
      <c r="H59" s="128" t="s">
        <v>29</v>
      </c>
      <c r="I59" s="132" t="s">
        <v>159</v>
      </c>
      <c r="J59" s="133">
        <v>1</v>
      </c>
      <c r="K59" s="128">
        <v>1</v>
      </c>
      <c r="L59" s="128">
        <v>7</v>
      </c>
      <c r="M59" s="132" t="s">
        <v>138</v>
      </c>
      <c r="N59" s="132" t="s">
        <v>139</v>
      </c>
      <c r="O59" s="134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35"/>
    </row>
    <row r="60" spans="1:26" x14ac:dyDescent="0.25">
      <c r="A60" s="203">
        <f t="shared" si="2"/>
        <v>58</v>
      </c>
      <c r="B60" s="128" t="s">
        <v>173</v>
      </c>
      <c r="C60" s="274" t="s">
        <v>173</v>
      </c>
      <c r="D60" s="262" t="s">
        <v>155</v>
      </c>
      <c r="E60" s="128" t="s">
        <v>174</v>
      </c>
      <c r="F60" s="130" t="s">
        <v>175</v>
      </c>
      <c r="G60" s="131" t="s">
        <v>158</v>
      </c>
      <c r="H60" s="128" t="s">
        <v>29</v>
      </c>
      <c r="I60" s="132" t="s">
        <v>159</v>
      </c>
      <c r="J60" s="133">
        <v>1</v>
      </c>
      <c r="K60" s="129">
        <v>2</v>
      </c>
      <c r="L60" s="129">
        <v>0</v>
      </c>
      <c r="M60" s="131" t="s">
        <v>138</v>
      </c>
      <c r="N60" s="131" t="s">
        <v>139</v>
      </c>
      <c r="O60" s="134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35"/>
    </row>
    <row r="61" spans="1:26" x14ac:dyDescent="0.25">
      <c r="A61" s="203">
        <f t="shared" si="2"/>
        <v>59</v>
      </c>
      <c r="B61" s="128" t="s">
        <v>173</v>
      </c>
      <c r="C61" s="274" t="s">
        <v>173</v>
      </c>
      <c r="D61" s="262" t="s">
        <v>155</v>
      </c>
      <c r="E61" s="128" t="s">
        <v>174</v>
      </c>
      <c r="F61" s="130" t="s">
        <v>176</v>
      </c>
      <c r="G61" s="131" t="s">
        <v>158</v>
      </c>
      <c r="H61" s="128" t="s">
        <v>29</v>
      </c>
      <c r="I61" s="132" t="s">
        <v>159</v>
      </c>
      <c r="J61" s="133">
        <v>1</v>
      </c>
      <c r="K61" s="129">
        <v>2</v>
      </c>
      <c r="L61" s="129">
        <v>1</v>
      </c>
      <c r="M61" s="131" t="s">
        <v>138</v>
      </c>
      <c r="N61" s="131" t="s">
        <v>139</v>
      </c>
      <c r="O61" s="134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35"/>
    </row>
    <row r="62" spans="1:26" x14ac:dyDescent="0.25">
      <c r="A62" s="203">
        <f t="shared" si="2"/>
        <v>60</v>
      </c>
      <c r="B62" s="128" t="s">
        <v>177</v>
      </c>
      <c r="C62" s="274" t="s">
        <v>177</v>
      </c>
      <c r="D62" s="262" t="s">
        <v>162</v>
      </c>
      <c r="E62" s="128" t="s">
        <v>174</v>
      </c>
      <c r="F62" s="130" t="s">
        <v>178</v>
      </c>
      <c r="G62" s="131" t="s">
        <v>158</v>
      </c>
      <c r="H62" s="128" t="s">
        <v>29</v>
      </c>
      <c r="I62" s="132" t="s">
        <v>159</v>
      </c>
      <c r="J62" s="133">
        <v>1</v>
      </c>
      <c r="K62" s="129">
        <v>2</v>
      </c>
      <c r="L62" s="129">
        <v>2</v>
      </c>
      <c r="M62" s="131" t="s">
        <v>138</v>
      </c>
      <c r="N62" s="131" t="s">
        <v>139</v>
      </c>
      <c r="O62" s="134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35"/>
    </row>
    <row r="63" spans="1:26" x14ac:dyDescent="0.25">
      <c r="A63" s="203">
        <f t="shared" si="2"/>
        <v>61</v>
      </c>
      <c r="B63" s="128" t="s">
        <v>177</v>
      </c>
      <c r="C63" s="274" t="s">
        <v>177</v>
      </c>
      <c r="D63" s="262" t="s">
        <v>162</v>
      </c>
      <c r="E63" s="128" t="s">
        <v>174</v>
      </c>
      <c r="F63" s="130" t="s">
        <v>179</v>
      </c>
      <c r="G63" s="131" t="s">
        <v>158</v>
      </c>
      <c r="H63" s="128" t="s">
        <v>29</v>
      </c>
      <c r="I63" s="132" t="s">
        <v>159</v>
      </c>
      <c r="J63" s="133">
        <v>1</v>
      </c>
      <c r="K63" s="129">
        <v>2</v>
      </c>
      <c r="L63" s="129">
        <v>3</v>
      </c>
      <c r="M63" s="131" t="s">
        <v>138</v>
      </c>
      <c r="N63" s="131" t="s">
        <v>139</v>
      </c>
      <c r="O63" s="134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35"/>
    </row>
    <row r="64" spans="1:26" x14ac:dyDescent="0.25">
      <c r="A64" s="203">
        <f t="shared" si="2"/>
        <v>62</v>
      </c>
      <c r="B64" s="128" t="s">
        <v>180</v>
      </c>
      <c r="C64" s="274" t="s">
        <v>180</v>
      </c>
      <c r="D64" s="262" t="s">
        <v>166</v>
      </c>
      <c r="E64" s="128" t="s">
        <v>174</v>
      </c>
      <c r="F64" s="130" t="s">
        <v>181</v>
      </c>
      <c r="G64" s="131" t="s">
        <v>158</v>
      </c>
      <c r="H64" s="128" t="s">
        <v>29</v>
      </c>
      <c r="I64" s="132" t="s">
        <v>159</v>
      </c>
      <c r="J64" s="133">
        <v>1</v>
      </c>
      <c r="K64" s="129">
        <v>2</v>
      </c>
      <c r="L64" s="129">
        <v>4</v>
      </c>
      <c r="M64" s="131" t="s">
        <v>138</v>
      </c>
      <c r="N64" s="131" t="s">
        <v>139</v>
      </c>
      <c r="O64" s="134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35"/>
    </row>
    <row r="65" spans="1:26" x14ac:dyDescent="0.25">
      <c r="A65" s="203">
        <f t="shared" si="2"/>
        <v>63</v>
      </c>
      <c r="B65" s="128" t="s">
        <v>180</v>
      </c>
      <c r="C65" s="274" t="s">
        <v>180</v>
      </c>
      <c r="D65" s="262" t="s">
        <v>166</v>
      </c>
      <c r="E65" s="128" t="s">
        <v>174</v>
      </c>
      <c r="F65" s="130" t="s">
        <v>182</v>
      </c>
      <c r="G65" s="131" t="s">
        <v>158</v>
      </c>
      <c r="H65" s="128" t="s">
        <v>29</v>
      </c>
      <c r="I65" s="132" t="s">
        <v>159</v>
      </c>
      <c r="J65" s="133">
        <v>1</v>
      </c>
      <c r="K65" s="129">
        <v>2</v>
      </c>
      <c r="L65" s="129">
        <v>5</v>
      </c>
      <c r="M65" s="131" t="s">
        <v>138</v>
      </c>
      <c r="N65" s="131" t="s">
        <v>139</v>
      </c>
      <c r="O65" s="134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35"/>
    </row>
    <row r="66" spans="1:26" x14ac:dyDescent="0.25">
      <c r="A66" s="203">
        <f t="shared" si="2"/>
        <v>64</v>
      </c>
      <c r="B66" s="128" t="s">
        <v>183</v>
      </c>
      <c r="C66" s="274" t="s">
        <v>183</v>
      </c>
      <c r="D66" s="262" t="s">
        <v>170</v>
      </c>
      <c r="E66" s="128" t="s">
        <v>174</v>
      </c>
      <c r="F66" s="130" t="s">
        <v>184</v>
      </c>
      <c r="G66" s="131" t="s">
        <v>158</v>
      </c>
      <c r="H66" s="128" t="s">
        <v>29</v>
      </c>
      <c r="I66" s="132" t="s">
        <v>159</v>
      </c>
      <c r="J66" s="133">
        <v>1</v>
      </c>
      <c r="K66" s="129">
        <v>2</v>
      </c>
      <c r="L66" s="129">
        <v>6</v>
      </c>
      <c r="M66" s="131" t="s">
        <v>138</v>
      </c>
      <c r="N66" s="131" t="s">
        <v>139</v>
      </c>
      <c r="O66" s="134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35"/>
    </row>
    <row r="67" spans="1:26" x14ac:dyDescent="0.25">
      <c r="A67" s="203">
        <f t="shared" si="2"/>
        <v>65</v>
      </c>
      <c r="B67" s="128" t="s">
        <v>183</v>
      </c>
      <c r="C67" s="274" t="s">
        <v>183</v>
      </c>
      <c r="D67" s="262" t="s">
        <v>170</v>
      </c>
      <c r="E67" s="128" t="s">
        <v>174</v>
      </c>
      <c r="F67" s="130" t="s">
        <v>185</v>
      </c>
      <c r="G67" s="131" t="s">
        <v>158</v>
      </c>
      <c r="H67" s="128" t="s">
        <v>29</v>
      </c>
      <c r="I67" s="132" t="s">
        <v>159</v>
      </c>
      <c r="J67" s="133">
        <v>1</v>
      </c>
      <c r="K67" s="129">
        <v>2</v>
      </c>
      <c r="L67" s="129">
        <v>7</v>
      </c>
      <c r="M67" s="131" t="s">
        <v>138</v>
      </c>
      <c r="N67" s="131" t="s">
        <v>139</v>
      </c>
      <c r="O67" s="134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35"/>
    </row>
    <row r="68" spans="1:26" x14ac:dyDescent="0.25">
      <c r="A68" s="203">
        <f t="shared" si="2"/>
        <v>66</v>
      </c>
      <c r="B68" s="128"/>
      <c r="C68" s="274" t="s">
        <v>186</v>
      </c>
      <c r="D68" s="262" t="s">
        <v>187</v>
      </c>
      <c r="E68" s="128" t="s">
        <v>174</v>
      </c>
      <c r="F68" s="130" t="s">
        <v>188</v>
      </c>
      <c r="G68" s="131" t="s">
        <v>158</v>
      </c>
      <c r="H68" s="128" t="s">
        <v>29</v>
      </c>
      <c r="I68" s="132" t="s">
        <v>159</v>
      </c>
      <c r="J68" s="133">
        <v>1</v>
      </c>
      <c r="K68" s="129">
        <v>3</v>
      </c>
      <c r="L68" s="129">
        <v>0</v>
      </c>
      <c r="M68" s="131" t="s">
        <v>138</v>
      </c>
      <c r="N68" s="131" t="s">
        <v>139</v>
      </c>
      <c r="O68" s="134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35"/>
    </row>
    <row r="69" spans="1:26" x14ac:dyDescent="0.25">
      <c r="A69" s="203">
        <f t="shared" si="2"/>
        <v>67</v>
      </c>
      <c r="B69" s="128"/>
      <c r="C69" s="274" t="s">
        <v>186</v>
      </c>
      <c r="D69" s="262" t="s">
        <v>187</v>
      </c>
      <c r="E69" s="128" t="s">
        <v>174</v>
      </c>
      <c r="F69" s="130" t="s">
        <v>189</v>
      </c>
      <c r="G69" s="131" t="s">
        <v>158</v>
      </c>
      <c r="H69" s="128" t="s">
        <v>29</v>
      </c>
      <c r="I69" s="132" t="s">
        <v>159</v>
      </c>
      <c r="J69" s="133">
        <v>1</v>
      </c>
      <c r="K69" s="129">
        <v>3</v>
      </c>
      <c r="L69" s="129">
        <v>1</v>
      </c>
      <c r="M69" s="131" t="s">
        <v>138</v>
      </c>
      <c r="N69" s="131" t="s">
        <v>139</v>
      </c>
      <c r="O69" s="134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35"/>
    </row>
    <row r="70" spans="1:26" x14ac:dyDescent="0.25">
      <c r="A70" s="203">
        <f t="shared" si="2"/>
        <v>68</v>
      </c>
      <c r="B70" s="128"/>
      <c r="C70" s="263" t="s">
        <v>190</v>
      </c>
      <c r="D70" s="262" t="s">
        <v>191</v>
      </c>
      <c r="E70" s="128" t="s">
        <v>174</v>
      </c>
      <c r="F70" s="130" t="s">
        <v>192</v>
      </c>
      <c r="G70" s="131" t="s">
        <v>158</v>
      </c>
      <c r="H70" s="128" t="s">
        <v>29</v>
      </c>
      <c r="I70" s="132" t="s">
        <v>159</v>
      </c>
      <c r="J70" s="133">
        <v>1</v>
      </c>
      <c r="K70" s="129">
        <v>3</v>
      </c>
      <c r="L70" s="129">
        <v>2</v>
      </c>
      <c r="M70" s="131" t="s">
        <v>138</v>
      </c>
      <c r="N70" s="131" t="s">
        <v>139</v>
      </c>
      <c r="O70" s="134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35"/>
    </row>
    <row r="71" spans="1:26" x14ac:dyDescent="0.25">
      <c r="A71" s="203">
        <f t="shared" si="2"/>
        <v>69</v>
      </c>
      <c r="B71" s="128"/>
      <c r="C71" s="263" t="s">
        <v>190</v>
      </c>
      <c r="D71" s="262" t="s">
        <v>191</v>
      </c>
      <c r="E71" s="128" t="s">
        <v>174</v>
      </c>
      <c r="F71" s="130" t="s">
        <v>193</v>
      </c>
      <c r="G71" s="131" t="s">
        <v>158</v>
      </c>
      <c r="H71" s="128" t="s">
        <v>29</v>
      </c>
      <c r="I71" s="132" t="s">
        <v>159</v>
      </c>
      <c r="J71" s="133">
        <v>1</v>
      </c>
      <c r="K71" s="129">
        <v>3</v>
      </c>
      <c r="L71" s="129">
        <v>3</v>
      </c>
      <c r="M71" s="131" t="s">
        <v>138</v>
      </c>
      <c r="N71" s="131" t="s">
        <v>139</v>
      </c>
      <c r="O71" s="134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35"/>
    </row>
    <row r="72" spans="1:26" x14ac:dyDescent="0.25">
      <c r="A72" s="203">
        <f t="shared" si="2"/>
        <v>70</v>
      </c>
      <c r="B72" s="128"/>
      <c r="C72" s="263" t="s">
        <v>194</v>
      </c>
      <c r="D72" s="262" t="s">
        <v>195</v>
      </c>
      <c r="E72" s="128" t="s">
        <v>174</v>
      </c>
      <c r="F72" s="130" t="s">
        <v>196</v>
      </c>
      <c r="G72" s="131" t="s">
        <v>158</v>
      </c>
      <c r="H72" s="128" t="s">
        <v>29</v>
      </c>
      <c r="I72" s="132" t="s">
        <v>159</v>
      </c>
      <c r="J72" s="133">
        <v>1</v>
      </c>
      <c r="K72" s="129">
        <v>3</v>
      </c>
      <c r="L72" s="129">
        <v>4</v>
      </c>
      <c r="M72" s="131" t="s">
        <v>138</v>
      </c>
      <c r="N72" s="131" t="s">
        <v>139</v>
      </c>
      <c r="O72" s="134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35"/>
    </row>
    <row r="73" spans="1:26" x14ac:dyDescent="0.25">
      <c r="A73" s="203">
        <f t="shared" si="2"/>
        <v>71</v>
      </c>
      <c r="B73" s="128"/>
      <c r="C73" s="263" t="s">
        <v>194</v>
      </c>
      <c r="D73" s="262" t="s">
        <v>195</v>
      </c>
      <c r="E73" s="128" t="s">
        <v>174</v>
      </c>
      <c r="F73" s="130" t="s">
        <v>197</v>
      </c>
      <c r="G73" s="131" t="s">
        <v>158</v>
      </c>
      <c r="H73" s="128" t="s">
        <v>29</v>
      </c>
      <c r="I73" s="132" t="s">
        <v>159</v>
      </c>
      <c r="J73" s="133">
        <v>1</v>
      </c>
      <c r="K73" s="129">
        <v>3</v>
      </c>
      <c r="L73" s="129">
        <v>5</v>
      </c>
      <c r="M73" s="131" t="s">
        <v>138</v>
      </c>
      <c r="N73" s="131" t="s">
        <v>139</v>
      </c>
      <c r="O73" s="134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35"/>
    </row>
    <row r="74" spans="1:26" x14ac:dyDescent="0.25">
      <c r="A74" s="203">
        <f t="shared" si="2"/>
        <v>72</v>
      </c>
      <c r="B74" s="128" t="s">
        <v>198</v>
      </c>
      <c r="C74" s="274" t="s">
        <v>198</v>
      </c>
      <c r="D74" s="262" t="s">
        <v>199</v>
      </c>
      <c r="E74" s="128" t="s">
        <v>174</v>
      </c>
      <c r="F74" s="130" t="s">
        <v>200</v>
      </c>
      <c r="G74" s="131" t="s">
        <v>158</v>
      </c>
      <c r="H74" s="128" t="s">
        <v>29</v>
      </c>
      <c r="I74" s="132" t="s">
        <v>159</v>
      </c>
      <c r="J74" s="133">
        <v>1</v>
      </c>
      <c r="K74" s="128">
        <v>3</v>
      </c>
      <c r="L74" s="128">
        <v>6</v>
      </c>
      <c r="M74" s="132" t="s">
        <v>138</v>
      </c>
      <c r="N74" s="132" t="s">
        <v>139</v>
      </c>
      <c r="O74" s="134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35"/>
    </row>
    <row r="75" spans="1:26" x14ac:dyDescent="0.25">
      <c r="A75" s="203">
        <f t="shared" si="2"/>
        <v>73</v>
      </c>
      <c r="B75" s="128" t="s">
        <v>198</v>
      </c>
      <c r="C75" s="274" t="s">
        <v>198</v>
      </c>
      <c r="D75" s="262" t="s">
        <v>199</v>
      </c>
      <c r="E75" s="128" t="s">
        <v>174</v>
      </c>
      <c r="F75" s="130" t="s">
        <v>201</v>
      </c>
      <c r="G75" s="131" t="s">
        <v>158</v>
      </c>
      <c r="H75" s="128" t="s">
        <v>29</v>
      </c>
      <c r="I75" s="132" t="s">
        <v>159</v>
      </c>
      <c r="J75" s="133">
        <v>1</v>
      </c>
      <c r="K75" s="128">
        <v>3</v>
      </c>
      <c r="L75" s="128">
        <v>7</v>
      </c>
      <c r="M75" s="132" t="s">
        <v>138</v>
      </c>
      <c r="N75" s="132" t="s">
        <v>139</v>
      </c>
      <c r="O75" s="134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35"/>
    </row>
    <row r="76" spans="1:26" x14ac:dyDescent="0.25">
      <c r="A76" s="203">
        <f t="shared" si="2"/>
        <v>74</v>
      </c>
      <c r="B76" s="128" t="s">
        <v>202</v>
      </c>
      <c r="C76" s="274" t="s">
        <v>203</v>
      </c>
      <c r="D76" s="262"/>
      <c r="E76" s="128" t="s">
        <v>174</v>
      </c>
      <c r="F76" s="130" t="s">
        <v>204</v>
      </c>
      <c r="G76" s="131" t="s">
        <v>158</v>
      </c>
      <c r="H76" s="128" t="s">
        <v>29</v>
      </c>
      <c r="I76" s="132" t="s">
        <v>159</v>
      </c>
      <c r="J76" s="133">
        <v>1</v>
      </c>
      <c r="K76" s="128">
        <v>4</v>
      </c>
      <c r="L76" s="128">
        <v>0</v>
      </c>
      <c r="M76" s="132" t="s">
        <v>138</v>
      </c>
      <c r="N76" s="132" t="s">
        <v>139</v>
      </c>
      <c r="O76" s="134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35"/>
    </row>
    <row r="77" spans="1:26" x14ac:dyDescent="0.25">
      <c r="A77" s="203">
        <f t="shared" si="2"/>
        <v>75</v>
      </c>
      <c r="B77" s="128" t="s">
        <v>202</v>
      </c>
      <c r="C77" s="274" t="s">
        <v>203</v>
      </c>
      <c r="D77" s="262"/>
      <c r="E77" s="128" t="s">
        <v>174</v>
      </c>
      <c r="F77" s="130" t="s">
        <v>205</v>
      </c>
      <c r="G77" s="131" t="s">
        <v>158</v>
      </c>
      <c r="H77" s="128" t="s">
        <v>29</v>
      </c>
      <c r="I77" s="132" t="s">
        <v>159</v>
      </c>
      <c r="J77" s="133">
        <v>1</v>
      </c>
      <c r="K77" s="128">
        <v>4</v>
      </c>
      <c r="L77" s="128">
        <v>1</v>
      </c>
      <c r="M77" s="132" t="s">
        <v>138</v>
      </c>
      <c r="N77" s="132" t="s">
        <v>139</v>
      </c>
      <c r="O77" s="134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35"/>
    </row>
    <row r="78" spans="1:26" x14ac:dyDescent="0.25">
      <c r="A78" s="203">
        <f t="shared" si="2"/>
        <v>76</v>
      </c>
      <c r="B78" s="128" t="s">
        <v>206</v>
      </c>
      <c r="C78" s="274" t="s">
        <v>206</v>
      </c>
      <c r="D78" s="262"/>
      <c r="E78" s="128" t="s">
        <v>174</v>
      </c>
      <c r="F78" s="130" t="s">
        <v>207</v>
      </c>
      <c r="G78" s="131" t="s">
        <v>158</v>
      </c>
      <c r="H78" s="128" t="s">
        <v>29</v>
      </c>
      <c r="I78" s="132" t="s">
        <v>159</v>
      </c>
      <c r="J78" s="133">
        <v>1</v>
      </c>
      <c r="K78" s="128">
        <v>4</v>
      </c>
      <c r="L78" s="128">
        <v>6</v>
      </c>
      <c r="M78" s="132" t="s">
        <v>138</v>
      </c>
      <c r="N78" s="132" t="s">
        <v>139</v>
      </c>
      <c r="O78" s="134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35"/>
    </row>
    <row r="79" spans="1:26" x14ac:dyDescent="0.25">
      <c r="A79" s="203">
        <f t="shared" si="2"/>
        <v>77</v>
      </c>
      <c r="B79" s="128" t="s">
        <v>206</v>
      </c>
      <c r="C79" s="274" t="s">
        <v>206</v>
      </c>
      <c r="D79" s="262"/>
      <c r="E79" s="128" t="s">
        <v>174</v>
      </c>
      <c r="F79" s="130" t="s">
        <v>208</v>
      </c>
      <c r="G79" s="131" t="s">
        <v>158</v>
      </c>
      <c r="H79" s="128" t="s">
        <v>29</v>
      </c>
      <c r="I79" s="132" t="s">
        <v>159</v>
      </c>
      <c r="J79" s="133">
        <v>1</v>
      </c>
      <c r="K79" s="128">
        <v>4</v>
      </c>
      <c r="L79" s="128">
        <v>7</v>
      </c>
      <c r="M79" s="132" t="s">
        <v>138</v>
      </c>
      <c r="N79" s="132" t="s">
        <v>139</v>
      </c>
      <c r="O79" s="134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35"/>
    </row>
    <row r="80" spans="1:26" x14ac:dyDescent="0.25">
      <c r="A80" s="203">
        <f t="shared" si="2"/>
        <v>78</v>
      </c>
      <c r="B80" s="128" t="s">
        <v>209</v>
      </c>
      <c r="C80" s="274" t="s">
        <v>210</v>
      </c>
      <c r="D80" s="262" t="s">
        <v>211</v>
      </c>
      <c r="E80" s="133" t="s">
        <v>212</v>
      </c>
      <c r="F80" s="138" t="s">
        <v>213</v>
      </c>
      <c r="G80" s="131" t="s">
        <v>158</v>
      </c>
      <c r="H80" s="128" t="s">
        <v>29</v>
      </c>
      <c r="I80" s="132" t="s">
        <v>159</v>
      </c>
      <c r="J80" s="133">
        <v>1</v>
      </c>
      <c r="K80" s="129">
        <v>6</v>
      </c>
      <c r="L80" s="129">
        <v>0</v>
      </c>
      <c r="M80" s="131" t="s">
        <v>31</v>
      </c>
      <c r="N80" s="129" t="s">
        <v>32</v>
      </c>
      <c r="O80" s="139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40"/>
    </row>
    <row r="81" spans="1:26" x14ac:dyDescent="0.25">
      <c r="A81" s="203">
        <f t="shared" si="2"/>
        <v>79</v>
      </c>
      <c r="B81" s="128" t="s">
        <v>214</v>
      </c>
      <c r="C81" s="274" t="s">
        <v>214</v>
      </c>
      <c r="D81" s="262" t="s">
        <v>215</v>
      </c>
      <c r="E81" s="128" t="s">
        <v>212</v>
      </c>
      <c r="F81" s="138" t="s">
        <v>216</v>
      </c>
      <c r="G81" s="131" t="s">
        <v>158</v>
      </c>
      <c r="H81" s="128" t="s">
        <v>29</v>
      </c>
      <c r="I81" s="132" t="s">
        <v>159</v>
      </c>
      <c r="J81" s="133">
        <v>1</v>
      </c>
      <c r="K81" s="128">
        <v>8</v>
      </c>
      <c r="L81" s="128">
        <v>1</v>
      </c>
      <c r="M81" s="132" t="s">
        <v>82</v>
      </c>
      <c r="N81" s="128" t="s">
        <v>83</v>
      </c>
      <c r="O81" s="139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40"/>
    </row>
    <row r="82" spans="1:26" x14ac:dyDescent="0.25">
      <c r="A82" s="203">
        <f t="shared" si="2"/>
        <v>80</v>
      </c>
      <c r="B82" s="128" t="s">
        <v>217</v>
      </c>
      <c r="C82" s="274" t="s">
        <v>217</v>
      </c>
      <c r="D82" s="262" t="s">
        <v>218</v>
      </c>
      <c r="E82" s="128" t="s">
        <v>212</v>
      </c>
      <c r="F82" s="138" t="s">
        <v>219</v>
      </c>
      <c r="G82" s="131" t="s">
        <v>158</v>
      </c>
      <c r="H82" s="128" t="s">
        <v>29</v>
      </c>
      <c r="I82" s="132" t="s">
        <v>159</v>
      </c>
      <c r="J82" s="133">
        <v>1</v>
      </c>
      <c r="K82" s="128">
        <v>8</v>
      </c>
      <c r="L82" s="128">
        <v>2</v>
      </c>
      <c r="M82" s="132" t="s">
        <v>82</v>
      </c>
      <c r="N82" s="128" t="s">
        <v>83</v>
      </c>
      <c r="O82" s="139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40"/>
    </row>
    <row r="83" spans="1:26" x14ac:dyDescent="0.25">
      <c r="A83" s="203">
        <f t="shared" si="2"/>
        <v>81</v>
      </c>
      <c r="B83" s="128" t="s">
        <v>220</v>
      </c>
      <c r="C83" s="274" t="s">
        <v>220</v>
      </c>
      <c r="D83" s="262" t="s">
        <v>221</v>
      </c>
      <c r="E83" s="128" t="s">
        <v>212</v>
      </c>
      <c r="F83" s="138" t="s">
        <v>222</v>
      </c>
      <c r="G83" s="131" t="s">
        <v>158</v>
      </c>
      <c r="H83" s="128" t="s">
        <v>29</v>
      </c>
      <c r="I83" s="132" t="s">
        <v>159</v>
      </c>
      <c r="J83" s="133">
        <v>1</v>
      </c>
      <c r="K83" s="128">
        <v>8</v>
      </c>
      <c r="L83" s="128">
        <v>3</v>
      </c>
      <c r="M83" s="132" t="s">
        <v>82</v>
      </c>
      <c r="N83" s="128" t="s">
        <v>83</v>
      </c>
      <c r="O83" s="139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40"/>
    </row>
    <row r="84" spans="1:26" x14ac:dyDescent="0.25">
      <c r="A84" s="203">
        <f t="shared" si="2"/>
        <v>82</v>
      </c>
      <c r="B84" s="128" t="s">
        <v>223</v>
      </c>
      <c r="C84" s="274" t="s">
        <v>223</v>
      </c>
      <c r="D84" s="262" t="s">
        <v>224</v>
      </c>
      <c r="E84" s="128" t="s">
        <v>212</v>
      </c>
      <c r="F84" s="138" t="s">
        <v>225</v>
      </c>
      <c r="G84" s="131" t="s">
        <v>158</v>
      </c>
      <c r="H84" s="128" t="s">
        <v>29</v>
      </c>
      <c r="I84" s="132" t="s">
        <v>159</v>
      </c>
      <c r="J84" s="133">
        <v>1</v>
      </c>
      <c r="K84" s="128">
        <v>8</v>
      </c>
      <c r="L84" s="128">
        <v>4</v>
      </c>
      <c r="M84" s="132" t="s">
        <v>82</v>
      </c>
      <c r="N84" s="128" t="s">
        <v>83</v>
      </c>
      <c r="O84" s="139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40"/>
    </row>
    <row r="85" spans="1:26" x14ac:dyDescent="0.25">
      <c r="A85" s="203">
        <f t="shared" si="2"/>
        <v>83</v>
      </c>
      <c r="B85" s="128" t="s">
        <v>226</v>
      </c>
      <c r="C85" s="274" t="s">
        <v>226</v>
      </c>
      <c r="D85" s="262" t="s">
        <v>227</v>
      </c>
      <c r="E85" s="128" t="s">
        <v>212</v>
      </c>
      <c r="F85" s="138" t="s">
        <v>228</v>
      </c>
      <c r="G85" s="131" t="s">
        <v>158</v>
      </c>
      <c r="H85" s="128" t="s">
        <v>29</v>
      </c>
      <c r="I85" s="132" t="s">
        <v>159</v>
      </c>
      <c r="J85" s="133">
        <v>1</v>
      </c>
      <c r="K85" s="128">
        <v>8</v>
      </c>
      <c r="L85" s="128">
        <v>5</v>
      </c>
      <c r="M85" s="132" t="s">
        <v>82</v>
      </c>
      <c r="N85" s="128" t="s">
        <v>83</v>
      </c>
      <c r="O85" s="139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40"/>
    </row>
    <row r="86" spans="1:26" x14ac:dyDescent="0.25">
      <c r="A86" s="203">
        <f t="shared" si="2"/>
        <v>84</v>
      </c>
      <c r="B86" s="128" t="s">
        <v>229</v>
      </c>
      <c r="C86" s="274" t="s">
        <v>229</v>
      </c>
      <c r="D86" s="262" t="s">
        <v>230</v>
      </c>
      <c r="E86" s="128" t="s">
        <v>212</v>
      </c>
      <c r="F86" s="138" t="s">
        <v>231</v>
      </c>
      <c r="G86" s="131" t="s">
        <v>158</v>
      </c>
      <c r="H86" s="128" t="s">
        <v>29</v>
      </c>
      <c r="I86" s="132" t="s">
        <v>159</v>
      </c>
      <c r="J86" s="133">
        <v>1</v>
      </c>
      <c r="K86" s="128">
        <v>8</v>
      </c>
      <c r="L86" s="128">
        <v>6</v>
      </c>
      <c r="M86" s="132" t="s">
        <v>82</v>
      </c>
      <c r="N86" s="128" t="s">
        <v>83</v>
      </c>
      <c r="O86" s="139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40"/>
    </row>
    <row r="87" spans="1:26" x14ac:dyDescent="0.25">
      <c r="A87" s="203">
        <f t="shared" si="2"/>
        <v>85</v>
      </c>
      <c r="B87" s="128" t="s">
        <v>232</v>
      </c>
      <c r="C87" s="274" t="s">
        <v>232</v>
      </c>
      <c r="D87" s="262" t="s">
        <v>233</v>
      </c>
      <c r="E87" s="128" t="s">
        <v>212</v>
      </c>
      <c r="F87" s="138" t="s">
        <v>234</v>
      </c>
      <c r="G87" s="131" t="s">
        <v>158</v>
      </c>
      <c r="H87" s="128" t="s">
        <v>29</v>
      </c>
      <c r="I87" s="132" t="s">
        <v>159</v>
      </c>
      <c r="J87" s="133">
        <v>1</v>
      </c>
      <c r="K87" s="128">
        <v>8</v>
      </c>
      <c r="L87" s="128">
        <v>7</v>
      </c>
      <c r="M87" s="132" t="s">
        <v>82</v>
      </c>
      <c r="N87" s="128" t="s">
        <v>83</v>
      </c>
      <c r="O87" s="139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40"/>
    </row>
    <row r="88" spans="1:26" x14ac:dyDescent="0.25">
      <c r="A88" s="203">
        <f t="shared" si="2"/>
        <v>86</v>
      </c>
      <c r="B88" s="128" t="s">
        <v>235</v>
      </c>
      <c r="C88" s="263" t="s">
        <v>235</v>
      </c>
      <c r="D88" s="262"/>
      <c r="E88" s="128" t="s">
        <v>156</v>
      </c>
      <c r="F88" s="138" t="s">
        <v>236</v>
      </c>
      <c r="G88" s="131" t="s">
        <v>158</v>
      </c>
      <c r="H88" s="128" t="s">
        <v>29</v>
      </c>
      <c r="I88" s="132" t="s">
        <v>159</v>
      </c>
      <c r="J88" s="133">
        <v>1</v>
      </c>
      <c r="K88" s="128">
        <v>8</v>
      </c>
      <c r="L88" s="128">
        <v>11</v>
      </c>
      <c r="M88" s="132" t="s">
        <v>82</v>
      </c>
      <c r="N88" s="128" t="s">
        <v>83</v>
      </c>
      <c r="O88" s="139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40"/>
    </row>
    <row r="89" spans="1:26" x14ac:dyDescent="0.25">
      <c r="A89" s="203">
        <f t="shared" si="2"/>
        <v>87</v>
      </c>
      <c r="B89" s="128" t="s">
        <v>237</v>
      </c>
      <c r="C89" s="263" t="s">
        <v>237</v>
      </c>
      <c r="D89" s="262"/>
      <c r="E89" s="128" t="s">
        <v>174</v>
      </c>
      <c r="F89" s="138" t="s">
        <v>238</v>
      </c>
      <c r="G89" s="131" t="s">
        <v>158</v>
      </c>
      <c r="H89" s="128" t="s">
        <v>29</v>
      </c>
      <c r="I89" s="132" t="s">
        <v>159</v>
      </c>
      <c r="J89" s="133">
        <v>1</v>
      </c>
      <c r="K89" s="128">
        <v>8</v>
      </c>
      <c r="L89" s="128">
        <v>15</v>
      </c>
      <c r="M89" s="132" t="s">
        <v>82</v>
      </c>
      <c r="N89" s="128" t="s">
        <v>83</v>
      </c>
      <c r="O89" s="139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40"/>
    </row>
    <row r="90" spans="1:26" x14ac:dyDescent="0.25">
      <c r="A90" s="203">
        <f t="shared" si="2"/>
        <v>88</v>
      </c>
      <c r="B90" s="128" t="s">
        <v>239</v>
      </c>
      <c r="C90" s="274" t="s">
        <v>239</v>
      </c>
      <c r="D90" s="262" t="s">
        <v>240</v>
      </c>
      <c r="E90" s="128" t="s">
        <v>212</v>
      </c>
      <c r="F90" s="138" t="s">
        <v>241</v>
      </c>
      <c r="G90" s="131" t="s">
        <v>158</v>
      </c>
      <c r="H90" s="128" t="s">
        <v>29</v>
      </c>
      <c r="I90" s="132" t="s">
        <v>159</v>
      </c>
      <c r="J90" s="133">
        <v>1</v>
      </c>
      <c r="K90" s="128">
        <v>9</v>
      </c>
      <c r="L90" s="128">
        <v>1</v>
      </c>
      <c r="M90" s="132" t="s">
        <v>82</v>
      </c>
      <c r="N90" s="128" t="s">
        <v>83</v>
      </c>
      <c r="O90" s="139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40"/>
    </row>
    <row r="91" spans="1:26" x14ac:dyDescent="0.25">
      <c r="A91" s="203">
        <f t="shared" ref="A91:A100" si="3">ROW()-1</f>
        <v>90</v>
      </c>
      <c r="B91" s="128" t="s">
        <v>242</v>
      </c>
      <c r="C91" s="263" t="s">
        <v>242</v>
      </c>
      <c r="D91" s="262" t="s">
        <v>243</v>
      </c>
      <c r="E91" s="128" t="s">
        <v>244</v>
      </c>
      <c r="F91" s="138" t="s">
        <v>245</v>
      </c>
      <c r="G91" s="131" t="s">
        <v>158</v>
      </c>
      <c r="H91" s="128" t="s">
        <v>29</v>
      </c>
      <c r="I91" s="142" t="s">
        <v>246</v>
      </c>
      <c r="J91" s="133">
        <v>7</v>
      </c>
      <c r="K91" s="129">
        <v>1</v>
      </c>
      <c r="L91" s="129">
        <v>0</v>
      </c>
      <c r="M91" s="129" t="s">
        <v>138</v>
      </c>
      <c r="N91" s="129" t="s">
        <v>139</v>
      </c>
      <c r="O91" s="139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40"/>
    </row>
    <row r="92" spans="1:26" x14ac:dyDescent="0.25">
      <c r="A92" s="203">
        <f t="shared" si="3"/>
        <v>91</v>
      </c>
      <c r="B92" s="128" t="s">
        <v>242</v>
      </c>
      <c r="C92" s="263" t="s">
        <v>242</v>
      </c>
      <c r="D92" s="262" t="s">
        <v>243</v>
      </c>
      <c r="E92" s="128" t="s">
        <v>244</v>
      </c>
      <c r="F92" s="138" t="s">
        <v>247</v>
      </c>
      <c r="G92" s="131" t="s">
        <v>158</v>
      </c>
      <c r="H92" s="128" t="s">
        <v>29</v>
      </c>
      <c r="I92" s="142" t="s">
        <v>246</v>
      </c>
      <c r="J92" s="133">
        <v>7</v>
      </c>
      <c r="K92" s="129">
        <v>1</v>
      </c>
      <c r="L92" s="129">
        <v>1</v>
      </c>
      <c r="M92" s="129" t="s">
        <v>138</v>
      </c>
      <c r="N92" s="129" t="s">
        <v>139</v>
      </c>
      <c r="O92" s="139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40"/>
    </row>
    <row r="93" spans="1:26" x14ac:dyDescent="0.25">
      <c r="A93" s="203">
        <f t="shared" si="3"/>
        <v>92</v>
      </c>
      <c r="B93" s="128" t="s">
        <v>248</v>
      </c>
      <c r="C93" s="263" t="s">
        <v>248</v>
      </c>
      <c r="D93" s="262" t="s">
        <v>249</v>
      </c>
      <c r="E93" s="128" t="s">
        <v>244</v>
      </c>
      <c r="F93" s="138" t="s">
        <v>250</v>
      </c>
      <c r="G93" s="131" t="s">
        <v>158</v>
      </c>
      <c r="H93" s="128" t="s">
        <v>29</v>
      </c>
      <c r="I93" s="142" t="s">
        <v>246</v>
      </c>
      <c r="J93" s="133">
        <v>7</v>
      </c>
      <c r="K93" s="129">
        <v>1</v>
      </c>
      <c r="L93" s="129">
        <v>2</v>
      </c>
      <c r="M93" s="129" t="s">
        <v>138</v>
      </c>
      <c r="N93" s="129" t="s">
        <v>139</v>
      </c>
      <c r="O93" s="139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40"/>
    </row>
    <row r="94" spans="1:26" x14ac:dyDescent="0.25">
      <c r="A94" s="203">
        <f t="shared" si="3"/>
        <v>93</v>
      </c>
      <c r="B94" s="128" t="s">
        <v>248</v>
      </c>
      <c r="C94" s="263" t="s">
        <v>248</v>
      </c>
      <c r="D94" s="262" t="s">
        <v>249</v>
      </c>
      <c r="E94" s="128" t="s">
        <v>244</v>
      </c>
      <c r="F94" s="138" t="s">
        <v>251</v>
      </c>
      <c r="G94" s="131" t="s">
        <v>158</v>
      </c>
      <c r="H94" s="128" t="s">
        <v>29</v>
      </c>
      <c r="I94" s="142" t="s">
        <v>246</v>
      </c>
      <c r="J94" s="133">
        <v>7</v>
      </c>
      <c r="K94" s="129">
        <v>1</v>
      </c>
      <c r="L94" s="129">
        <v>3</v>
      </c>
      <c r="M94" s="129" t="s">
        <v>138</v>
      </c>
      <c r="N94" s="129" t="s">
        <v>139</v>
      </c>
      <c r="O94" s="139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40"/>
    </row>
    <row r="95" spans="1:26" x14ac:dyDescent="0.25">
      <c r="A95" s="203">
        <f t="shared" si="3"/>
        <v>94</v>
      </c>
      <c r="B95" s="128" t="s">
        <v>252</v>
      </c>
      <c r="C95" s="263" t="s">
        <v>252</v>
      </c>
      <c r="D95" s="262" t="s">
        <v>253</v>
      </c>
      <c r="E95" s="128" t="s">
        <v>244</v>
      </c>
      <c r="F95" s="138" t="s">
        <v>254</v>
      </c>
      <c r="G95" s="131" t="s">
        <v>158</v>
      </c>
      <c r="H95" s="128" t="s">
        <v>29</v>
      </c>
      <c r="I95" s="142" t="s">
        <v>246</v>
      </c>
      <c r="J95" s="133">
        <v>7</v>
      </c>
      <c r="K95" s="129">
        <v>1</v>
      </c>
      <c r="L95" s="129">
        <v>4</v>
      </c>
      <c r="M95" s="129" t="s">
        <v>138</v>
      </c>
      <c r="N95" s="129" t="s">
        <v>139</v>
      </c>
      <c r="O95" s="139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40"/>
    </row>
    <row r="96" spans="1:26" x14ac:dyDescent="0.25">
      <c r="A96" s="203">
        <f t="shared" si="3"/>
        <v>95</v>
      </c>
      <c r="B96" s="128" t="s">
        <v>252</v>
      </c>
      <c r="C96" s="263" t="s">
        <v>252</v>
      </c>
      <c r="D96" s="262" t="s">
        <v>253</v>
      </c>
      <c r="E96" s="128" t="s">
        <v>244</v>
      </c>
      <c r="F96" s="138" t="s">
        <v>255</v>
      </c>
      <c r="G96" s="131" t="s">
        <v>158</v>
      </c>
      <c r="H96" s="128" t="s">
        <v>29</v>
      </c>
      <c r="I96" s="142" t="s">
        <v>246</v>
      </c>
      <c r="J96" s="133">
        <v>7</v>
      </c>
      <c r="K96" s="129">
        <v>1</v>
      </c>
      <c r="L96" s="129">
        <v>5</v>
      </c>
      <c r="M96" s="129" t="s">
        <v>138</v>
      </c>
      <c r="N96" s="129" t="s">
        <v>139</v>
      </c>
      <c r="O96" s="139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40"/>
    </row>
    <row r="97" spans="1:26" x14ac:dyDescent="0.25">
      <c r="A97" s="203">
        <f t="shared" si="3"/>
        <v>96</v>
      </c>
      <c r="B97" s="128" t="s">
        <v>256</v>
      </c>
      <c r="C97" s="263" t="s">
        <v>256</v>
      </c>
      <c r="D97" s="262" t="s">
        <v>257</v>
      </c>
      <c r="E97" s="128" t="s">
        <v>244</v>
      </c>
      <c r="F97" s="138" t="s">
        <v>258</v>
      </c>
      <c r="G97" s="131" t="s">
        <v>158</v>
      </c>
      <c r="H97" s="128" t="s">
        <v>29</v>
      </c>
      <c r="I97" s="142" t="s">
        <v>246</v>
      </c>
      <c r="J97" s="133">
        <v>7</v>
      </c>
      <c r="K97" s="129">
        <v>1</v>
      </c>
      <c r="L97" s="129">
        <v>6</v>
      </c>
      <c r="M97" s="129" t="s">
        <v>138</v>
      </c>
      <c r="N97" s="129" t="s">
        <v>139</v>
      </c>
      <c r="O97" s="139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40"/>
    </row>
    <row r="98" spans="1:26" x14ac:dyDescent="0.25">
      <c r="A98" s="203">
        <f t="shared" si="3"/>
        <v>97</v>
      </c>
      <c r="B98" s="128" t="s">
        <v>256</v>
      </c>
      <c r="C98" s="263" t="s">
        <v>256</v>
      </c>
      <c r="D98" s="262" t="s">
        <v>257</v>
      </c>
      <c r="E98" s="128" t="s">
        <v>244</v>
      </c>
      <c r="F98" s="138" t="s">
        <v>258</v>
      </c>
      <c r="G98" s="131" t="s">
        <v>158</v>
      </c>
      <c r="H98" s="128" t="s">
        <v>29</v>
      </c>
      <c r="I98" s="142" t="s">
        <v>246</v>
      </c>
      <c r="J98" s="133">
        <v>7</v>
      </c>
      <c r="K98" s="129">
        <v>1</v>
      </c>
      <c r="L98" s="129">
        <v>7</v>
      </c>
      <c r="M98" s="129" t="s">
        <v>138</v>
      </c>
      <c r="N98" s="129" t="s">
        <v>139</v>
      </c>
      <c r="O98" s="139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40"/>
    </row>
    <row r="99" spans="1:26" x14ac:dyDescent="0.25">
      <c r="A99" s="203">
        <f t="shared" si="3"/>
        <v>98</v>
      </c>
      <c r="B99" s="128" t="s">
        <v>259</v>
      </c>
      <c r="C99" s="263" t="s">
        <v>259</v>
      </c>
      <c r="D99" s="262"/>
      <c r="E99" s="128"/>
      <c r="F99" s="138" t="s">
        <v>260</v>
      </c>
      <c r="G99" s="131" t="s">
        <v>158</v>
      </c>
      <c r="H99" s="128" t="s">
        <v>29</v>
      </c>
      <c r="I99" s="142" t="s">
        <v>246</v>
      </c>
      <c r="J99" s="133">
        <v>7</v>
      </c>
      <c r="K99" s="129">
        <v>2</v>
      </c>
      <c r="L99" s="129">
        <v>0</v>
      </c>
      <c r="M99" s="129" t="s">
        <v>138</v>
      </c>
      <c r="N99" s="129" t="s">
        <v>139</v>
      </c>
      <c r="O99" s="139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45"/>
    </row>
    <row r="100" spans="1:26" x14ac:dyDescent="0.25">
      <c r="A100" s="203">
        <f t="shared" si="3"/>
        <v>99</v>
      </c>
      <c r="B100" s="128" t="s">
        <v>259</v>
      </c>
      <c r="C100" s="263" t="s">
        <v>259</v>
      </c>
      <c r="D100" s="262"/>
      <c r="E100" s="128"/>
      <c r="F100" s="138" t="s">
        <v>261</v>
      </c>
      <c r="G100" s="131" t="s">
        <v>158</v>
      </c>
      <c r="H100" s="128" t="s">
        <v>29</v>
      </c>
      <c r="I100" s="142" t="s">
        <v>246</v>
      </c>
      <c r="J100" s="133">
        <v>7</v>
      </c>
      <c r="K100" s="129">
        <v>2</v>
      </c>
      <c r="L100" s="129">
        <v>1</v>
      </c>
      <c r="M100" s="129" t="s">
        <v>138</v>
      </c>
      <c r="N100" s="129" t="s">
        <v>139</v>
      </c>
      <c r="O100" s="139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45"/>
    </row>
    <row r="101" spans="1:26" x14ac:dyDescent="0.25">
      <c r="A101" s="203">
        <f t="shared" ref="A101:A132" si="4">ROW()-2</f>
        <v>99</v>
      </c>
      <c r="B101" s="128"/>
      <c r="C101" s="274" t="s">
        <v>262</v>
      </c>
      <c r="D101" s="264" t="s">
        <v>263</v>
      </c>
      <c r="E101" s="133"/>
      <c r="F101" s="141" t="s">
        <v>264</v>
      </c>
      <c r="G101" s="142" t="s">
        <v>265</v>
      </c>
      <c r="H101" s="133" t="s">
        <v>29</v>
      </c>
      <c r="I101" s="132" t="s">
        <v>266</v>
      </c>
      <c r="J101" s="133">
        <v>3</v>
      </c>
      <c r="K101" s="129">
        <v>3</v>
      </c>
      <c r="L101" s="129">
        <v>0</v>
      </c>
      <c r="M101" s="131" t="s">
        <v>31</v>
      </c>
      <c r="N101" s="131" t="s">
        <v>139</v>
      </c>
      <c r="O101" s="134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35"/>
    </row>
    <row r="102" spans="1:26" x14ac:dyDescent="0.25">
      <c r="A102" s="203">
        <f t="shared" si="4"/>
        <v>100</v>
      </c>
      <c r="B102" s="128"/>
      <c r="C102" s="274" t="s">
        <v>267</v>
      </c>
      <c r="D102" s="264" t="s">
        <v>268</v>
      </c>
      <c r="E102" s="133"/>
      <c r="F102" s="141" t="s">
        <v>269</v>
      </c>
      <c r="G102" s="142" t="s">
        <v>265</v>
      </c>
      <c r="H102" s="133" t="s">
        <v>29</v>
      </c>
      <c r="I102" s="132" t="s">
        <v>266</v>
      </c>
      <c r="J102" s="133">
        <v>3</v>
      </c>
      <c r="K102" s="129">
        <v>3</v>
      </c>
      <c r="L102" s="129">
        <v>1</v>
      </c>
      <c r="M102" s="131" t="s">
        <v>31</v>
      </c>
      <c r="N102" s="131" t="s">
        <v>139</v>
      </c>
      <c r="O102" s="134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35"/>
    </row>
    <row r="103" spans="1:26" x14ac:dyDescent="0.25">
      <c r="A103" s="203">
        <f t="shared" si="4"/>
        <v>101</v>
      </c>
      <c r="B103" s="128"/>
      <c r="C103" s="274" t="s">
        <v>270</v>
      </c>
      <c r="D103" s="264" t="s">
        <v>271</v>
      </c>
      <c r="E103" s="133"/>
      <c r="F103" s="141" t="s">
        <v>272</v>
      </c>
      <c r="G103" s="142" t="s">
        <v>265</v>
      </c>
      <c r="H103" s="133" t="s">
        <v>29</v>
      </c>
      <c r="I103" s="132" t="s">
        <v>266</v>
      </c>
      <c r="J103" s="133">
        <v>3</v>
      </c>
      <c r="K103" s="129">
        <v>3</v>
      </c>
      <c r="L103" s="129">
        <v>2</v>
      </c>
      <c r="M103" s="131" t="s">
        <v>31</v>
      </c>
      <c r="N103" s="131" t="s">
        <v>139</v>
      </c>
      <c r="O103" s="134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35"/>
    </row>
    <row r="104" spans="1:26" x14ac:dyDescent="0.25">
      <c r="A104" s="203">
        <f t="shared" si="4"/>
        <v>102</v>
      </c>
      <c r="B104" s="128"/>
      <c r="C104" s="274" t="s">
        <v>273</v>
      </c>
      <c r="D104" s="264" t="s">
        <v>274</v>
      </c>
      <c r="E104" s="133"/>
      <c r="F104" s="141" t="s">
        <v>275</v>
      </c>
      <c r="G104" s="142" t="s">
        <v>265</v>
      </c>
      <c r="H104" s="133" t="s">
        <v>29</v>
      </c>
      <c r="I104" s="132" t="s">
        <v>266</v>
      </c>
      <c r="J104" s="133">
        <v>3</v>
      </c>
      <c r="K104" s="129">
        <v>3</v>
      </c>
      <c r="L104" s="129">
        <v>3</v>
      </c>
      <c r="M104" s="131" t="s">
        <v>31</v>
      </c>
      <c r="N104" s="131" t="s">
        <v>139</v>
      </c>
      <c r="O104" s="134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35"/>
    </row>
    <row r="105" spans="1:26" x14ac:dyDescent="0.25">
      <c r="A105" s="203">
        <f t="shared" si="4"/>
        <v>103</v>
      </c>
      <c r="B105" s="128"/>
      <c r="C105" s="274" t="s">
        <v>276</v>
      </c>
      <c r="D105" s="264" t="s">
        <v>277</v>
      </c>
      <c r="E105" s="133"/>
      <c r="F105" s="141" t="s">
        <v>278</v>
      </c>
      <c r="G105" s="142" t="s">
        <v>265</v>
      </c>
      <c r="H105" s="133" t="s">
        <v>29</v>
      </c>
      <c r="I105" s="132" t="s">
        <v>266</v>
      </c>
      <c r="J105" s="133">
        <v>3</v>
      </c>
      <c r="K105" s="129">
        <v>3</v>
      </c>
      <c r="L105" s="129">
        <v>4</v>
      </c>
      <c r="M105" s="131" t="s">
        <v>31</v>
      </c>
      <c r="N105" s="131" t="s">
        <v>139</v>
      </c>
      <c r="O105" s="134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35"/>
    </row>
    <row r="106" spans="1:26" x14ac:dyDescent="0.25">
      <c r="A106" s="203">
        <f t="shared" si="4"/>
        <v>104</v>
      </c>
      <c r="B106" s="128"/>
      <c r="C106" s="274" t="s">
        <v>279</v>
      </c>
      <c r="D106" s="264" t="s">
        <v>280</v>
      </c>
      <c r="E106" s="133"/>
      <c r="F106" s="141" t="s">
        <v>281</v>
      </c>
      <c r="G106" s="142" t="s">
        <v>265</v>
      </c>
      <c r="H106" s="133" t="s">
        <v>29</v>
      </c>
      <c r="I106" s="132" t="s">
        <v>266</v>
      </c>
      <c r="J106" s="133">
        <v>3</v>
      </c>
      <c r="K106" s="129">
        <v>3</v>
      </c>
      <c r="L106" s="129">
        <v>5</v>
      </c>
      <c r="M106" s="131" t="s">
        <v>31</v>
      </c>
      <c r="N106" s="131" t="s">
        <v>139</v>
      </c>
      <c r="O106" s="134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35"/>
    </row>
    <row r="107" spans="1:26" x14ac:dyDescent="0.25">
      <c r="A107" s="203">
        <f t="shared" si="4"/>
        <v>105</v>
      </c>
      <c r="B107" s="128"/>
      <c r="C107" s="274" t="s">
        <v>282</v>
      </c>
      <c r="D107" s="264" t="s">
        <v>268</v>
      </c>
      <c r="E107" s="133"/>
      <c r="F107" s="141" t="s">
        <v>283</v>
      </c>
      <c r="G107" s="142" t="s">
        <v>265</v>
      </c>
      <c r="H107" s="133" t="s">
        <v>29</v>
      </c>
      <c r="I107" s="132" t="s">
        <v>266</v>
      </c>
      <c r="J107" s="133">
        <v>3</v>
      </c>
      <c r="K107" s="129">
        <v>3</v>
      </c>
      <c r="L107" s="129">
        <v>6</v>
      </c>
      <c r="M107" s="131" t="s">
        <v>31</v>
      </c>
      <c r="N107" s="131" t="s">
        <v>139</v>
      </c>
      <c r="O107" s="134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35"/>
    </row>
    <row r="108" spans="1:26" x14ac:dyDescent="0.25">
      <c r="A108" s="203">
        <f t="shared" si="4"/>
        <v>106</v>
      </c>
      <c r="B108" s="128"/>
      <c r="C108" s="274" t="s">
        <v>284</v>
      </c>
      <c r="D108" s="264" t="s">
        <v>271</v>
      </c>
      <c r="E108" s="133"/>
      <c r="F108" s="141" t="s">
        <v>285</v>
      </c>
      <c r="G108" s="142" t="s">
        <v>265</v>
      </c>
      <c r="H108" s="133" t="s">
        <v>29</v>
      </c>
      <c r="I108" s="132" t="s">
        <v>266</v>
      </c>
      <c r="J108" s="133">
        <v>3</v>
      </c>
      <c r="K108" s="129">
        <v>3</v>
      </c>
      <c r="L108" s="129">
        <v>7</v>
      </c>
      <c r="M108" s="131" t="s">
        <v>31</v>
      </c>
      <c r="N108" s="131" t="s">
        <v>139</v>
      </c>
      <c r="O108" s="134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35"/>
    </row>
    <row r="109" spans="1:26" x14ac:dyDescent="0.25">
      <c r="A109" s="203">
        <f t="shared" si="4"/>
        <v>107</v>
      </c>
      <c r="B109" s="128"/>
      <c r="C109" s="263" t="s">
        <v>286</v>
      </c>
      <c r="D109" s="264" t="s">
        <v>287</v>
      </c>
      <c r="E109" s="128"/>
      <c r="F109" s="141" t="s">
        <v>288</v>
      </c>
      <c r="G109" s="142" t="s">
        <v>265</v>
      </c>
      <c r="H109" s="133" t="s">
        <v>29</v>
      </c>
      <c r="I109" s="132" t="s">
        <v>266</v>
      </c>
      <c r="J109" s="133">
        <v>3</v>
      </c>
      <c r="K109" s="129">
        <v>3</v>
      </c>
      <c r="L109" s="129">
        <v>8</v>
      </c>
      <c r="M109" s="131" t="s">
        <v>31</v>
      </c>
      <c r="N109" s="131" t="s">
        <v>139</v>
      </c>
      <c r="O109" s="134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35"/>
    </row>
    <row r="110" spans="1:26" x14ac:dyDescent="0.25">
      <c r="A110" s="203">
        <f t="shared" si="4"/>
        <v>108</v>
      </c>
      <c r="B110" s="128"/>
      <c r="C110" s="274" t="s">
        <v>289</v>
      </c>
      <c r="D110" s="262" t="s">
        <v>290</v>
      </c>
      <c r="E110" s="128"/>
      <c r="F110" s="141" t="s">
        <v>291</v>
      </c>
      <c r="G110" s="142" t="s">
        <v>265</v>
      </c>
      <c r="H110" s="133" t="s">
        <v>29</v>
      </c>
      <c r="I110" s="132" t="s">
        <v>266</v>
      </c>
      <c r="J110" s="133">
        <v>3</v>
      </c>
      <c r="K110" s="129">
        <v>3</v>
      </c>
      <c r="L110" s="129">
        <v>9</v>
      </c>
      <c r="M110" s="131" t="s">
        <v>31</v>
      </c>
      <c r="N110" s="131" t="s">
        <v>139</v>
      </c>
      <c r="O110" s="134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35"/>
    </row>
    <row r="111" spans="1:26" x14ac:dyDescent="0.25">
      <c r="A111" s="203">
        <f t="shared" si="4"/>
        <v>109</v>
      </c>
      <c r="B111" s="128"/>
      <c r="C111" s="274" t="s">
        <v>292</v>
      </c>
      <c r="D111" s="264" t="s">
        <v>293</v>
      </c>
      <c r="E111" s="133"/>
      <c r="F111" s="141" t="s">
        <v>294</v>
      </c>
      <c r="G111" s="142" t="s">
        <v>265</v>
      </c>
      <c r="H111" s="133" t="s">
        <v>29</v>
      </c>
      <c r="I111" s="132" t="s">
        <v>266</v>
      </c>
      <c r="J111" s="133">
        <v>3</v>
      </c>
      <c r="K111" s="129">
        <v>4</v>
      </c>
      <c r="L111" s="129">
        <v>0</v>
      </c>
      <c r="M111" s="131" t="s">
        <v>82</v>
      </c>
      <c r="N111" s="129" t="s">
        <v>295</v>
      </c>
      <c r="O111" s="139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40"/>
    </row>
    <row r="112" spans="1:26" x14ac:dyDescent="0.25">
      <c r="A112" s="203">
        <f t="shared" si="4"/>
        <v>110</v>
      </c>
      <c r="B112" s="128"/>
      <c r="C112" s="274" t="s">
        <v>296</v>
      </c>
      <c r="D112" s="264" t="s">
        <v>293</v>
      </c>
      <c r="E112" s="133"/>
      <c r="F112" s="141" t="s">
        <v>297</v>
      </c>
      <c r="G112" s="142" t="s">
        <v>265</v>
      </c>
      <c r="H112" s="133" t="s">
        <v>29</v>
      </c>
      <c r="I112" s="132" t="s">
        <v>266</v>
      </c>
      <c r="J112" s="133">
        <v>3</v>
      </c>
      <c r="K112" s="129">
        <v>4</v>
      </c>
      <c r="L112" s="129">
        <v>1</v>
      </c>
      <c r="M112" s="131" t="s">
        <v>82</v>
      </c>
      <c r="N112" s="129" t="s">
        <v>32</v>
      </c>
      <c r="O112" s="139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40"/>
    </row>
    <row r="113" spans="1:26" x14ac:dyDescent="0.25">
      <c r="A113" s="203">
        <f t="shared" si="4"/>
        <v>111</v>
      </c>
      <c r="B113" s="128"/>
      <c r="C113" s="274" t="s">
        <v>298</v>
      </c>
      <c r="D113" s="264" t="s">
        <v>299</v>
      </c>
      <c r="E113" s="133"/>
      <c r="F113" s="141" t="s">
        <v>300</v>
      </c>
      <c r="G113" s="142" t="s">
        <v>265</v>
      </c>
      <c r="H113" s="133" t="s">
        <v>29</v>
      </c>
      <c r="I113" s="132" t="s">
        <v>266</v>
      </c>
      <c r="J113" s="133">
        <v>3</v>
      </c>
      <c r="K113" s="129">
        <v>4</v>
      </c>
      <c r="L113" s="129">
        <v>2</v>
      </c>
      <c r="M113" s="131" t="s">
        <v>82</v>
      </c>
      <c r="N113" s="129" t="s">
        <v>32</v>
      </c>
      <c r="O113" s="139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40"/>
    </row>
    <row r="114" spans="1:26" x14ac:dyDescent="0.25">
      <c r="A114" s="203">
        <f t="shared" si="4"/>
        <v>112</v>
      </c>
      <c r="B114" s="128"/>
      <c r="C114" s="274" t="s">
        <v>301</v>
      </c>
      <c r="D114" s="264" t="s">
        <v>299</v>
      </c>
      <c r="E114" s="133"/>
      <c r="F114" s="141" t="s">
        <v>302</v>
      </c>
      <c r="G114" s="142" t="s">
        <v>265</v>
      </c>
      <c r="H114" s="133" t="s">
        <v>29</v>
      </c>
      <c r="I114" s="132" t="s">
        <v>266</v>
      </c>
      <c r="J114" s="133">
        <v>3</v>
      </c>
      <c r="K114" s="129">
        <v>4</v>
      </c>
      <c r="L114" s="129">
        <v>3</v>
      </c>
      <c r="M114" s="131" t="s">
        <v>82</v>
      </c>
      <c r="N114" s="129" t="s">
        <v>32</v>
      </c>
      <c r="O114" s="139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40"/>
    </row>
    <row r="115" spans="1:26" x14ac:dyDescent="0.25">
      <c r="A115" s="203">
        <f t="shared" si="4"/>
        <v>113</v>
      </c>
      <c r="B115" s="128"/>
      <c r="C115" s="274" t="s">
        <v>303</v>
      </c>
      <c r="D115" s="264" t="s">
        <v>304</v>
      </c>
      <c r="E115" s="133"/>
      <c r="F115" s="141" t="s">
        <v>305</v>
      </c>
      <c r="G115" s="142" t="s">
        <v>265</v>
      </c>
      <c r="H115" s="133" t="s">
        <v>29</v>
      </c>
      <c r="I115" s="132" t="s">
        <v>266</v>
      </c>
      <c r="J115" s="133">
        <v>3</v>
      </c>
      <c r="K115" s="129">
        <v>4</v>
      </c>
      <c r="L115" s="129">
        <v>4</v>
      </c>
      <c r="M115" s="131" t="s">
        <v>82</v>
      </c>
      <c r="N115" s="129" t="s">
        <v>32</v>
      </c>
      <c r="O115" s="139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40"/>
    </row>
    <row r="116" spans="1:26" x14ac:dyDescent="0.25">
      <c r="A116" s="203">
        <f t="shared" si="4"/>
        <v>114</v>
      </c>
      <c r="B116" s="128"/>
      <c r="C116" s="274" t="s">
        <v>306</v>
      </c>
      <c r="D116" s="264" t="s">
        <v>304</v>
      </c>
      <c r="E116" s="133"/>
      <c r="F116" s="141" t="s">
        <v>307</v>
      </c>
      <c r="G116" s="142" t="s">
        <v>265</v>
      </c>
      <c r="H116" s="133" t="s">
        <v>29</v>
      </c>
      <c r="I116" s="132" t="s">
        <v>266</v>
      </c>
      <c r="J116" s="133">
        <v>3</v>
      </c>
      <c r="K116" s="129">
        <v>4</v>
      </c>
      <c r="L116" s="129">
        <v>5</v>
      </c>
      <c r="M116" s="131" t="s">
        <v>82</v>
      </c>
      <c r="N116" s="129" t="s">
        <v>32</v>
      </c>
      <c r="O116" s="139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40"/>
    </row>
    <row r="117" spans="1:26" x14ac:dyDescent="0.25">
      <c r="A117" s="203">
        <f t="shared" si="4"/>
        <v>115</v>
      </c>
      <c r="B117" s="128"/>
      <c r="C117" s="274" t="s">
        <v>308</v>
      </c>
      <c r="D117" s="264" t="s">
        <v>309</v>
      </c>
      <c r="E117" s="133"/>
      <c r="F117" s="141" t="s">
        <v>310</v>
      </c>
      <c r="G117" s="142" t="s">
        <v>265</v>
      </c>
      <c r="H117" s="133" t="s">
        <v>29</v>
      </c>
      <c r="I117" s="132" t="s">
        <v>266</v>
      </c>
      <c r="J117" s="133">
        <v>3</v>
      </c>
      <c r="K117" s="129">
        <v>4</v>
      </c>
      <c r="L117" s="129">
        <v>6</v>
      </c>
      <c r="M117" s="131" t="s">
        <v>82</v>
      </c>
      <c r="N117" s="129" t="s">
        <v>32</v>
      </c>
      <c r="O117" s="139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40"/>
    </row>
    <row r="118" spans="1:26" x14ac:dyDescent="0.25">
      <c r="A118" s="203">
        <f t="shared" si="4"/>
        <v>116</v>
      </c>
      <c r="B118" s="128"/>
      <c r="C118" s="274" t="s">
        <v>311</v>
      </c>
      <c r="D118" s="264" t="s">
        <v>309</v>
      </c>
      <c r="E118" s="133"/>
      <c r="F118" s="141" t="s">
        <v>312</v>
      </c>
      <c r="G118" s="142" t="s">
        <v>265</v>
      </c>
      <c r="H118" s="133" t="s">
        <v>29</v>
      </c>
      <c r="I118" s="132" t="s">
        <v>266</v>
      </c>
      <c r="J118" s="133">
        <v>3</v>
      </c>
      <c r="K118" s="129">
        <v>4</v>
      </c>
      <c r="L118" s="129">
        <v>7</v>
      </c>
      <c r="M118" s="131" t="s">
        <v>82</v>
      </c>
      <c r="N118" s="129" t="s">
        <v>32</v>
      </c>
      <c r="O118" s="139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40"/>
    </row>
    <row r="119" spans="1:26" x14ac:dyDescent="0.25">
      <c r="A119" s="203">
        <f t="shared" si="4"/>
        <v>117</v>
      </c>
      <c r="B119" s="128"/>
      <c r="C119" s="275" t="s">
        <v>313</v>
      </c>
      <c r="D119" s="264" t="s">
        <v>314</v>
      </c>
      <c r="E119" s="133"/>
      <c r="F119" s="141" t="s">
        <v>315</v>
      </c>
      <c r="G119" s="142" t="s">
        <v>265</v>
      </c>
      <c r="H119" s="133" t="s">
        <v>29</v>
      </c>
      <c r="I119" s="132" t="s">
        <v>266</v>
      </c>
      <c r="J119" s="133">
        <v>3</v>
      </c>
      <c r="K119" s="129">
        <v>4</v>
      </c>
      <c r="L119" s="129">
        <v>8</v>
      </c>
      <c r="M119" s="131" t="s">
        <v>82</v>
      </c>
      <c r="N119" s="129" t="s">
        <v>295</v>
      </c>
      <c r="O119" s="139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40"/>
    </row>
    <row r="120" spans="1:26" x14ac:dyDescent="0.25">
      <c r="A120" s="259">
        <f t="shared" si="4"/>
        <v>118</v>
      </c>
      <c r="B120" s="128"/>
      <c r="C120" s="275" t="s">
        <v>316</v>
      </c>
      <c r="D120" s="264" t="s">
        <v>314</v>
      </c>
      <c r="E120" s="133"/>
      <c r="F120" s="141" t="s">
        <v>317</v>
      </c>
      <c r="G120" s="142" t="s">
        <v>265</v>
      </c>
      <c r="H120" s="133" t="s">
        <v>29</v>
      </c>
      <c r="I120" s="132" t="s">
        <v>266</v>
      </c>
      <c r="J120" s="133">
        <v>3</v>
      </c>
      <c r="K120" s="129">
        <v>4</v>
      </c>
      <c r="L120" s="129">
        <v>9</v>
      </c>
      <c r="M120" s="131" t="s">
        <v>82</v>
      </c>
      <c r="N120" s="129" t="s">
        <v>32</v>
      </c>
      <c r="O120" s="139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40"/>
    </row>
    <row r="121" spans="1:26" x14ac:dyDescent="0.25">
      <c r="A121" s="203">
        <f t="shared" si="4"/>
        <v>119</v>
      </c>
      <c r="B121" s="128"/>
      <c r="C121" s="264" t="s">
        <v>318</v>
      </c>
      <c r="D121" s="264"/>
      <c r="E121" s="133"/>
      <c r="F121" s="141" t="s">
        <v>319</v>
      </c>
      <c r="G121" s="142" t="s">
        <v>265</v>
      </c>
      <c r="H121" s="133" t="s">
        <v>29</v>
      </c>
      <c r="I121" s="132" t="s">
        <v>266</v>
      </c>
      <c r="J121" s="133">
        <v>3</v>
      </c>
      <c r="K121" s="129">
        <v>4</v>
      </c>
      <c r="L121" s="129">
        <v>10</v>
      </c>
      <c r="M121" s="131" t="s">
        <v>82</v>
      </c>
      <c r="N121" s="129" t="s">
        <v>32</v>
      </c>
      <c r="O121" s="139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40"/>
    </row>
    <row r="122" spans="1:26" x14ac:dyDescent="0.25">
      <c r="A122" s="259">
        <f t="shared" si="4"/>
        <v>120</v>
      </c>
      <c r="B122" s="128"/>
      <c r="C122" s="275" t="s">
        <v>320</v>
      </c>
      <c r="D122" s="264"/>
      <c r="E122" s="133"/>
      <c r="F122" s="141" t="s">
        <v>321</v>
      </c>
      <c r="G122" s="142" t="s">
        <v>265</v>
      </c>
      <c r="H122" s="133" t="s">
        <v>29</v>
      </c>
      <c r="I122" s="132" t="s">
        <v>266</v>
      </c>
      <c r="J122" s="133">
        <v>3</v>
      </c>
      <c r="K122" s="129">
        <v>4</v>
      </c>
      <c r="L122" s="129">
        <v>11</v>
      </c>
      <c r="M122" s="131" t="s">
        <v>82</v>
      </c>
      <c r="N122" s="129" t="s">
        <v>32</v>
      </c>
      <c r="O122" s="139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40"/>
    </row>
    <row r="123" spans="1:26" x14ac:dyDescent="0.25">
      <c r="A123" s="203">
        <f t="shared" si="4"/>
        <v>121</v>
      </c>
      <c r="B123" s="128" t="s">
        <v>322</v>
      </c>
      <c r="C123" s="263" t="s">
        <v>322</v>
      </c>
      <c r="D123" s="263" t="s">
        <v>323</v>
      </c>
      <c r="E123" s="128"/>
      <c r="F123" s="130" t="s">
        <v>324</v>
      </c>
      <c r="G123" s="131" t="s">
        <v>325</v>
      </c>
      <c r="H123" s="128" t="s">
        <v>29</v>
      </c>
      <c r="I123" s="132" t="s">
        <v>326</v>
      </c>
      <c r="J123" s="133">
        <v>4</v>
      </c>
      <c r="K123" s="129">
        <v>1</v>
      </c>
      <c r="L123" s="129">
        <v>0</v>
      </c>
      <c r="M123" s="131" t="s">
        <v>138</v>
      </c>
      <c r="N123" s="131" t="s">
        <v>139</v>
      </c>
      <c r="O123" s="134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35"/>
    </row>
    <row r="124" spans="1:26" x14ac:dyDescent="0.25">
      <c r="A124" s="203">
        <f t="shared" si="4"/>
        <v>122</v>
      </c>
      <c r="B124" s="128" t="s">
        <v>322</v>
      </c>
      <c r="C124" s="263" t="s">
        <v>322</v>
      </c>
      <c r="D124" s="263" t="s">
        <v>323</v>
      </c>
      <c r="E124" s="128"/>
      <c r="F124" s="130" t="s">
        <v>327</v>
      </c>
      <c r="G124" s="131" t="s">
        <v>325</v>
      </c>
      <c r="H124" s="128" t="s">
        <v>29</v>
      </c>
      <c r="I124" s="132" t="s">
        <v>326</v>
      </c>
      <c r="J124" s="133">
        <v>4</v>
      </c>
      <c r="K124" s="129">
        <v>1</v>
      </c>
      <c r="L124" s="129">
        <v>1</v>
      </c>
      <c r="M124" s="131" t="s">
        <v>138</v>
      </c>
      <c r="N124" s="131" t="s">
        <v>139</v>
      </c>
      <c r="O124" s="134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35"/>
    </row>
    <row r="125" spans="1:26" s="136" customFormat="1" x14ac:dyDescent="0.25">
      <c r="A125" s="203">
        <f t="shared" si="4"/>
        <v>123</v>
      </c>
      <c r="B125" s="128" t="s">
        <v>328</v>
      </c>
      <c r="C125" s="263" t="s">
        <v>328</v>
      </c>
      <c r="D125" s="263" t="s">
        <v>329</v>
      </c>
      <c r="E125" s="128"/>
      <c r="F125" s="138" t="s">
        <v>330</v>
      </c>
      <c r="G125" s="131" t="s">
        <v>325</v>
      </c>
      <c r="H125" s="128" t="s">
        <v>29</v>
      </c>
      <c r="I125" s="132" t="s">
        <v>326</v>
      </c>
      <c r="J125" s="133">
        <v>4</v>
      </c>
      <c r="K125" s="129">
        <v>1</v>
      </c>
      <c r="L125" s="129">
        <v>2</v>
      </c>
      <c r="M125" s="131" t="s">
        <v>138</v>
      </c>
      <c r="N125" s="131" t="s">
        <v>139</v>
      </c>
      <c r="O125" s="134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35"/>
    </row>
    <row r="126" spans="1:26" x14ac:dyDescent="0.25">
      <c r="A126" s="203">
        <f t="shared" si="4"/>
        <v>124</v>
      </c>
      <c r="B126" s="128" t="s">
        <v>328</v>
      </c>
      <c r="C126" s="263" t="s">
        <v>328</v>
      </c>
      <c r="D126" s="263" t="s">
        <v>329</v>
      </c>
      <c r="E126" s="128"/>
      <c r="F126" s="138" t="s">
        <v>331</v>
      </c>
      <c r="G126" s="131" t="s">
        <v>325</v>
      </c>
      <c r="H126" s="128" t="s">
        <v>29</v>
      </c>
      <c r="I126" s="132" t="s">
        <v>326</v>
      </c>
      <c r="J126" s="133">
        <v>4</v>
      </c>
      <c r="K126" s="129">
        <v>1</v>
      </c>
      <c r="L126" s="129">
        <v>3</v>
      </c>
      <c r="M126" s="131" t="s">
        <v>138</v>
      </c>
      <c r="N126" s="131" t="s">
        <v>139</v>
      </c>
      <c r="O126" s="134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35"/>
    </row>
    <row r="127" spans="1:26" x14ac:dyDescent="0.25">
      <c r="A127" s="203">
        <f t="shared" si="4"/>
        <v>125</v>
      </c>
      <c r="B127" s="128" t="s">
        <v>332</v>
      </c>
      <c r="C127" s="263" t="s">
        <v>332</v>
      </c>
      <c r="D127" s="263" t="s">
        <v>333</v>
      </c>
      <c r="E127" s="128"/>
      <c r="F127" s="130" t="s">
        <v>334</v>
      </c>
      <c r="G127" s="131" t="s">
        <v>325</v>
      </c>
      <c r="H127" s="128" t="s">
        <v>29</v>
      </c>
      <c r="I127" s="132" t="s">
        <v>326</v>
      </c>
      <c r="J127" s="133">
        <v>4</v>
      </c>
      <c r="K127" s="129">
        <v>1</v>
      </c>
      <c r="L127" s="129">
        <v>4</v>
      </c>
      <c r="M127" s="131" t="s">
        <v>138</v>
      </c>
      <c r="N127" s="131" t="s">
        <v>139</v>
      </c>
      <c r="O127" s="134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35"/>
    </row>
    <row r="128" spans="1:26" x14ac:dyDescent="0.25">
      <c r="A128" s="203">
        <f t="shared" si="4"/>
        <v>126</v>
      </c>
      <c r="B128" s="128" t="s">
        <v>332</v>
      </c>
      <c r="C128" s="263" t="s">
        <v>332</v>
      </c>
      <c r="D128" s="263" t="s">
        <v>333</v>
      </c>
      <c r="E128" s="128"/>
      <c r="F128" s="130" t="s">
        <v>335</v>
      </c>
      <c r="G128" s="131" t="s">
        <v>325</v>
      </c>
      <c r="H128" s="128" t="s">
        <v>29</v>
      </c>
      <c r="I128" s="132" t="s">
        <v>326</v>
      </c>
      <c r="J128" s="133">
        <v>4</v>
      </c>
      <c r="K128" s="129">
        <v>1</v>
      </c>
      <c r="L128" s="129">
        <v>5</v>
      </c>
      <c r="M128" s="131" t="s">
        <v>138</v>
      </c>
      <c r="N128" s="131" t="s">
        <v>139</v>
      </c>
      <c r="O128" s="134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35"/>
    </row>
    <row r="129" spans="1:26" x14ac:dyDescent="0.25">
      <c r="A129" s="203">
        <f t="shared" si="4"/>
        <v>127</v>
      </c>
      <c r="B129" s="128" t="s">
        <v>336</v>
      </c>
      <c r="C129" s="263" t="s">
        <v>336</v>
      </c>
      <c r="D129" s="263" t="s">
        <v>337</v>
      </c>
      <c r="E129" s="128"/>
      <c r="F129" s="138" t="s">
        <v>338</v>
      </c>
      <c r="G129" s="131" t="s">
        <v>325</v>
      </c>
      <c r="H129" s="128" t="s">
        <v>29</v>
      </c>
      <c r="I129" s="132" t="s">
        <v>326</v>
      </c>
      <c r="J129" s="133">
        <v>4</v>
      </c>
      <c r="K129" s="129">
        <v>1</v>
      </c>
      <c r="L129" s="129">
        <v>6</v>
      </c>
      <c r="M129" s="131" t="s">
        <v>138</v>
      </c>
      <c r="N129" s="131" t="s">
        <v>139</v>
      </c>
      <c r="O129" s="134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35"/>
    </row>
    <row r="130" spans="1:26" x14ac:dyDescent="0.25">
      <c r="A130" s="203">
        <f t="shared" si="4"/>
        <v>128</v>
      </c>
      <c r="B130" s="128" t="s">
        <v>336</v>
      </c>
      <c r="C130" s="263" t="s">
        <v>336</v>
      </c>
      <c r="D130" s="263" t="s">
        <v>337</v>
      </c>
      <c r="E130" s="128"/>
      <c r="F130" s="138" t="s">
        <v>339</v>
      </c>
      <c r="G130" s="131" t="s">
        <v>325</v>
      </c>
      <c r="H130" s="128" t="s">
        <v>29</v>
      </c>
      <c r="I130" s="132" t="s">
        <v>326</v>
      </c>
      <c r="J130" s="133">
        <v>4</v>
      </c>
      <c r="K130" s="129">
        <v>1</v>
      </c>
      <c r="L130" s="129">
        <v>7</v>
      </c>
      <c r="M130" s="131" t="s">
        <v>138</v>
      </c>
      <c r="N130" s="131" t="s">
        <v>139</v>
      </c>
      <c r="O130" s="134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35"/>
    </row>
    <row r="131" spans="1:26" x14ac:dyDescent="0.25">
      <c r="A131" s="203">
        <f t="shared" si="4"/>
        <v>129</v>
      </c>
      <c r="B131" s="128" t="s">
        <v>340</v>
      </c>
      <c r="C131" s="263" t="s">
        <v>340</v>
      </c>
      <c r="D131" s="263" t="s">
        <v>341</v>
      </c>
      <c r="E131" s="128"/>
      <c r="F131" s="138" t="s">
        <v>342</v>
      </c>
      <c r="G131" s="131" t="s">
        <v>325</v>
      </c>
      <c r="H131" s="128" t="s">
        <v>29</v>
      </c>
      <c r="I131" s="132" t="s">
        <v>326</v>
      </c>
      <c r="J131" s="133">
        <v>4</v>
      </c>
      <c r="K131" s="129">
        <v>2</v>
      </c>
      <c r="L131" s="129">
        <v>0</v>
      </c>
      <c r="M131" s="131" t="s">
        <v>138</v>
      </c>
      <c r="N131" s="131" t="s">
        <v>139</v>
      </c>
      <c r="O131" s="134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35"/>
    </row>
    <row r="132" spans="1:26" x14ac:dyDescent="0.25">
      <c r="A132" s="203">
        <f t="shared" si="4"/>
        <v>130</v>
      </c>
      <c r="B132" s="128" t="s">
        <v>340</v>
      </c>
      <c r="C132" s="263" t="s">
        <v>340</v>
      </c>
      <c r="D132" s="263" t="s">
        <v>341</v>
      </c>
      <c r="E132" s="128"/>
      <c r="F132" s="138" t="s">
        <v>343</v>
      </c>
      <c r="G132" s="131" t="s">
        <v>325</v>
      </c>
      <c r="H132" s="128" t="s">
        <v>29</v>
      </c>
      <c r="I132" s="132" t="s">
        <v>326</v>
      </c>
      <c r="J132" s="133">
        <v>4</v>
      </c>
      <c r="K132" s="129">
        <v>2</v>
      </c>
      <c r="L132" s="129">
        <v>1</v>
      </c>
      <c r="M132" s="131" t="s">
        <v>138</v>
      </c>
      <c r="N132" s="131" t="s">
        <v>139</v>
      </c>
      <c r="O132" s="134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35"/>
    </row>
    <row r="133" spans="1:26" x14ac:dyDescent="0.25">
      <c r="A133" s="203">
        <f t="shared" ref="A133:A168" si="5">ROW()-2</f>
        <v>131</v>
      </c>
      <c r="B133" s="128" t="s">
        <v>344</v>
      </c>
      <c r="C133" s="263" t="s">
        <v>345</v>
      </c>
      <c r="D133" s="264" t="s">
        <v>346</v>
      </c>
      <c r="E133" s="128"/>
      <c r="F133" s="138" t="s">
        <v>347</v>
      </c>
      <c r="G133" s="131" t="s">
        <v>325</v>
      </c>
      <c r="H133" s="128" t="s">
        <v>29</v>
      </c>
      <c r="I133" s="132" t="s">
        <v>326</v>
      </c>
      <c r="J133" s="133">
        <v>4</v>
      </c>
      <c r="K133" s="129">
        <v>2</v>
      </c>
      <c r="L133" s="129">
        <v>2</v>
      </c>
      <c r="M133" s="131" t="s">
        <v>138</v>
      </c>
      <c r="N133" s="131" t="s">
        <v>139</v>
      </c>
      <c r="O133" s="134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35"/>
    </row>
    <row r="134" spans="1:26" x14ac:dyDescent="0.25">
      <c r="A134" s="203">
        <f t="shared" si="5"/>
        <v>132</v>
      </c>
      <c r="B134" s="128" t="s">
        <v>344</v>
      </c>
      <c r="C134" s="263" t="s">
        <v>345</v>
      </c>
      <c r="D134" s="264" t="s">
        <v>346</v>
      </c>
      <c r="E134" s="128"/>
      <c r="F134" s="138" t="s">
        <v>348</v>
      </c>
      <c r="G134" s="131" t="s">
        <v>325</v>
      </c>
      <c r="H134" s="128" t="s">
        <v>29</v>
      </c>
      <c r="I134" s="132" t="s">
        <v>326</v>
      </c>
      <c r="J134" s="133">
        <v>4</v>
      </c>
      <c r="K134" s="129">
        <v>2</v>
      </c>
      <c r="L134" s="129">
        <v>3</v>
      </c>
      <c r="M134" s="131" t="s">
        <v>138</v>
      </c>
      <c r="N134" s="131" t="s">
        <v>139</v>
      </c>
      <c r="O134" s="134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35"/>
    </row>
    <row r="135" spans="1:26" x14ac:dyDescent="0.25">
      <c r="A135" s="203">
        <f t="shared" si="5"/>
        <v>133</v>
      </c>
      <c r="B135" s="128"/>
      <c r="C135" s="263" t="s">
        <v>344</v>
      </c>
      <c r="D135" s="263"/>
      <c r="E135" s="128"/>
      <c r="F135" s="138" t="s">
        <v>349</v>
      </c>
      <c r="G135" s="131" t="s">
        <v>325</v>
      </c>
      <c r="H135" s="128" t="s">
        <v>29</v>
      </c>
      <c r="I135" s="132" t="s">
        <v>326</v>
      </c>
      <c r="J135" s="133">
        <v>4</v>
      </c>
      <c r="K135" s="129">
        <v>2</v>
      </c>
      <c r="L135" s="129">
        <v>4</v>
      </c>
      <c r="M135" s="131" t="s">
        <v>138</v>
      </c>
      <c r="N135" s="131" t="s">
        <v>139</v>
      </c>
      <c r="O135" s="134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35"/>
    </row>
    <row r="136" spans="1:26" x14ac:dyDescent="0.25">
      <c r="A136" s="203">
        <f t="shared" si="5"/>
        <v>134</v>
      </c>
      <c r="B136" s="128"/>
      <c r="C136" s="263" t="s">
        <v>344</v>
      </c>
      <c r="D136" s="263"/>
      <c r="E136" s="128"/>
      <c r="F136" s="138" t="s">
        <v>350</v>
      </c>
      <c r="G136" s="131" t="s">
        <v>325</v>
      </c>
      <c r="H136" s="128" t="s">
        <v>29</v>
      </c>
      <c r="I136" s="132" t="s">
        <v>326</v>
      </c>
      <c r="J136" s="133">
        <v>4</v>
      </c>
      <c r="K136" s="129">
        <v>2</v>
      </c>
      <c r="L136" s="129">
        <v>5</v>
      </c>
      <c r="M136" s="131" t="s">
        <v>138</v>
      </c>
      <c r="N136" s="131" t="s">
        <v>139</v>
      </c>
      <c r="O136" s="134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35"/>
    </row>
    <row r="137" spans="1:26" x14ac:dyDescent="0.25">
      <c r="A137" s="203">
        <f t="shared" si="5"/>
        <v>135</v>
      </c>
      <c r="B137" s="128" t="s">
        <v>286</v>
      </c>
      <c r="C137" s="263" t="s">
        <v>351</v>
      </c>
      <c r="D137" s="262"/>
      <c r="E137" s="128"/>
      <c r="F137" s="141" t="s">
        <v>352</v>
      </c>
      <c r="G137" s="142" t="s">
        <v>325</v>
      </c>
      <c r="H137" s="128" t="s">
        <v>29</v>
      </c>
      <c r="I137" s="132" t="s">
        <v>326</v>
      </c>
      <c r="J137" s="133">
        <v>4</v>
      </c>
      <c r="K137" s="129">
        <v>6</v>
      </c>
      <c r="L137" s="129">
        <v>0</v>
      </c>
      <c r="M137" s="131" t="s">
        <v>82</v>
      </c>
      <c r="N137" s="129" t="s">
        <v>32</v>
      </c>
      <c r="O137" s="139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40"/>
    </row>
    <row r="138" spans="1:26" x14ac:dyDescent="0.25">
      <c r="A138" s="203">
        <f t="shared" si="5"/>
        <v>136</v>
      </c>
      <c r="B138" s="128" t="s">
        <v>353</v>
      </c>
      <c r="C138" s="263" t="s">
        <v>354</v>
      </c>
      <c r="D138" s="264"/>
      <c r="E138" s="133"/>
      <c r="F138" s="141" t="s">
        <v>355</v>
      </c>
      <c r="G138" s="142" t="s">
        <v>325</v>
      </c>
      <c r="H138" s="128" t="s">
        <v>29</v>
      </c>
      <c r="I138" s="132" t="s">
        <v>326</v>
      </c>
      <c r="J138" s="133">
        <v>4</v>
      </c>
      <c r="K138" s="129">
        <v>6</v>
      </c>
      <c r="L138" s="129">
        <v>1</v>
      </c>
      <c r="M138" s="131" t="s">
        <v>82</v>
      </c>
      <c r="N138" s="129" t="s">
        <v>32</v>
      </c>
      <c r="O138" s="139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40"/>
    </row>
    <row r="139" spans="1:26" x14ac:dyDescent="0.25">
      <c r="A139" s="203">
        <f t="shared" si="5"/>
        <v>137</v>
      </c>
      <c r="B139" s="128" t="s">
        <v>356</v>
      </c>
      <c r="C139" s="263" t="s">
        <v>357</v>
      </c>
      <c r="D139" s="264"/>
      <c r="E139" s="133"/>
      <c r="F139" s="141" t="s">
        <v>358</v>
      </c>
      <c r="G139" s="142" t="s">
        <v>325</v>
      </c>
      <c r="H139" s="128" t="s">
        <v>29</v>
      </c>
      <c r="I139" s="132" t="s">
        <v>326</v>
      </c>
      <c r="J139" s="133">
        <v>4</v>
      </c>
      <c r="K139" s="129">
        <v>6</v>
      </c>
      <c r="L139" s="129">
        <v>2</v>
      </c>
      <c r="M139" s="131" t="s">
        <v>82</v>
      </c>
      <c r="N139" s="129" t="s">
        <v>32</v>
      </c>
      <c r="O139" s="139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40"/>
    </row>
    <row r="140" spans="1:26" x14ac:dyDescent="0.25">
      <c r="A140" s="203">
        <f t="shared" si="5"/>
        <v>138</v>
      </c>
      <c r="B140" s="128" t="s">
        <v>289</v>
      </c>
      <c r="C140" s="263" t="s">
        <v>359</v>
      </c>
      <c r="D140" s="277"/>
      <c r="E140" s="142"/>
      <c r="F140" s="141" t="s">
        <v>360</v>
      </c>
      <c r="G140" s="142" t="s">
        <v>325</v>
      </c>
      <c r="H140" s="128" t="s">
        <v>29</v>
      </c>
      <c r="I140" s="132" t="s">
        <v>326</v>
      </c>
      <c r="J140" s="133">
        <v>4</v>
      </c>
      <c r="K140" s="129">
        <v>6</v>
      </c>
      <c r="L140" s="129">
        <v>3</v>
      </c>
      <c r="M140" s="131" t="s">
        <v>82</v>
      </c>
      <c r="N140" s="129" t="s">
        <v>32</v>
      </c>
      <c r="O140" s="139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40"/>
    </row>
    <row r="141" spans="1:26" x14ac:dyDescent="0.25">
      <c r="A141" s="203">
        <f t="shared" si="5"/>
        <v>139</v>
      </c>
      <c r="B141" s="128" t="s">
        <v>361</v>
      </c>
      <c r="C141" s="263" t="s">
        <v>362</v>
      </c>
      <c r="D141" s="277"/>
      <c r="E141" s="142"/>
      <c r="F141" s="141" t="s">
        <v>363</v>
      </c>
      <c r="G141" s="142" t="s">
        <v>325</v>
      </c>
      <c r="H141" s="128" t="s">
        <v>29</v>
      </c>
      <c r="I141" s="132" t="s">
        <v>326</v>
      </c>
      <c r="J141" s="133">
        <v>4</v>
      </c>
      <c r="K141" s="129">
        <v>6</v>
      </c>
      <c r="L141" s="129">
        <v>4</v>
      </c>
      <c r="M141" s="131" t="s">
        <v>82</v>
      </c>
      <c r="N141" s="129" t="s">
        <v>32</v>
      </c>
      <c r="O141" s="139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40"/>
    </row>
    <row r="142" spans="1:26" x14ac:dyDescent="0.25">
      <c r="A142" s="203">
        <f t="shared" si="5"/>
        <v>140</v>
      </c>
      <c r="B142" s="128" t="s">
        <v>364</v>
      </c>
      <c r="C142" s="263" t="s">
        <v>365</v>
      </c>
      <c r="D142" s="277"/>
      <c r="E142" s="142"/>
      <c r="F142" s="141" t="s">
        <v>366</v>
      </c>
      <c r="G142" s="142" t="s">
        <v>325</v>
      </c>
      <c r="H142" s="128" t="s">
        <v>29</v>
      </c>
      <c r="I142" s="132" t="s">
        <v>326</v>
      </c>
      <c r="J142" s="133">
        <v>4</v>
      </c>
      <c r="K142" s="129">
        <v>6</v>
      </c>
      <c r="L142" s="129">
        <v>5</v>
      </c>
      <c r="M142" s="131" t="s">
        <v>82</v>
      </c>
      <c r="N142" s="129" t="s">
        <v>32</v>
      </c>
      <c r="O142" s="139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40"/>
    </row>
    <row r="143" spans="1:26" x14ac:dyDescent="0.25">
      <c r="A143" s="203">
        <f t="shared" si="5"/>
        <v>141</v>
      </c>
      <c r="B143" s="128" t="s">
        <v>367</v>
      </c>
      <c r="C143" s="263" t="s">
        <v>368</v>
      </c>
      <c r="D143" s="277"/>
      <c r="E143" s="142"/>
      <c r="F143" s="141" t="s">
        <v>369</v>
      </c>
      <c r="G143" s="142" t="s">
        <v>325</v>
      </c>
      <c r="H143" s="128" t="s">
        <v>29</v>
      </c>
      <c r="I143" s="132" t="s">
        <v>326</v>
      </c>
      <c r="J143" s="133">
        <v>4</v>
      </c>
      <c r="K143" s="129">
        <v>6</v>
      </c>
      <c r="L143" s="129">
        <v>6</v>
      </c>
      <c r="M143" s="131" t="s">
        <v>82</v>
      </c>
      <c r="N143" s="129" t="s">
        <v>32</v>
      </c>
      <c r="O143" s="139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40"/>
    </row>
    <row r="144" spans="1:26" x14ac:dyDescent="0.25">
      <c r="A144" s="203">
        <f t="shared" si="5"/>
        <v>142</v>
      </c>
      <c r="B144" s="128" t="s">
        <v>370</v>
      </c>
      <c r="C144" s="263" t="s">
        <v>370</v>
      </c>
      <c r="D144" s="262" t="s">
        <v>371</v>
      </c>
      <c r="E144" s="128" t="s">
        <v>372</v>
      </c>
      <c r="F144" s="138" t="s">
        <v>373</v>
      </c>
      <c r="G144" s="131" t="s">
        <v>325</v>
      </c>
      <c r="H144" s="128" t="s">
        <v>29</v>
      </c>
      <c r="I144" s="132" t="s">
        <v>374</v>
      </c>
      <c r="J144" s="133">
        <v>5</v>
      </c>
      <c r="K144" s="129">
        <v>1</v>
      </c>
      <c r="L144" s="129">
        <v>0</v>
      </c>
      <c r="M144" s="129" t="s">
        <v>138</v>
      </c>
      <c r="N144" s="129" t="s">
        <v>139</v>
      </c>
      <c r="O144" s="139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40"/>
    </row>
    <row r="145" spans="1:26" x14ac:dyDescent="0.25">
      <c r="A145" s="203">
        <f t="shared" si="5"/>
        <v>143</v>
      </c>
      <c r="B145" s="128" t="s">
        <v>370</v>
      </c>
      <c r="C145" s="263" t="s">
        <v>370</v>
      </c>
      <c r="D145" s="262" t="s">
        <v>371</v>
      </c>
      <c r="E145" s="128" t="s">
        <v>372</v>
      </c>
      <c r="F145" s="138" t="s">
        <v>375</v>
      </c>
      <c r="G145" s="131" t="s">
        <v>325</v>
      </c>
      <c r="H145" s="128" t="s">
        <v>29</v>
      </c>
      <c r="I145" s="132" t="s">
        <v>374</v>
      </c>
      <c r="J145" s="133">
        <v>5</v>
      </c>
      <c r="K145" s="129">
        <v>1</v>
      </c>
      <c r="L145" s="129">
        <v>1</v>
      </c>
      <c r="M145" s="129" t="s">
        <v>138</v>
      </c>
      <c r="N145" s="129" t="s">
        <v>139</v>
      </c>
      <c r="O145" s="139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40"/>
    </row>
    <row r="146" spans="1:26" x14ac:dyDescent="0.25">
      <c r="A146" s="203">
        <f t="shared" si="5"/>
        <v>144</v>
      </c>
      <c r="B146" s="128" t="s">
        <v>376</v>
      </c>
      <c r="C146" s="263" t="s">
        <v>376</v>
      </c>
      <c r="D146" s="262" t="s">
        <v>377</v>
      </c>
      <c r="E146" s="128" t="s">
        <v>372</v>
      </c>
      <c r="F146" s="138" t="s">
        <v>378</v>
      </c>
      <c r="G146" s="131" t="s">
        <v>325</v>
      </c>
      <c r="H146" s="128" t="s">
        <v>29</v>
      </c>
      <c r="I146" s="132" t="s">
        <v>374</v>
      </c>
      <c r="J146" s="133">
        <v>5</v>
      </c>
      <c r="K146" s="129">
        <v>1</v>
      </c>
      <c r="L146" s="129">
        <v>2</v>
      </c>
      <c r="M146" s="129" t="s">
        <v>138</v>
      </c>
      <c r="N146" s="129" t="s">
        <v>139</v>
      </c>
      <c r="O146" s="139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40"/>
    </row>
    <row r="147" spans="1:26" x14ac:dyDescent="0.25">
      <c r="A147" s="203">
        <f t="shared" si="5"/>
        <v>145</v>
      </c>
      <c r="B147" s="128" t="s">
        <v>376</v>
      </c>
      <c r="C147" s="263" t="s">
        <v>376</v>
      </c>
      <c r="D147" s="262" t="s">
        <v>377</v>
      </c>
      <c r="E147" s="128" t="s">
        <v>372</v>
      </c>
      <c r="F147" s="138" t="s">
        <v>379</v>
      </c>
      <c r="G147" s="131" t="s">
        <v>325</v>
      </c>
      <c r="H147" s="128" t="s">
        <v>29</v>
      </c>
      <c r="I147" s="132" t="s">
        <v>374</v>
      </c>
      <c r="J147" s="133">
        <v>5</v>
      </c>
      <c r="K147" s="129">
        <v>1</v>
      </c>
      <c r="L147" s="129">
        <v>3</v>
      </c>
      <c r="M147" s="129" t="s">
        <v>138</v>
      </c>
      <c r="N147" s="129" t="s">
        <v>139</v>
      </c>
      <c r="O147" s="139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40"/>
    </row>
    <row r="148" spans="1:26" x14ac:dyDescent="0.25">
      <c r="A148" s="203">
        <f t="shared" si="5"/>
        <v>146</v>
      </c>
      <c r="B148" s="128" t="s">
        <v>380</v>
      </c>
      <c r="C148" s="263" t="s">
        <v>380</v>
      </c>
      <c r="D148" s="262" t="s">
        <v>381</v>
      </c>
      <c r="E148" s="128" t="s">
        <v>372</v>
      </c>
      <c r="F148" s="138" t="s">
        <v>382</v>
      </c>
      <c r="G148" s="131" t="s">
        <v>325</v>
      </c>
      <c r="H148" s="128" t="s">
        <v>29</v>
      </c>
      <c r="I148" s="132" t="s">
        <v>374</v>
      </c>
      <c r="J148" s="133">
        <v>5</v>
      </c>
      <c r="K148" s="129">
        <v>1</v>
      </c>
      <c r="L148" s="129">
        <v>4</v>
      </c>
      <c r="M148" s="129" t="s">
        <v>138</v>
      </c>
      <c r="N148" s="129" t="s">
        <v>139</v>
      </c>
      <c r="O148" s="139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40"/>
    </row>
    <row r="149" spans="1:26" x14ac:dyDescent="0.25">
      <c r="A149" s="203">
        <f t="shared" si="5"/>
        <v>147</v>
      </c>
      <c r="B149" s="128" t="s">
        <v>380</v>
      </c>
      <c r="C149" s="263" t="s">
        <v>380</v>
      </c>
      <c r="D149" s="262" t="s">
        <v>381</v>
      </c>
      <c r="E149" s="128" t="s">
        <v>372</v>
      </c>
      <c r="F149" s="138" t="s">
        <v>383</v>
      </c>
      <c r="G149" s="131" t="s">
        <v>325</v>
      </c>
      <c r="H149" s="128" t="s">
        <v>29</v>
      </c>
      <c r="I149" s="132" t="s">
        <v>374</v>
      </c>
      <c r="J149" s="133">
        <v>5</v>
      </c>
      <c r="K149" s="129">
        <v>1</v>
      </c>
      <c r="L149" s="129">
        <v>5</v>
      </c>
      <c r="M149" s="129" t="s">
        <v>138</v>
      </c>
      <c r="N149" s="129" t="s">
        <v>139</v>
      </c>
      <c r="O149" s="139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40"/>
    </row>
    <row r="150" spans="1:26" x14ac:dyDescent="0.25">
      <c r="A150" s="203">
        <f t="shared" si="5"/>
        <v>148</v>
      </c>
      <c r="B150" s="128" t="s">
        <v>384</v>
      </c>
      <c r="C150" s="263" t="s">
        <v>384</v>
      </c>
      <c r="D150" s="262" t="s">
        <v>385</v>
      </c>
      <c r="E150" s="128" t="s">
        <v>372</v>
      </c>
      <c r="F150" s="138" t="s">
        <v>386</v>
      </c>
      <c r="G150" s="131" t="s">
        <v>325</v>
      </c>
      <c r="H150" s="128" t="s">
        <v>29</v>
      </c>
      <c r="I150" s="132" t="s">
        <v>374</v>
      </c>
      <c r="J150" s="133">
        <v>5</v>
      </c>
      <c r="K150" s="129">
        <v>1</v>
      </c>
      <c r="L150" s="129">
        <v>6</v>
      </c>
      <c r="M150" s="129" t="s">
        <v>138</v>
      </c>
      <c r="N150" s="129" t="s">
        <v>139</v>
      </c>
      <c r="O150" s="139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40"/>
    </row>
    <row r="151" spans="1:26" x14ac:dyDescent="0.25">
      <c r="A151" s="203">
        <f t="shared" si="5"/>
        <v>149</v>
      </c>
      <c r="B151" s="128" t="s">
        <v>384</v>
      </c>
      <c r="C151" s="263" t="s">
        <v>384</v>
      </c>
      <c r="D151" s="262" t="s">
        <v>385</v>
      </c>
      <c r="E151" s="128" t="s">
        <v>372</v>
      </c>
      <c r="F151" s="138" t="s">
        <v>387</v>
      </c>
      <c r="G151" s="131" t="s">
        <v>325</v>
      </c>
      <c r="H151" s="128" t="s">
        <v>29</v>
      </c>
      <c r="I151" s="132" t="s">
        <v>374</v>
      </c>
      <c r="J151" s="133">
        <v>5</v>
      </c>
      <c r="K151" s="129">
        <v>1</v>
      </c>
      <c r="L151" s="129">
        <v>7</v>
      </c>
      <c r="M151" s="129" t="s">
        <v>138</v>
      </c>
      <c r="N151" s="129" t="s">
        <v>139</v>
      </c>
      <c r="O151" s="139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40"/>
    </row>
    <row r="152" spans="1:26" x14ac:dyDescent="0.25">
      <c r="A152" s="203">
        <f t="shared" si="5"/>
        <v>150</v>
      </c>
      <c r="B152" s="128" t="s">
        <v>388</v>
      </c>
      <c r="C152" s="263" t="s">
        <v>388</v>
      </c>
      <c r="D152" s="262" t="s">
        <v>389</v>
      </c>
      <c r="E152" s="128" t="s">
        <v>372</v>
      </c>
      <c r="F152" s="138" t="s">
        <v>390</v>
      </c>
      <c r="G152" s="131" t="s">
        <v>325</v>
      </c>
      <c r="H152" s="128" t="s">
        <v>29</v>
      </c>
      <c r="I152" s="132" t="s">
        <v>374</v>
      </c>
      <c r="J152" s="133">
        <v>5</v>
      </c>
      <c r="K152" s="129">
        <v>2</v>
      </c>
      <c r="L152" s="129">
        <v>0</v>
      </c>
      <c r="M152" s="129" t="s">
        <v>138</v>
      </c>
      <c r="N152" s="129" t="s">
        <v>139</v>
      </c>
      <c r="O152" s="139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40"/>
    </row>
    <row r="153" spans="1:26" x14ac:dyDescent="0.25">
      <c r="A153" s="203">
        <f t="shared" si="5"/>
        <v>151</v>
      </c>
      <c r="B153" s="128" t="s">
        <v>388</v>
      </c>
      <c r="C153" s="263" t="s">
        <v>388</v>
      </c>
      <c r="D153" s="262" t="s">
        <v>389</v>
      </c>
      <c r="E153" s="128" t="s">
        <v>372</v>
      </c>
      <c r="F153" s="138" t="s">
        <v>391</v>
      </c>
      <c r="G153" s="131" t="s">
        <v>325</v>
      </c>
      <c r="H153" s="128" t="s">
        <v>29</v>
      </c>
      <c r="I153" s="132" t="s">
        <v>374</v>
      </c>
      <c r="J153" s="133">
        <v>5</v>
      </c>
      <c r="K153" s="129">
        <v>2</v>
      </c>
      <c r="L153" s="129">
        <v>1</v>
      </c>
      <c r="M153" s="129" t="s">
        <v>138</v>
      </c>
      <c r="N153" s="129" t="s">
        <v>139</v>
      </c>
      <c r="O153" s="139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40"/>
    </row>
    <row r="154" spans="1:26" x14ac:dyDescent="0.25">
      <c r="A154" s="203">
        <f t="shared" si="5"/>
        <v>152</v>
      </c>
      <c r="B154" s="128" t="s">
        <v>392</v>
      </c>
      <c r="C154" s="263" t="s">
        <v>393</v>
      </c>
      <c r="D154" s="264" t="s">
        <v>394</v>
      </c>
      <c r="E154" s="133" t="s">
        <v>372</v>
      </c>
      <c r="F154" s="141" t="s">
        <v>395</v>
      </c>
      <c r="G154" s="142" t="s">
        <v>325</v>
      </c>
      <c r="H154" s="133" t="s">
        <v>29</v>
      </c>
      <c r="I154" s="132" t="s">
        <v>374</v>
      </c>
      <c r="J154" s="133">
        <v>5</v>
      </c>
      <c r="K154" s="129">
        <v>2</v>
      </c>
      <c r="L154" s="129">
        <v>2</v>
      </c>
      <c r="M154" s="129" t="s">
        <v>138</v>
      </c>
      <c r="N154" s="129" t="s">
        <v>139</v>
      </c>
      <c r="O154" s="139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43"/>
    </row>
    <row r="155" spans="1:26" x14ac:dyDescent="0.25">
      <c r="A155" s="203">
        <f t="shared" si="5"/>
        <v>153</v>
      </c>
      <c r="B155" s="128" t="s">
        <v>392</v>
      </c>
      <c r="C155" s="263" t="s">
        <v>393</v>
      </c>
      <c r="D155" s="264" t="s">
        <v>394</v>
      </c>
      <c r="E155" s="133" t="s">
        <v>372</v>
      </c>
      <c r="F155" s="141" t="s">
        <v>396</v>
      </c>
      <c r="G155" s="142" t="s">
        <v>325</v>
      </c>
      <c r="H155" s="133" t="s">
        <v>29</v>
      </c>
      <c r="I155" s="132" t="s">
        <v>374</v>
      </c>
      <c r="J155" s="133">
        <v>5</v>
      </c>
      <c r="K155" s="129">
        <v>2</v>
      </c>
      <c r="L155" s="129">
        <v>3</v>
      </c>
      <c r="M155" s="129" t="s">
        <v>138</v>
      </c>
      <c r="N155" s="129" t="s">
        <v>139</v>
      </c>
      <c r="O155" s="139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43"/>
    </row>
    <row r="156" spans="1:26" x14ac:dyDescent="0.25">
      <c r="A156" s="203">
        <f t="shared" si="5"/>
        <v>154</v>
      </c>
      <c r="B156" s="128" t="s">
        <v>397</v>
      </c>
      <c r="C156" s="263" t="s">
        <v>398</v>
      </c>
      <c r="D156" s="264"/>
      <c r="E156" s="133"/>
      <c r="F156" s="141" t="s">
        <v>399</v>
      </c>
      <c r="G156" s="142" t="s">
        <v>325</v>
      </c>
      <c r="H156" s="133" t="s">
        <v>29</v>
      </c>
      <c r="I156" s="132" t="s">
        <v>374</v>
      </c>
      <c r="J156" s="133">
        <v>5</v>
      </c>
      <c r="K156" s="129">
        <v>2</v>
      </c>
      <c r="L156" s="129">
        <v>4</v>
      </c>
      <c r="M156" s="129" t="s">
        <v>138</v>
      </c>
      <c r="N156" s="129" t="s">
        <v>139</v>
      </c>
      <c r="O156" s="139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40"/>
    </row>
    <row r="157" spans="1:26" x14ac:dyDescent="0.25">
      <c r="A157" s="203">
        <f t="shared" si="5"/>
        <v>155</v>
      </c>
      <c r="B157" s="128" t="s">
        <v>397</v>
      </c>
      <c r="C157" s="263" t="s">
        <v>398</v>
      </c>
      <c r="D157" s="264"/>
      <c r="E157" s="133"/>
      <c r="F157" s="141" t="s">
        <v>400</v>
      </c>
      <c r="G157" s="142" t="s">
        <v>325</v>
      </c>
      <c r="H157" s="133" t="s">
        <v>29</v>
      </c>
      <c r="I157" s="132" t="s">
        <v>374</v>
      </c>
      <c r="J157" s="133">
        <v>5</v>
      </c>
      <c r="K157" s="129">
        <v>2</v>
      </c>
      <c r="L157" s="129">
        <v>5</v>
      </c>
      <c r="M157" s="129" t="s">
        <v>138</v>
      </c>
      <c r="N157" s="129" t="s">
        <v>139</v>
      </c>
      <c r="O157" s="139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40"/>
    </row>
    <row r="158" spans="1:26" x14ac:dyDescent="0.25">
      <c r="A158" s="203">
        <f t="shared" si="5"/>
        <v>156</v>
      </c>
      <c r="B158" s="128" t="s">
        <v>393</v>
      </c>
      <c r="C158" s="263" t="s">
        <v>392</v>
      </c>
      <c r="D158" s="264"/>
      <c r="E158" s="133"/>
      <c r="F158" s="141" t="s">
        <v>401</v>
      </c>
      <c r="G158" s="142" t="s">
        <v>325</v>
      </c>
      <c r="H158" s="133" t="s">
        <v>29</v>
      </c>
      <c r="I158" s="132" t="s">
        <v>374</v>
      </c>
      <c r="J158" s="133">
        <v>5</v>
      </c>
      <c r="K158" s="129">
        <v>2</v>
      </c>
      <c r="L158" s="129">
        <v>6</v>
      </c>
      <c r="M158" s="129" t="s">
        <v>138</v>
      </c>
      <c r="N158" s="129" t="s">
        <v>139</v>
      </c>
      <c r="O158" s="139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40"/>
    </row>
    <row r="159" spans="1:26" x14ac:dyDescent="0.25">
      <c r="A159" s="203">
        <f t="shared" si="5"/>
        <v>157</v>
      </c>
      <c r="B159" s="128" t="s">
        <v>393</v>
      </c>
      <c r="C159" s="263" t="s">
        <v>392</v>
      </c>
      <c r="D159" s="264"/>
      <c r="E159" s="133"/>
      <c r="F159" s="141" t="s">
        <v>402</v>
      </c>
      <c r="G159" s="142" t="s">
        <v>325</v>
      </c>
      <c r="H159" s="133" t="s">
        <v>29</v>
      </c>
      <c r="I159" s="132" t="s">
        <v>374</v>
      </c>
      <c r="J159" s="133">
        <v>5</v>
      </c>
      <c r="K159" s="129">
        <v>2</v>
      </c>
      <c r="L159" s="129">
        <v>7</v>
      </c>
      <c r="M159" s="129" t="s">
        <v>138</v>
      </c>
      <c r="N159" s="129" t="s">
        <v>139</v>
      </c>
      <c r="O159" s="139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40"/>
    </row>
    <row r="160" spans="1:26" x14ac:dyDescent="0.25">
      <c r="A160" s="203">
        <f t="shared" si="5"/>
        <v>158</v>
      </c>
      <c r="B160" s="128" t="s">
        <v>403</v>
      </c>
      <c r="C160" s="263" t="s">
        <v>404</v>
      </c>
      <c r="D160" s="264"/>
      <c r="E160" s="133"/>
      <c r="F160" s="141" t="s">
        <v>405</v>
      </c>
      <c r="G160" s="142" t="s">
        <v>325</v>
      </c>
      <c r="H160" s="133" t="s">
        <v>29</v>
      </c>
      <c r="I160" s="132" t="s">
        <v>374</v>
      </c>
      <c r="J160" s="133">
        <v>5</v>
      </c>
      <c r="K160" s="129">
        <v>6</v>
      </c>
      <c r="L160" s="129">
        <v>0</v>
      </c>
      <c r="M160" s="129" t="s">
        <v>82</v>
      </c>
      <c r="N160" s="129" t="s">
        <v>32</v>
      </c>
      <c r="O160" s="139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40"/>
    </row>
    <row r="161" spans="1:26" x14ac:dyDescent="0.25">
      <c r="A161" s="203">
        <f t="shared" si="5"/>
        <v>159</v>
      </c>
      <c r="B161" s="128" t="s">
        <v>406</v>
      </c>
      <c r="C161" s="263" t="s">
        <v>407</v>
      </c>
      <c r="D161" s="264"/>
      <c r="E161" s="133"/>
      <c r="F161" s="141" t="s">
        <v>408</v>
      </c>
      <c r="G161" s="142" t="s">
        <v>325</v>
      </c>
      <c r="H161" s="133" t="s">
        <v>29</v>
      </c>
      <c r="I161" s="132" t="s">
        <v>374</v>
      </c>
      <c r="J161" s="133">
        <v>5</v>
      </c>
      <c r="K161" s="129">
        <v>6</v>
      </c>
      <c r="L161" s="129">
        <v>1</v>
      </c>
      <c r="M161" s="129" t="s">
        <v>82</v>
      </c>
      <c r="N161" s="129" t="s">
        <v>32</v>
      </c>
      <c r="O161" s="139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40"/>
    </row>
    <row r="162" spans="1:26" x14ac:dyDescent="0.25">
      <c r="A162" s="203">
        <f t="shared" si="5"/>
        <v>160</v>
      </c>
      <c r="B162" s="128" t="s">
        <v>409</v>
      </c>
      <c r="C162" s="263" t="s">
        <v>410</v>
      </c>
      <c r="D162" s="264"/>
      <c r="E162" s="133"/>
      <c r="F162" s="141" t="s">
        <v>411</v>
      </c>
      <c r="G162" s="142" t="s">
        <v>325</v>
      </c>
      <c r="H162" s="133" t="s">
        <v>29</v>
      </c>
      <c r="I162" s="132" t="s">
        <v>374</v>
      </c>
      <c r="J162" s="133">
        <v>5</v>
      </c>
      <c r="K162" s="129">
        <v>6</v>
      </c>
      <c r="L162" s="129">
        <v>2</v>
      </c>
      <c r="M162" s="129" t="s">
        <v>82</v>
      </c>
      <c r="N162" s="129" t="s">
        <v>32</v>
      </c>
      <c r="O162" s="139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40"/>
    </row>
    <row r="163" spans="1:26" x14ac:dyDescent="0.25">
      <c r="A163" s="203">
        <f t="shared" si="5"/>
        <v>161</v>
      </c>
      <c r="B163" s="128" t="s">
        <v>412</v>
      </c>
      <c r="C163" s="263" t="s">
        <v>413</v>
      </c>
      <c r="D163" s="264"/>
      <c r="E163" s="133"/>
      <c r="F163" s="141" t="s">
        <v>414</v>
      </c>
      <c r="G163" s="142" t="s">
        <v>325</v>
      </c>
      <c r="H163" s="133" t="s">
        <v>29</v>
      </c>
      <c r="I163" s="132" t="s">
        <v>374</v>
      </c>
      <c r="J163" s="133">
        <v>5</v>
      </c>
      <c r="K163" s="129">
        <v>6</v>
      </c>
      <c r="L163" s="129">
        <v>3</v>
      </c>
      <c r="M163" s="129" t="s">
        <v>82</v>
      </c>
      <c r="N163" s="129" t="s">
        <v>32</v>
      </c>
      <c r="O163" s="139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40"/>
    </row>
    <row r="164" spans="1:26" x14ac:dyDescent="0.25">
      <c r="A164" s="203">
        <f t="shared" si="5"/>
        <v>162</v>
      </c>
      <c r="B164" s="128" t="s">
        <v>415</v>
      </c>
      <c r="C164" s="263" t="s">
        <v>416</v>
      </c>
      <c r="D164" s="264"/>
      <c r="E164" s="133"/>
      <c r="F164" s="141" t="s">
        <v>417</v>
      </c>
      <c r="G164" s="142" t="s">
        <v>325</v>
      </c>
      <c r="H164" s="133" t="s">
        <v>29</v>
      </c>
      <c r="I164" s="132" t="s">
        <v>374</v>
      </c>
      <c r="J164" s="133">
        <v>5</v>
      </c>
      <c r="K164" s="129">
        <v>6</v>
      </c>
      <c r="L164" s="129">
        <v>4</v>
      </c>
      <c r="M164" s="129" t="s">
        <v>82</v>
      </c>
      <c r="N164" s="129" t="s">
        <v>32</v>
      </c>
      <c r="O164" s="139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40"/>
    </row>
    <row r="165" spans="1:26" x14ac:dyDescent="0.25">
      <c r="A165" s="203">
        <f t="shared" si="5"/>
        <v>163</v>
      </c>
      <c r="B165" s="128" t="s">
        <v>418</v>
      </c>
      <c r="C165" s="263" t="s">
        <v>419</v>
      </c>
      <c r="D165" s="264"/>
      <c r="E165" s="133"/>
      <c r="F165" s="141" t="s">
        <v>420</v>
      </c>
      <c r="G165" s="142" t="s">
        <v>325</v>
      </c>
      <c r="H165" s="133" t="s">
        <v>29</v>
      </c>
      <c r="I165" s="132" t="s">
        <v>374</v>
      </c>
      <c r="J165" s="133">
        <v>5</v>
      </c>
      <c r="K165" s="129">
        <v>6</v>
      </c>
      <c r="L165" s="129">
        <v>5</v>
      </c>
      <c r="M165" s="129" t="s">
        <v>82</v>
      </c>
      <c r="N165" s="129" t="s">
        <v>32</v>
      </c>
      <c r="O165" s="139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40"/>
    </row>
    <row r="166" spans="1:26" x14ac:dyDescent="0.25">
      <c r="A166" s="203">
        <f t="shared" si="5"/>
        <v>164</v>
      </c>
      <c r="B166" s="128" t="s">
        <v>421</v>
      </c>
      <c r="C166" s="263" t="s">
        <v>422</v>
      </c>
      <c r="D166" s="264"/>
      <c r="E166" s="133"/>
      <c r="F166" s="141" t="s">
        <v>423</v>
      </c>
      <c r="G166" s="142" t="s">
        <v>325</v>
      </c>
      <c r="H166" s="133" t="s">
        <v>29</v>
      </c>
      <c r="I166" s="132" t="s">
        <v>374</v>
      </c>
      <c r="J166" s="133">
        <v>5</v>
      </c>
      <c r="K166" s="129">
        <v>6</v>
      </c>
      <c r="L166" s="129">
        <v>6</v>
      </c>
      <c r="M166" s="129" t="s">
        <v>82</v>
      </c>
      <c r="N166" s="129" t="s">
        <v>32</v>
      </c>
      <c r="O166" s="139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40"/>
    </row>
    <row r="167" spans="1:26" x14ac:dyDescent="0.25">
      <c r="A167" s="203">
        <f t="shared" si="5"/>
        <v>165</v>
      </c>
      <c r="B167" s="128" t="s">
        <v>424</v>
      </c>
      <c r="C167" s="263" t="s">
        <v>425</v>
      </c>
      <c r="D167" s="264"/>
      <c r="E167" s="133"/>
      <c r="F167" s="141" t="s">
        <v>426</v>
      </c>
      <c r="G167" s="142" t="s">
        <v>325</v>
      </c>
      <c r="H167" s="133" t="s">
        <v>29</v>
      </c>
      <c r="I167" s="132" t="s">
        <v>374</v>
      </c>
      <c r="J167" s="133">
        <v>5</v>
      </c>
      <c r="K167" s="129">
        <v>6</v>
      </c>
      <c r="L167" s="129">
        <v>7</v>
      </c>
      <c r="M167" s="129" t="s">
        <v>82</v>
      </c>
      <c r="N167" s="129" t="s">
        <v>32</v>
      </c>
      <c r="O167" s="139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40"/>
    </row>
    <row r="168" spans="1:26" x14ac:dyDescent="0.25">
      <c r="A168" s="203">
        <f t="shared" si="5"/>
        <v>166</v>
      </c>
      <c r="B168" s="128"/>
      <c r="C168" s="263" t="s">
        <v>427</v>
      </c>
      <c r="D168" s="264"/>
      <c r="E168" s="133"/>
      <c r="F168" s="141" t="s">
        <v>428</v>
      </c>
      <c r="G168" s="142" t="s">
        <v>325</v>
      </c>
      <c r="H168" s="133" t="s">
        <v>29</v>
      </c>
      <c r="I168" s="132" t="s">
        <v>374</v>
      </c>
      <c r="J168" s="133">
        <v>5</v>
      </c>
      <c r="K168" s="129">
        <v>6</v>
      </c>
      <c r="L168" s="129">
        <v>8</v>
      </c>
      <c r="M168" s="129" t="s">
        <v>82</v>
      </c>
      <c r="N168" s="129" t="s">
        <v>32</v>
      </c>
      <c r="O168" s="139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40"/>
    </row>
    <row r="169" spans="1:26" x14ac:dyDescent="0.25">
      <c r="A169" s="203">
        <f t="shared" ref="A169:A232" si="6">ROW()-1</f>
        <v>168</v>
      </c>
      <c r="B169" s="128" t="s">
        <v>370</v>
      </c>
      <c r="C169" s="274" t="s">
        <v>429</v>
      </c>
      <c r="D169" s="264" t="s">
        <v>430</v>
      </c>
      <c r="E169" s="133" t="s">
        <v>431</v>
      </c>
      <c r="F169" s="141" t="s">
        <v>432</v>
      </c>
      <c r="G169" s="142" t="s">
        <v>433</v>
      </c>
      <c r="H169" s="133" t="s">
        <v>29</v>
      </c>
      <c r="I169" s="132" t="s">
        <v>434</v>
      </c>
      <c r="J169" s="133">
        <v>6</v>
      </c>
      <c r="K169" s="129">
        <v>1</v>
      </c>
      <c r="L169" s="129">
        <v>0</v>
      </c>
      <c r="M169" s="129" t="s">
        <v>138</v>
      </c>
      <c r="N169" s="129" t="s">
        <v>139</v>
      </c>
      <c r="O169" s="139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40"/>
    </row>
    <row r="170" spans="1:26" x14ac:dyDescent="0.25">
      <c r="A170" s="203">
        <f t="shared" si="6"/>
        <v>169</v>
      </c>
      <c r="B170" s="128" t="s">
        <v>370</v>
      </c>
      <c r="C170" s="274" t="s">
        <v>429</v>
      </c>
      <c r="D170" s="264" t="s">
        <v>430</v>
      </c>
      <c r="E170" s="133" t="s">
        <v>431</v>
      </c>
      <c r="F170" s="141" t="s">
        <v>435</v>
      </c>
      <c r="G170" s="142" t="s">
        <v>433</v>
      </c>
      <c r="H170" s="133" t="s">
        <v>29</v>
      </c>
      <c r="I170" s="132" t="s">
        <v>434</v>
      </c>
      <c r="J170" s="133">
        <v>6</v>
      </c>
      <c r="K170" s="129">
        <v>1</v>
      </c>
      <c r="L170" s="129">
        <v>1</v>
      </c>
      <c r="M170" s="129" t="s">
        <v>138</v>
      </c>
      <c r="N170" s="129" t="s">
        <v>139</v>
      </c>
      <c r="O170" s="139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40"/>
    </row>
    <row r="171" spans="1:26" x14ac:dyDescent="0.25">
      <c r="A171" s="203">
        <f t="shared" si="6"/>
        <v>170</v>
      </c>
      <c r="B171" s="128" t="s">
        <v>376</v>
      </c>
      <c r="C171" s="274" t="s">
        <v>436</v>
      </c>
      <c r="D171" s="264" t="s">
        <v>437</v>
      </c>
      <c r="E171" s="133" t="s">
        <v>431</v>
      </c>
      <c r="F171" s="141" t="s">
        <v>438</v>
      </c>
      <c r="G171" s="142" t="s">
        <v>433</v>
      </c>
      <c r="H171" s="133" t="s">
        <v>29</v>
      </c>
      <c r="I171" s="132" t="s">
        <v>434</v>
      </c>
      <c r="J171" s="133">
        <v>6</v>
      </c>
      <c r="K171" s="129">
        <v>1</v>
      </c>
      <c r="L171" s="129">
        <v>2</v>
      </c>
      <c r="M171" s="129" t="s">
        <v>138</v>
      </c>
      <c r="N171" s="129" t="s">
        <v>139</v>
      </c>
      <c r="O171" s="139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40"/>
    </row>
    <row r="172" spans="1:26" x14ac:dyDescent="0.25">
      <c r="A172" s="203">
        <f t="shared" si="6"/>
        <v>171</v>
      </c>
      <c r="B172" s="128" t="s">
        <v>376</v>
      </c>
      <c r="C172" s="274" t="s">
        <v>436</v>
      </c>
      <c r="D172" s="264" t="s">
        <v>437</v>
      </c>
      <c r="E172" s="133" t="s">
        <v>431</v>
      </c>
      <c r="F172" s="141" t="s">
        <v>439</v>
      </c>
      <c r="G172" s="142" t="s">
        <v>433</v>
      </c>
      <c r="H172" s="133" t="s">
        <v>29</v>
      </c>
      <c r="I172" s="132" t="s">
        <v>434</v>
      </c>
      <c r="J172" s="133">
        <v>6</v>
      </c>
      <c r="K172" s="129">
        <v>1</v>
      </c>
      <c r="L172" s="129">
        <v>3</v>
      </c>
      <c r="M172" s="129" t="s">
        <v>138</v>
      </c>
      <c r="N172" s="129" t="s">
        <v>139</v>
      </c>
      <c r="O172" s="139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40"/>
    </row>
    <row r="173" spans="1:26" x14ac:dyDescent="0.25">
      <c r="A173" s="203">
        <f t="shared" si="6"/>
        <v>172</v>
      </c>
      <c r="B173" s="128" t="s">
        <v>380</v>
      </c>
      <c r="C173" s="274" t="s">
        <v>440</v>
      </c>
      <c r="D173" s="264" t="s">
        <v>441</v>
      </c>
      <c r="E173" s="133" t="s">
        <v>431</v>
      </c>
      <c r="F173" s="141" t="s">
        <v>442</v>
      </c>
      <c r="G173" s="142" t="s">
        <v>433</v>
      </c>
      <c r="H173" s="133" t="s">
        <v>29</v>
      </c>
      <c r="I173" s="132" t="s">
        <v>434</v>
      </c>
      <c r="J173" s="133">
        <v>6</v>
      </c>
      <c r="K173" s="129">
        <v>1</v>
      </c>
      <c r="L173" s="129">
        <v>4</v>
      </c>
      <c r="M173" s="129" t="s">
        <v>138</v>
      </c>
      <c r="N173" s="129" t="s">
        <v>139</v>
      </c>
      <c r="O173" s="139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40"/>
    </row>
    <row r="174" spans="1:26" x14ac:dyDescent="0.25">
      <c r="A174" s="203">
        <f t="shared" si="6"/>
        <v>173</v>
      </c>
      <c r="B174" s="128" t="s">
        <v>380</v>
      </c>
      <c r="C174" s="274" t="s">
        <v>440</v>
      </c>
      <c r="D174" s="264" t="s">
        <v>441</v>
      </c>
      <c r="E174" s="133" t="s">
        <v>431</v>
      </c>
      <c r="F174" s="141" t="s">
        <v>443</v>
      </c>
      <c r="G174" s="142" t="s">
        <v>433</v>
      </c>
      <c r="H174" s="133" t="s">
        <v>29</v>
      </c>
      <c r="I174" s="132" t="s">
        <v>434</v>
      </c>
      <c r="J174" s="133">
        <v>6</v>
      </c>
      <c r="K174" s="129">
        <v>1</v>
      </c>
      <c r="L174" s="129">
        <v>5</v>
      </c>
      <c r="M174" s="129" t="s">
        <v>138</v>
      </c>
      <c r="N174" s="129" t="s">
        <v>139</v>
      </c>
      <c r="O174" s="139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40"/>
    </row>
    <row r="175" spans="1:26" x14ac:dyDescent="0.25">
      <c r="A175" s="203">
        <f t="shared" si="6"/>
        <v>174</v>
      </c>
      <c r="B175" s="128" t="s">
        <v>384</v>
      </c>
      <c r="C175" s="274" t="s">
        <v>444</v>
      </c>
      <c r="D175" s="264" t="s">
        <v>445</v>
      </c>
      <c r="E175" s="133" t="s">
        <v>431</v>
      </c>
      <c r="F175" s="141" t="s">
        <v>446</v>
      </c>
      <c r="G175" s="142" t="s">
        <v>433</v>
      </c>
      <c r="H175" s="133" t="s">
        <v>29</v>
      </c>
      <c r="I175" s="132" t="s">
        <v>434</v>
      </c>
      <c r="J175" s="133">
        <v>6</v>
      </c>
      <c r="K175" s="129">
        <v>1</v>
      </c>
      <c r="L175" s="129">
        <v>6</v>
      </c>
      <c r="M175" s="129" t="s">
        <v>138</v>
      </c>
      <c r="N175" s="129" t="s">
        <v>139</v>
      </c>
      <c r="O175" s="139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40"/>
    </row>
    <row r="176" spans="1:26" x14ac:dyDescent="0.25">
      <c r="A176" s="203">
        <f t="shared" si="6"/>
        <v>175</v>
      </c>
      <c r="B176" s="128" t="s">
        <v>384</v>
      </c>
      <c r="C176" s="274" t="s">
        <v>444</v>
      </c>
      <c r="D176" s="264" t="s">
        <v>445</v>
      </c>
      <c r="E176" s="133" t="s">
        <v>431</v>
      </c>
      <c r="F176" s="141" t="s">
        <v>447</v>
      </c>
      <c r="G176" s="142" t="s">
        <v>433</v>
      </c>
      <c r="H176" s="133" t="s">
        <v>29</v>
      </c>
      <c r="I176" s="132" t="s">
        <v>434</v>
      </c>
      <c r="J176" s="133">
        <v>6</v>
      </c>
      <c r="K176" s="129">
        <v>1</v>
      </c>
      <c r="L176" s="129">
        <v>7</v>
      </c>
      <c r="M176" s="129" t="s">
        <v>138</v>
      </c>
      <c r="N176" s="129" t="s">
        <v>139</v>
      </c>
      <c r="O176" s="139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40"/>
    </row>
    <row r="177" spans="1:26" x14ac:dyDescent="0.25">
      <c r="A177" s="203">
        <f t="shared" si="6"/>
        <v>176</v>
      </c>
      <c r="B177" s="128" t="s">
        <v>388</v>
      </c>
      <c r="C177" s="274" t="s">
        <v>397</v>
      </c>
      <c r="D177" s="264" t="s">
        <v>448</v>
      </c>
      <c r="E177" s="133" t="s">
        <v>431</v>
      </c>
      <c r="F177" s="141" t="s">
        <v>449</v>
      </c>
      <c r="G177" s="142" t="s">
        <v>433</v>
      </c>
      <c r="H177" s="133" t="s">
        <v>29</v>
      </c>
      <c r="I177" s="132" t="s">
        <v>434</v>
      </c>
      <c r="J177" s="133">
        <v>6</v>
      </c>
      <c r="K177" s="129">
        <v>2</v>
      </c>
      <c r="L177" s="129">
        <v>0</v>
      </c>
      <c r="M177" s="129" t="s">
        <v>138</v>
      </c>
      <c r="N177" s="129" t="s">
        <v>139</v>
      </c>
      <c r="O177" s="139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40"/>
    </row>
    <row r="178" spans="1:26" x14ac:dyDescent="0.25">
      <c r="A178" s="203">
        <f t="shared" si="6"/>
        <v>177</v>
      </c>
      <c r="B178" s="128" t="s">
        <v>388</v>
      </c>
      <c r="C178" s="274" t="s">
        <v>397</v>
      </c>
      <c r="D178" s="264" t="s">
        <v>448</v>
      </c>
      <c r="E178" s="133" t="s">
        <v>431</v>
      </c>
      <c r="F178" s="141" t="s">
        <v>450</v>
      </c>
      <c r="G178" s="142" t="s">
        <v>433</v>
      </c>
      <c r="H178" s="133" t="s">
        <v>29</v>
      </c>
      <c r="I178" s="132" t="s">
        <v>434</v>
      </c>
      <c r="J178" s="133">
        <v>6</v>
      </c>
      <c r="K178" s="129">
        <v>2</v>
      </c>
      <c r="L178" s="129">
        <v>1</v>
      </c>
      <c r="M178" s="129" t="s">
        <v>138</v>
      </c>
      <c r="N178" s="129" t="s">
        <v>139</v>
      </c>
      <c r="O178" s="139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40"/>
    </row>
    <row r="179" spans="1:26" x14ac:dyDescent="0.25">
      <c r="A179" s="203">
        <f t="shared" si="6"/>
        <v>178</v>
      </c>
      <c r="B179" s="128" t="s">
        <v>392</v>
      </c>
      <c r="C179" s="274" t="s">
        <v>451</v>
      </c>
      <c r="D179" s="264" t="s">
        <v>452</v>
      </c>
      <c r="E179" s="133"/>
      <c r="F179" s="141" t="s">
        <v>453</v>
      </c>
      <c r="G179" s="142" t="s">
        <v>433</v>
      </c>
      <c r="H179" s="133" t="s">
        <v>29</v>
      </c>
      <c r="I179" s="132" t="s">
        <v>434</v>
      </c>
      <c r="J179" s="133">
        <v>6</v>
      </c>
      <c r="K179" s="129">
        <v>2</v>
      </c>
      <c r="L179" s="129">
        <v>2</v>
      </c>
      <c r="M179" s="129" t="s">
        <v>138</v>
      </c>
      <c r="N179" s="129" t="s">
        <v>139</v>
      </c>
      <c r="O179" s="139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43"/>
    </row>
    <row r="180" spans="1:26" x14ac:dyDescent="0.25">
      <c r="A180" s="203">
        <f t="shared" si="6"/>
        <v>179</v>
      </c>
      <c r="B180" s="128" t="s">
        <v>392</v>
      </c>
      <c r="C180" s="274" t="s">
        <v>451</v>
      </c>
      <c r="D180" s="264" t="s">
        <v>452</v>
      </c>
      <c r="E180" s="133"/>
      <c r="F180" s="141" t="s">
        <v>454</v>
      </c>
      <c r="G180" s="142" t="s">
        <v>433</v>
      </c>
      <c r="H180" s="133" t="s">
        <v>29</v>
      </c>
      <c r="I180" s="132" t="s">
        <v>434</v>
      </c>
      <c r="J180" s="133">
        <v>6</v>
      </c>
      <c r="K180" s="129">
        <v>2</v>
      </c>
      <c r="L180" s="129">
        <v>3</v>
      </c>
      <c r="M180" s="129" t="s">
        <v>138</v>
      </c>
      <c r="N180" s="129" t="s">
        <v>139</v>
      </c>
      <c r="O180" s="139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43"/>
    </row>
    <row r="181" spans="1:26" x14ac:dyDescent="0.25">
      <c r="A181" s="203">
        <f t="shared" si="6"/>
        <v>180</v>
      </c>
      <c r="B181" s="128"/>
      <c r="C181" s="274" t="s">
        <v>403</v>
      </c>
      <c r="D181" s="264" t="s">
        <v>455</v>
      </c>
      <c r="E181" s="133" t="s">
        <v>431</v>
      </c>
      <c r="F181" s="141" t="s">
        <v>456</v>
      </c>
      <c r="G181" s="142" t="s">
        <v>433</v>
      </c>
      <c r="H181" s="133" t="s">
        <v>29</v>
      </c>
      <c r="I181" s="132" t="s">
        <v>434</v>
      </c>
      <c r="J181" s="133">
        <v>6</v>
      </c>
      <c r="K181" s="129">
        <v>4</v>
      </c>
      <c r="L181" s="129">
        <v>0</v>
      </c>
      <c r="M181" s="129" t="s">
        <v>31</v>
      </c>
      <c r="N181" s="129" t="s">
        <v>139</v>
      </c>
      <c r="O181" s="139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40"/>
    </row>
    <row r="182" spans="1:26" x14ac:dyDescent="0.25">
      <c r="A182" s="203">
        <f t="shared" si="6"/>
        <v>181</v>
      </c>
      <c r="B182" s="128"/>
      <c r="C182" s="274" t="s">
        <v>406</v>
      </c>
      <c r="D182" s="264" t="s">
        <v>457</v>
      </c>
      <c r="E182" s="133" t="s">
        <v>431</v>
      </c>
      <c r="F182" s="141" t="s">
        <v>458</v>
      </c>
      <c r="G182" s="142" t="s">
        <v>433</v>
      </c>
      <c r="H182" s="133" t="s">
        <v>29</v>
      </c>
      <c r="I182" s="132" t="s">
        <v>434</v>
      </c>
      <c r="J182" s="133">
        <v>6</v>
      </c>
      <c r="K182" s="129">
        <v>4</v>
      </c>
      <c r="L182" s="129">
        <v>1</v>
      </c>
      <c r="M182" s="129" t="s">
        <v>31</v>
      </c>
      <c r="N182" s="129" t="s">
        <v>139</v>
      </c>
      <c r="O182" s="139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40"/>
    </row>
    <row r="183" spans="1:26" x14ac:dyDescent="0.25">
      <c r="A183" s="203">
        <f t="shared" si="6"/>
        <v>182</v>
      </c>
      <c r="B183" s="128" t="s">
        <v>451</v>
      </c>
      <c r="C183" s="274" t="s">
        <v>409</v>
      </c>
      <c r="D183" s="264" t="s">
        <v>459</v>
      </c>
      <c r="E183" s="133" t="s">
        <v>431</v>
      </c>
      <c r="F183" s="141" t="s">
        <v>460</v>
      </c>
      <c r="G183" s="142" t="s">
        <v>433</v>
      </c>
      <c r="H183" s="133" t="s">
        <v>29</v>
      </c>
      <c r="I183" s="132" t="s">
        <v>434</v>
      </c>
      <c r="J183" s="133">
        <v>6</v>
      </c>
      <c r="K183" s="129">
        <v>4</v>
      </c>
      <c r="L183" s="129">
        <v>2</v>
      </c>
      <c r="M183" s="129" t="s">
        <v>31</v>
      </c>
      <c r="N183" s="129" t="s">
        <v>139</v>
      </c>
      <c r="O183" s="139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40"/>
    </row>
    <row r="184" spans="1:26" x14ac:dyDescent="0.25">
      <c r="A184" s="203">
        <f t="shared" si="6"/>
        <v>183</v>
      </c>
      <c r="B184" s="128" t="s">
        <v>451</v>
      </c>
      <c r="C184" s="274" t="s">
        <v>412</v>
      </c>
      <c r="D184" s="264" t="s">
        <v>461</v>
      </c>
      <c r="E184" s="133" t="s">
        <v>431</v>
      </c>
      <c r="F184" s="141" t="s">
        <v>462</v>
      </c>
      <c r="G184" s="142" t="s">
        <v>433</v>
      </c>
      <c r="H184" s="133" t="s">
        <v>29</v>
      </c>
      <c r="I184" s="132" t="s">
        <v>434</v>
      </c>
      <c r="J184" s="133">
        <v>6</v>
      </c>
      <c r="K184" s="129">
        <v>4</v>
      </c>
      <c r="L184" s="129">
        <v>3</v>
      </c>
      <c r="M184" s="129" t="s">
        <v>31</v>
      </c>
      <c r="N184" s="129" t="s">
        <v>139</v>
      </c>
      <c r="O184" s="139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40"/>
    </row>
    <row r="185" spans="1:26" x14ac:dyDescent="0.25">
      <c r="A185" s="203">
        <f t="shared" si="6"/>
        <v>184</v>
      </c>
      <c r="B185" s="128" t="s">
        <v>398</v>
      </c>
      <c r="C185" s="274" t="s">
        <v>415</v>
      </c>
      <c r="D185" s="264" t="s">
        <v>463</v>
      </c>
      <c r="E185" s="133" t="s">
        <v>431</v>
      </c>
      <c r="F185" s="141" t="s">
        <v>464</v>
      </c>
      <c r="G185" s="142" t="s">
        <v>433</v>
      </c>
      <c r="H185" s="133" t="s">
        <v>29</v>
      </c>
      <c r="I185" s="132" t="s">
        <v>434</v>
      </c>
      <c r="J185" s="133">
        <v>6</v>
      </c>
      <c r="K185" s="129">
        <v>4</v>
      </c>
      <c r="L185" s="129">
        <v>4</v>
      </c>
      <c r="M185" s="129" t="s">
        <v>31</v>
      </c>
      <c r="N185" s="129" t="s">
        <v>139</v>
      </c>
      <c r="O185" s="139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40"/>
    </row>
    <row r="186" spans="1:26" x14ac:dyDescent="0.25">
      <c r="A186" s="203">
        <f t="shared" si="6"/>
        <v>185</v>
      </c>
      <c r="B186" s="128" t="s">
        <v>398</v>
      </c>
      <c r="C186" s="274" t="s">
        <v>418</v>
      </c>
      <c r="D186" s="264" t="s">
        <v>465</v>
      </c>
      <c r="E186" s="133" t="s">
        <v>431</v>
      </c>
      <c r="F186" s="141" t="s">
        <v>466</v>
      </c>
      <c r="G186" s="142" t="s">
        <v>433</v>
      </c>
      <c r="H186" s="133" t="s">
        <v>29</v>
      </c>
      <c r="I186" s="132" t="s">
        <v>434</v>
      </c>
      <c r="J186" s="133">
        <v>6</v>
      </c>
      <c r="K186" s="129">
        <v>4</v>
      </c>
      <c r="L186" s="129">
        <v>5</v>
      </c>
      <c r="M186" s="129" t="s">
        <v>31</v>
      </c>
      <c r="N186" s="129" t="s">
        <v>139</v>
      </c>
      <c r="O186" s="139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40"/>
    </row>
    <row r="187" spans="1:26" x14ac:dyDescent="0.25">
      <c r="A187" s="203">
        <f t="shared" si="6"/>
        <v>186</v>
      </c>
      <c r="B187" s="128" t="s">
        <v>403</v>
      </c>
      <c r="C187" s="274" t="s">
        <v>467</v>
      </c>
      <c r="D187" s="264" t="s">
        <v>468</v>
      </c>
      <c r="E187" s="133" t="s">
        <v>431</v>
      </c>
      <c r="F187" s="141" t="s">
        <v>469</v>
      </c>
      <c r="G187" s="142" t="s">
        <v>433</v>
      </c>
      <c r="H187" s="133" t="s">
        <v>29</v>
      </c>
      <c r="I187" s="132" t="s">
        <v>434</v>
      </c>
      <c r="J187" s="133">
        <v>6</v>
      </c>
      <c r="K187" s="129">
        <v>6</v>
      </c>
      <c r="L187" s="129">
        <v>0</v>
      </c>
      <c r="M187" s="129" t="s">
        <v>82</v>
      </c>
      <c r="N187" s="129" t="s">
        <v>32</v>
      </c>
      <c r="O187" s="139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40"/>
    </row>
    <row r="188" spans="1:26" x14ac:dyDescent="0.25">
      <c r="A188" s="203">
        <f t="shared" si="6"/>
        <v>187</v>
      </c>
      <c r="B188" s="128" t="s">
        <v>406</v>
      </c>
      <c r="C188" s="274" t="s">
        <v>470</v>
      </c>
      <c r="D188" s="264" t="s">
        <v>471</v>
      </c>
      <c r="E188" s="133" t="s">
        <v>431</v>
      </c>
      <c r="F188" s="141" t="s">
        <v>472</v>
      </c>
      <c r="G188" s="142" t="s">
        <v>433</v>
      </c>
      <c r="H188" s="133" t="s">
        <v>29</v>
      </c>
      <c r="I188" s="132" t="s">
        <v>434</v>
      </c>
      <c r="J188" s="133">
        <v>6</v>
      </c>
      <c r="K188" s="129">
        <v>6</v>
      </c>
      <c r="L188" s="129">
        <v>1</v>
      </c>
      <c r="M188" s="129" t="s">
        <v>82</v>
      </c>
      <c r="N188" s="129" t="s">
        <v>32</v>
      </c>
      <c r="O188" s="139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40"/>
    </row>
    <row r="189" spans="1:26" x14ac:dyDescent="0.25">
      <c r="A189" s="203">
        <f t="shared" si="6"/>
        <v>188</v>
      </c>
      <c r="B189" s="128" t="s">
        <v>409</v>
      </c>
      <c r="C189" s="274" t="s">
        <v>473</v>
      </c>
      <c r="D189" s="264"/>
      <c r="E189" s="133"/>
      <c r="F189" s="141" t="s">
        <v>474</v>
      </c>
      <c r="G189" s="142" t="s">
        <v>433</v>
      </c>
      <c r="H189" s="133" t="s">
        <v>29</v>
      </c>
      <c r="I189" s="132" t="s">
        <v>434</v>
      </c>
      <c r="J189" s="133">
        <v>6</v>
      </c>
      <c r="K189" s="129">
        <v>6</v>
      </c>
      <c r="L189" s="129">
        <v>2</v>
      </c>
      <c r="M189" s="129" t="s">
        <v>82</v>
      </c>
      <c r="N189" s="129" t="s">
        <v>32</v>
      </c>
      <c r="O189" s="139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40"/>
    </row>
    <row r="190" spans="1:26" x14ac:dyDescent="0.25">
      <c r="A190" s="203">
        <f t="shared" si="6"/>
        <v>189</v>
      </c>
      <c r="B190" s="128" t="s">
        <v>412</v>
      </c>
      <c r="C190" s="274" t="s">
        <v>475</v>
      </c>
      <c r="D190" s="264"/>
      <c r="E190" s="133"/>
      <c r="F190" s="141" t="s">
        <v>476</v>
      </c>
      <c r="G190" s="142" t="s">
        <v>433</v>
      </c>
      <c r="H190" s="133" t="s">
        <v>29</v>
      </c>
      <c r="I190" s="132" t="s">
        <v>434</v>
      </c>
      <c r="J190" s="133">
        <v>6</v>
      </c>
      <c r="K190" s="129">
        <v>6</v>
      </c>
      <c r="L190" s="129">
        <v>3</v>
      </c>
      <c r="M190" s="129" t="s">
        <v>82</v>
      </c>
      <c r="N190" s="129" t="s">
        <v>32</v>
      </c>
      <c r="O190" s="139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40"/>
    </row>
    <row r="191" spans="1:26" x14ac:dyDescent="0.25">
      <c r="A191" s="203">
        <f t="shared" si="6"/>
        <v>190</v>
      </c>
      <c r="B191" s="128"/>
      <c r="C191" s="274" t="s">
        <v>477</v>
      </c>
      <c r="D191" s="264"/>
      <c r="E191" s="133"/>
      <c r="F191" s="141" t="s">
        <v>478</v>
      </c>
      <c r="G191" s="142" t="s">
        <v>433</v>
      </c>
      <c r="H191" s="133" t="s">
        <v>130</v>
      </c>
      <c r="I191" s="131" t="s">
        <v>131</v>
      </c>
      <c r="J191" s="133">
        <v>18</v>
      </c>
      <c r="K191" s="129">
        <v>14</v>
      </c>
      <c r="L191" s="129">
        <v>5</v>
      </c>
      <c r="M191" s="129" t="s">
        <v>82</v>
      </c>
      <c r="N191" s="129" t="s">
        <v>83</v>
      </c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3"/>
    </row>
    <row r="192" spans="1:26" x14ac:dyDescent="0.25">
      <c r="A192" s="203">
        <f t="shared" si="6"/>
        <v>191</v>
      </c>
      <c r="B192" s="128" t="s">
        <v>479</v>
      </c>
      <c r="C192" s="274" t="s">
        <v>479</v>
      </c>
      <c r="D192" s="262" t="s">
        <v>480</v>
      </c>
      <c r="E192" s="128" t="s">
        <v>481</v>
      </c>
      <c r="F192" s="138" t="s">
        <v>482</v>
      </c>
      <c r="G192" s="131" t="s">
        <v>483</v>
      </c>
      <c r="H192" s="128" t="s">
        <v>29</v>
      </c>
      <c r="I192" s="142" t="s">
        <v>246</v>
      </c>
      <c r="J192" s="133">
        <v>7</v>
      </c>
      <c r="K192" s="133">
        <v>2</v>
      </c>
      <c r="L192" s="128">
        <v>2</v>
      </c>
      <c r="M192" s="128" t="s">
        <v>138</v>
      </c>
      <c r="N192" s="128" t="s">
        <v>139</v>
      </c>
      <c r="O192" s="139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40"/>
    </row>
    <row r="193" spans="1:26" x14ac:dyDescent="0.25">
      <c r="A193" s="203">
        <f t="shared" si="6"/>
        <v>192</v>
      </c>
      <c r="B193" s="128" t="s">
        <v>479</v>
      </c>
      <c r="C193" s="274" t="s">
        <v>479</v>
      </c>
      <c r="D193" s="262" t="s">
        <v>480</v>
      </c>
      <c r="E193" s="128" t="s">
        <v>481</v>
      </c>
      <c r="F193" s="138" t="s">
        <v>482</v>
      </c>
      <c r="G193" s="131" t="s">
        <v>483</v>
      </c>
      <c r="H193" s="128" t="s">
        <v>29</v>
      </c>
      <c r="I193" s="142" t="s">
        <v>246</v>
      </c>
      <c r="J193" s="133">
        <v>7</v>
      </c>
      <c r="K193" s="133">
        <v>2</v>
      </c>
      <c r="L193" s="128">
        <v>3</v>
      </c>
      <c r="M193" s="128" t="s">
        <v>138</v>
      </c>
      <c r="N193" s="128" t="s">
        <v>139</v>
      </c>
      <c r="O193" s="139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40"/>
    </row>
    <row r="194" spans="1:26" x14ac:dyDescent="0.25">
      <c r="A194" s="203">
        <f t="shared" si="6"/>
        <v>193</v>
      </c>
      <c r="B194" s="128" t="s">
        <v>484</v>
      </c>
      <c r="C194" s="274" t="s">
        <v>484</v>
      </c>
      <c r="D194" s="262"/>
      <c r="E194" s="128"/>
      <c r="F194" s="138" t="s">
        <v>485</v>
      </c>
      <c r="G194" s="131" t="s">
        <v>483</v>
      </c>
      <c r="H194" s="128" t="s">
        <v>29</v>
      </c>
      <c r="I194" s="142" t="s">
        <v>246</v>
      </c>
      <c r="J194" s="133">
        <v>7</v>
      </c>
      <c r="K194" s="133">
        <v>2</v>
      </c>
      <c r="L194" s="133">
        <v>4</v>
      </c>
      <c r="M194" s="128" t="s">
        <v>138</v>
      </c>
      <c r="N194" s="128" t="s">
        <v>139</v>
      </c>
      <c r="O194" s="139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40"/>
    </row>
    <row r="195" spans="1:26" x14ac:dyDescent="0.25">
      <c r="A195" s="203">
        <f t="shared" si="6"/>
        <v>194</v>
      </c>
      <c r="B195" s="128" t="s">
        <v>484</v>
      </c>
      <c r="C195" s="274" t="s">
        <v>484</v>
      </c>
      <c r="D195" s="262"/>
      <c r="E195" s="128"/>
      <c r="F195" s="138" t="s">
        <v>486</v>
      </c>
      <c r="G195" s="131" t="s">
        <v>483</v>
      </c>
      <c r="H195" s="128" t="s">
        <v>29</v>
      </c>
      <c r="I195" s="142" t="s">
        <v>246</v>
      </c>
      <c r="J195" s="133">
        <v>7</v>
      </c>
      <c r="K195" s="133">
        <v>2</v>
      </c>
      <c r="L195" s="133">
        <v>5</v>
      </c>
      <c r="M195" s="128" t="s">
        <v>138</v>
      </c>
      <c r="N195" s="128" t="s">
        <v>139</v>
      </c>
      <c r="O195" s="139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40"/>
    </row>
    <row r="196" spans="1:26" x14ac:dyDescent="0.25">
      <c r="A196" s="203">
        <f t="shared" si="6"/>
        <v>195</v>
      </c>
      <c r="B196" s="128" t="s">
        <v>487</v>
      </c>
      <c r="C196" s="274" t="s">
        <v>487</v>
      </c>
      <c r="D196" s="262" t="s">
        <v>488</v>
      </c>
      <c r="E196" s="128" t="s">
        <v>489</v>
      </c>
      <c r="F196" s="138" t="s">
        <v>490</v>
      </c>
      <c r="G196" s="131" t="s">
        <v>483</v>
      </c>
      <c r="H196" s="128" t="s">
        <v>29</v>
      </c>
      <c r="I196" s="142" t="s">
        <v>246</v>
      </c>
      <c r="J196" s="133">
        <v>7</v>
      </c>
      <c r="K196" s="133">
        <v>3</v>
      </c>
      <c r="L196" s="128">
        <v>0</v>
      </c>
      <c r="M196" s="128" t="s">
        <v>138</v>
      </c>
      <c r="N196" s="128" t="s">
        <v>139</v>
      </c>
      <c r="O196" s="139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40"/>
    </row>
    <row r="197" spans="1:26" x14ac:dyDescent="0.25">
      <c r="A197" s="203">
        <f t="shared" si="6"/>
        <v>196</v>
      </c>
      <c r="B197" s="128" t="s">
        <v>487</v>
      </c>
      <c r="C197" s="274" t="s">
        <v>487</v>
      </c>
      <c r="D197" s="262" t="s">
        <v>488</v>
      </c>
      <c r="E197" s="128" t="s">
        <v>489</v>
      </c>
      <c r="F197" s="138" t="s">
        <v>491</v>
      </c>
      <c r="G197" s="131" t="s">
        <v>483</v>
      </c>
      <c r="H197" s="128" t="s">
        <v>29</v>
      </c>
      <c r="I197" s="142" t="s">
        <v>246</v>
      </c>
      <c r="J197" s="133">
        <v>7</v>
      </c>
      <c r="K197" s="133">
        <v>3</v>
      </c>
      <c r="L197" s="128">
        <v>1</v>
      </c>
      <c r="M197" s="128" t="s">
        <v>138</v>
      </c>
      <c r="N197" s="128" t="s">
        <v>139</v>
      </c>
      <c r="O197" s="139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40"/>
    </row>
    <row r="198" spans="1:26" x14ac:dyDescent="0.25">
      <c r="A198" s="203">
        <f t="shared" si="6"/>
        <v>197</v>
      </c>
      <c r="B198" s="128" t="s">
        <v>492</v>
      </c>
      <c r="C198" s="274" t="s">
        <v>492</v>
      </c>
      <c r="D198" s="262" t="s">
        <v>493</v>
      </c>
      <c r="E198" s="128" t="s">
        <v>489</v>
      </c>
      <c r="F198" s="138" t="s">
        <v>494</v>
      </c>
      <c r="G198" s="131" t="s">
        <v>483</v>
      </c>
      <c r="H198" s="128" t="s">
        <v>29</v>
      </c>
      <c r="I198" s="142" t="s">
        <v>246</v>
      </c>
      <c r="J198" s="133">
        <v>7</v>
      </c>
      <c r="K198" s="133">
        <v>3</v>
      </c>
      <c r="L198" s="133">
        <v>2</v>
      </c>
      <c r="M198" s="128" t="s">
        <v>138</v>
      </c>
      <c r="N198" s="128" t="s">
        <v>139</v>
      </c>
      <c r="O198" s="139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40"/>
    </row>
    <row r="199" spans="1:26" x14ac:dyDescent="0.25">
      <c r="A199" s="203">
        <f t="shared" si="6"/>
        <v>198</v>
      </c>
      <c r="B199" s="128" t="s">
        <v>492</v>
      </c>
      <c r="C199" s="274" t="s">
        <v>492</v>
      </c>
      <c r="D199" s="262" t="s">
        <v>493</v>
      </c>
      <c r="E199" s="128" t="s">
        <v>489</v>
      </c>
      <c r="F199" s="138" t="s">
        <v>495</v>
      </c>
      <c r="G199" s="131" t="s">
        <v>483</v>
      </c>
      <c r="H199" s="128" t="s">
        <v>29</v>
      </c>
      <c r="I199" s="142" t="s">
        <v>246</v>
      </c>
      <c r="J199" s="133">
        <v>7</v>
      </c>
      <c r="K199" s="133">
        <v>3</v>
      </c>
      <c r="L199" s="133">
        <v>3</v>
      </c>
      <c r="M199" s="128" t="s">
        <v>138</v>
      </c>
      <c r="N199" s="128" t="s">
        <v>139</v>
      </c>
      <c r="O199" s="139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40"/>
    </row>
    <row r="200" spans="1:26" x14ac:dyDescent="0.25">
      <c r="A200" s="203">
        <f t="shared" si="6"/>
        <v>199</v>
      </c>
      <c r="B200" s="128" t="s">
        <v>496</v>
      </c>
      <c r="C200" s="274" t="s">
        <v>496</v>
      </c>
      <c r="D200" s="262" t="s">
        <v>497</v>
      </c>
      <c r="E200" s="128" t="s">
        <v>489</v>
      </c>
      <c r="F200" s="138" t="s">
        <v>498</v>
      </c>
      <c r="G200" s="131" t="s">
        <v>483</v>
      </c>
      <c r="H200" s="128" t="s">
        <v>29</v>
      </c>
      <c r="I200" s="142" t="s">
        <v>246</v>
      </c>
      <c r="J200" s="133">
        <v>7</v>
      </c>
      <c r="K200" s="133">
        <v>3</v>
      </c>
      <c r="L200" s="133">
        <v>4</v>
      </c>
      <c r="M200" s="128" t="s">
        <v>138</v>
      </c>
      <c r="N200" s="128" t="s">
        <v>139</v>
      </c>
      <c r="O200" s="139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40"/>
    </row>
    <row r="201" spans="1:26" x14ac:dyDescent="0.25">
      <c r="A201" s="203">
        <f t="shared" si="6"/>
        <v>200</v>
      </c>
      <c r="B201" s="128" t="s">
        <v>496</v>
      </c>
      <c r="C201" s="274" t="s">
        <v>496</v>
      </c>
      <c r="D201" s="262" t="s">
        <v>497</v>
      </c>
      <c r="E201" s="128" t="s">
        <v>489</v>
      </c>
      <c r="F201" s="138" t="s">
        <v>499</v>
      </c>
      <c r="G201" s="131" t="s">
        <v>483</v>
      </c>
      <c r="H201" s="128" t="s">
        <v>29</v>
      </c>
      <c r="I201" s="142" t="s">
        <v>246</v>
      </c>
      <c r="J201" s="133">
        <v>7</v>
      </c>
      <c r="K201" s="133">
        <v>3</v>
      </c>
      <c r="L201" s="133">
        <v>5</v>
      </c>
      <c r="M201" s="128" t="s">
        <v>138</v>
      </c>
      <c r="N201" s="128" t="s">
        <v>139</v>
      </c>
      <c r="O201" s="139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40"/>
    </row>
    <row r="202" spans="1:26" x14ac:dyDescent="0.25">
      <c r="A202" s="203">
        <f t="shared" si="6"/>
        <v>201</v>
      </c>
      <c r="B202" s="128" t="s">
        <v>500</v>
      </c>
      <c r="C202" s="274" t="s">
        <v>500</v>
      </c>
      <c r="D202" s="262" t="s">
        <v>501</v>
      </c>
      <c r="E202" s="128" t="s">
        <v>489</v>
      </c>
      <c r="F202" s="138" t="s">
        <v>502</v>
      </c>
      <c r="G202" s="131" t="s">
        <v>483</v>
      </c>
      <c r="H202" s="128" t="s">
        <v>29</v>
      </c>
      <c r="I202" s="142" t="s">
        <v>246</v>
      </c>
      <c r="J202" s="133">
        <v>7</v>
      </c>
      <c r="K202" s="133">
        <v>3</v>
      </c>
      <c r="L202" s="133">
        <v>6</v>
      </c>
      <c r="M202" s="128" t="s">
        <v>138</v>
      </c>
      <c r="N202" s="128" t="s">
        <v>139</v>
      </c>
      <c r="O202" s="139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40"/>
    </row>
    <row r="203" spans="1:26" x14ac:dyDescent="0.25">
      <c r="A203" s="203">
        <f t="shared" si="6"/>
        <v>202</v>
      </c>
      <c r="B203" s="128" t="s">
        <v>500</v>
      </c>
      <c r="C203" s="274" t="s">
        <v>500</v>
      </c>
      <c r="D203" s="262" t="s">
        <v>501</v>
      </c>
      <c r="E203" s="128" t="s">
        <v>489</v>
      </c>
      <c r="F203" s="138" t="s">
        <v>503</v>
      </c>
      <c r="G203" s="131" t="s">
        <v>483</v>
      </c>
      <c r="H203" s="128" t="s">
        <v>29</v>
      </c>
      <c r="I203" s="142" t="s">
        <v>246</v>
      </c>
      <c r="J203" s="133">
        <v>7</v>
      </c>
      <c r="K203" s="133">
        <v>3</v>
      </c>
      <c r="L203" s="133">
        <v>7</v>
      </c>
      <c r="M203" s="128" t="s">
        <v>138</v>
      </c>
      <c r="N203" s="128" t="s">
        <v>139</v>
      </c>
      <c r="O203" s="139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40"/>
    </row>
    <row r="204" spans="1:26" x14ac:dyDescent="0.25">
      <c r="A204" s="203">
        <f t="shared" si="6"/>
        <v>203</v>
      </c>
      <c r="B204" s="128" t="s">
        <v>504</v>
      </c>
      <c r="C204" s="274" t="s">
        <v>504</v>
      </c>
      <c r="D204" s="278"/>
      <c r="E204" s="133" t="s">
        <v>489</v>
      </c>
      <c r="F204" s="141" t="s">
        <v>505</v>
      </c>
      <c r="G204" s="131" t="s">
        <v>483</v>
      </c>
      <c r="H204" s="128" t="s">
        <v>29</v>
      </c>
      <c r="I204" s="142" t="s">
        <v>246</v>
      </c>
      <c r="J204" s="133">
        <v>7</v>
      </c>
      <c r="K204" s="133">
        <v>6</v>
      </c>
      <c r="L204" s="133">
        <v>0</v>
      </c>
      <c r="M204" s="128" t="s">
        <v>31</v>
      </c>
      <c r="N204" s="128" t="s">
        <v>32</v>
      </c>
      <c r="O204" s="139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40"/>
    </row>
    <row r="205" spans="1:26" x14ac:dyDescent="0.25">
      <c r="A205" s="203">
        <f t="shared" si="6"/>
        <v>204</v>
      </c>
      <c r="B205" s="128" t="s">
        <v>506</v>
      </c>
      <c r="C205" s="274" t="s">
        <v>506</v>
      </c>
      <c r="D205" s="262" t="s">
        <v>507</v>
      </c>
      <c r="E205" s="128" t="s">
        <v>489</v>
      </c>
      <c r="F205" s="138" t="s">
        <v>508</v>
      </c>
      <c r="G205" s="131" t="s">
        <v>483</v>
      </c>
      <c r="H205" s="128" t="s">
        <v>29</v>
      </c>
      <c r="I205" s="142" t="s">
        <v>246</v>
      </c>
      <c r="J205" s="133">
        <v>7</v>
      </c>
      <c r="K205" s="133">
        <v>6</v>
      </c>
      <c r="L205" s="133">
        <v>1</v>
      </c>
      <c r="M205" s="128" t="s">
        <v>31</v>
      </c>
      <c r="N205" s="128" t="s">
        <v>32</v>
      </c>
      <c r="O205" s="139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40"/>
    </row>
    <row r="206" spans="1:26" x14ac:dyDescent="0.25">
      <c r="A206" s="203">
        <f t="shared" si="6"/>
        <v>205</v>
      </c>
      <c r="B206" s="128" t="s">
        <v>509</v>
      </c>
      <c r="C206" s="274" t="s">
        <v>509</v>
      </c>
      <c r="D206" s="262" t="s">
        <v>510</v>
      </c>
      <c r="E206" s="128" t="s">
        <v>489</v>
      </c>
      <c r="F206" s="141" t="s">
        <v>511</v>
      </c>
      <c r="G206" s="131" t="s">
        <v>483</v>
      </c>
      <c r="H206" s="128" t="s">
        <v>29</v>
      </c>
      <c r="I206" s="142" t="s">
        <v>246</v>
      </c>
      <c r="J206" s="133">
        <v>7</v>
      </c>
      <c r="K206" s="133">
        <v>6</v>
      </c>
      <c r="L206" s="133">
        <v>2</v>
      </c>
      <c r="M206" s="128" t="s">
        <v>31</v>
      </c>
      <c r="N206" s="128" t="s">
        <v>32</v>
      </c>
      <c r="O206" s="139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40"/>
    </row>
    <row r="207" spans="1:26" x14ac:dyDescent="0.25">
      <c r="A207" s="203">
        <f t="shared" si="6"/>
        <v>206</v>
      </c>
      <c r="B207" s="128" t="s">
        <v>512</v>
      </c>
      <c r="C207" s="274" t="s">
        <v>512</v>
      </c>
      <c r="D207" s="262" t="s">
        <v>513</v>
      </c>
      <c r="E207" s="128" t="s">
        <v>489</v>
      </c>
      <c r="F207" s="144" t="s">
        <v>514</v>
      </c>
      <c r="G207" s="131" t="s">
        <v>483</v>
      </c>
      <c r="H207" s="128" t="s">
        <v>29</v>
      </c>
      <c r="I207" s="142" t="s">
        <v>246</v>
      </c>
      <c r="J207" s="133">
        <v>7</v>
      </c>
      <c r="K207" s="133">
        <v>6</v>
      </c>
      <c r="L207" s="133">
        <v>3</v>
      </c>
      <c r="M207" s="128" t="s">
        <v>31</v>
      </c>
      <c r="N207" s="128" t="s">
        <v>32</v>
      </c>
      <c r="O207" s="139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40"/>
    </row>
    <row r="208" spans="1:26" x14ac:dyDescent="0.25">
      <c r="A208" s="203">
        <f t="shared" si="6"/>
        <v>207</v>
      </c>
      <c r="B208" s="128" t="s">
        <v>515</v>
      </c>
      <c r="C208" s="274" t="s">
        <v>515</v>
      </c>
      <c r="D208" s="262" t="s">
        <v>516</v>
      </c>
      <c r="E208" s="128" t="s">
        <v>489</v>
      </c>
      <c r="F208" s="138" t="s">
        <v>517</v>
      </c>
      <c r="G208" s="131" t="s">
        <v>483</v>
      </c>
      <c r="H208" s="128" t="s">
        <v>29</v>
      </c>
      <c r="I208" s="142" t="s">
        <v>246</v>
      </c>
      <c r="J208" s="133">
        <v>7</v>
      </c>
      <c r="K208" s="133">
        <v>6</v>
      </c>
      <c r="L208" s="128">
        <v>4</v>
      </c>
      <c r="M208" s="128" t="s">
        <v>31</v>
      </c>
      <c r="N208" s="128" t="s">
        <v>32</v>
      </c>
      <c r="O208" s="139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40"/>
    </row>
    <row r="209" spans="1:26" x14ac:dyDescent="0.25">
      <c r="A209" s="203">
        <f t="shared" si="6"/>
        <v>208</v>
      </c>
      <c r="B209" s="128" t="s">
        <v>518</v>
      </c>
      <c r="C209" s="274" t="s">
        <v>518</v>
      </c>
      <c r="D209" s="262" t="s">
        <v>519</v>
      </c>
      <c r="E209" s="128" t="s">
        <v>489</v>
      </c>
      <c r="F209" s="144" t="s">
        <v>520</v>
      </c>
      <c r="G209" s="131" t="s">
        <v>483</v>
      </c>
      <c r="H209" s="128" t="s">
        <v>29</v>
      </c>
      <c r="I209" s="142" t="s">
        <v>246</v>
      </c>
      <c r="J209" s="133">
        <v>7</v>
      </c>
      <c r="K209" s="133">
        <v>6</v>
      </c>
      <c r="L209" s="128">
        <v>5</v>
      </c>
      <c r="M209" s="128" t="s">
        <v>31</v>
      </c>
      <c r="N209" s="128" t="s">
        <v>32</v>
      </c>
      <c r="O209" s="139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40" t="s">
        <v>521</v>
      </c>
    </row>
    <row r="210" spans="1:26" x14ac:dyDescent="0.25">
      <c r="A210" s="203">
        <f t="shared" si="6"/>
        <v>209</v>
      </c>
      <c r="B210" s="128" t="s">
        <v>522</v>
      </c>
      <c r="C210" s="263" t="s">
        <v>522</v>
      </c>
      <c r="D210" s="262"/>
      <c r="E210" s="128"/>
      <c r="F210" s="138" t="s">
        <v>523</v>
      </c>
      <c r="G210" s="129" t="s">
        <v>483</v>
      </c>
      <c r="H210" s="128" t="s">
        <v>29</v>
      </c>
      <c r="I210" s="142" t="s">
        <v>246</v>
      </c>
      <c r="J210" s="133">
        <v>7</v>
      </c>
      <c r="K210" s="133">
        <v>6</v>
      </c>
      <c r="L210" s="128">
        <v>6</v>
      </c>
      <c r="M210" s="128" t="s">
        <v>31</v>
      </c>
      <c r="N210" s="128" t="s">
        <v>32</v>
      </c>
      <c r="O210" s="139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40"/>
    </row>
    <row r="211" spans="1:26" x14ac:dyDescent="0.25">
      <c r="A211" s="203">
        <f t="shared" si="6"/>
        <v>210</v>
      </c>
      <c r="B211" s="128" t="s">
        <v>524</v>
      </c>
      <c r="C211" s="263" t="s">
        <v>524</v>
      </c>
      <c r="D211" s="262"/>
      <c r="E211" s="128"/>
      <c r="F211" s="138" t="s">
        <v>525</v>
      </c>
      <c r="G211" s="129" t="s">
        <v>483</v>
      </c>
      <c r="H211" s="128" t="s">
        <v>29</v>
      </c>
      <c r="I211" s="142" t="s">
        <v>246</v>
      </c>
      <c r="J211" s="133">
        <v>7</v>
      </c>
      <c r="K211" s="133">
        <v>6</v>
      </c>
      <c r="L211" s="128">
        <v>7</v>
      </c>
      <c r="M211" s="128" t="s">
        <v>31</v>
      </c>
      <c r="N211" s="128" t="s">
        <v>32</v>
      </c>
      <c r="O211" s="139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40"/>
    </row>
    <row r="212" spans="1:26" x14ac:dyDescent="0.25">
      <c r="A212" s="203">
        <f t="shared" si="6"/>
        <v>211</v>
      </c>
      <c r="B212" s="128" t="s">
        <v>526</v>
      </c>
      <c r="C212" s="274" t="s">
        <v>526</v>
      </c>
      <c r="D212" s="262" t="s">
        <v>527</v>
      </c>
      <c r="E212" s="128" t="s">
        <v>489</v>
      </c>
      <c r="F212" s="138" t="s">
        <v>528</v>
      </c>
      <c r="G212" s="131" t="s">
        <v>483</v>
      </c>
      <c r="H212" s="128" t="s">
        <v>29</v>
      </c>
      <c r="I212" s="142" t="s">
        <v>246</v>
      </c>
      <c r="J212" s="133">
        <v>7</v>
      </c>
      <c r="K212" s="129">
        <v>7</v>
      </c>
      <c r="L212" s="129">
        <v>2</v>
      </c>
      <c r="M212" s="129" t="s">
        <v>82</v>
      </c>
      <c r="N212" s="129" t="s">
        <v>83</v>
      </c>
      <c r="O212" s="139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40"/>
    </row>
    <row r="213" spans="1:26" x14ac:dyDescent="0.25">
      <c r="A213" s="203">
        <f t="shared" si="6"/>
        <v>212</v>
      </c>
      <c r="B213" s="128" t="s">
        <v>529</v>
      </c>
      <c r="C213" s="274" t="s">
        <v>529</v>
      </c>
      <c r="D213" s="262" t="s">
        <v>530</v>
      </c>
      <c r="E213" s="128" t="s">
        <v>489</v>
      </c>
      <c r="F213" s="138" t="s">
        <v>531</v>
      </c>
      <c r="G213" s="131" t="s">
        <v>483</v>
      </c>
      <c r="H213" s="128" t="s">
        <v>29</v>
      </c>
      <c r="I213" s="142" t="s">
        <v>246</v>
      </c>
      <c r="J213" s="133">
        <v>7</v>
      </c>
      <c r="K213" s="129">
        <v>7</v>
      </c>
      <c r="L213" s="129">
        <v>3</v>
      </c>
      <c r="M213" s="129" t="s">
        <v>82</v>
      </c>
      <c r="N213" s="129" t="s">
        <v>83</v>
      </c>
      <c r="O213" s="139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40"/>
    </row>
    <row r="214" spans="1:26" x14ac:dyDescent="0.25">
      <c r="A214" s="203">
        <f t="shared" si="6"/>
        <v>213</v>
      </c>
      <c r="B214" s="133"/>
      <c r="C214" s="274" t="s">
        <v>532</v>
      </c>
      <c r="D214" s="264"/>
      <c r="E214" s="133"/>
      <c r="F214" s="141" t="s">
        <v>533</v>
      </c>
      <c r="G214" s="142" t="s">
        <v>483</v>
      </c>
      <c r="H214" s="133" t="s">
        <v>29</v>
      </c>
      <c r="I214" s="142" t="s">
        <v>246</v>
      </c>
      <c r="J214" s="133">
        <v>7</v>
      </c>
      <c r="K214" s="129">
        <v>7</v>
      </c>
      <c r="L214" s="129">
        <v>4</v>
      </c>
      <c r="M214" s="129" t="s">
        <v>82</v>
      </c>
      <c r="N214" s="129" t="s">
        <v>83</v>
      </c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3"/>
    </row>
    <row r="215" spans="1:26" x14ac:dyDescent="0.25">
      <c r="A215" s="203">
        <f t="shared" si="6"/>
        <v>214</v>
      </c>
      <c r="B215" s="128"/>
      <c r="C215" s="274" t="s">
        <v>534</v>
      </c>
      <c r="D215" s="264"/>
      <c r="E215" s="133"/>
      <c r="F215" s="141" t="s">
        <v>535</v>
      </c>
      <c r="G215" s="142" t="s">
        <v>483</v>
      </c>
      <c r="H215" s="133" t="s">
        <v>130</v>
      </c>
      <c r="I215" s="131" t="s">
        <v>131</v>
      </c>
      <c r="J215" s="133">
        <v>18</v>
      </c>
      <c r="K215" s="129">
        <v>14</v>
      </c>
      <c r="L215" s="129">
        <v>4</v>
      </c>
      <c r="M215" s="129" t="s">
        <v>82</v>
      </c>
      <c r="N215" s="129" t="s">
        <v>83</v>
      </c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3"/>
    </row>
    <row r="216" spans="1:26" x14ac:dyDescent="0.25">
      <c r="A216" s="203">
        <f t="shared" si="6"/>
        <v>215</v>
      </c>
      <c r="B216" s="128"/>
      <c r="C216" s="274" t="s">
        <v>536</v>
      </c>
      <c r="D216" s="264"/>
      <c r="E216" s="133"/>
      <c r="F216" s="141" t="s">
        <v>537</v>
      </c>
      <c r="G216" s="142" t="s">
        <v>483</v>
      </c>
      <c r="H216" s="133" t="s">
        <v>130</v>
      </c>
      <c r="I216" s="131" t="s">
        <v>131</v>
      </c>
      <c r="J216" s="133">
        <v>18</v>
      </c>
      <c r="K216" s="129">
        <v>14</v>
      </c>
      <c r="L216" s="129">
        <v>6</v>
      </c>
      <c r="M216" s="129" t="s">
        <v>82</v>
      </c>
      <c r="N216" s="129" t="s">
        <v>83</v>
      </c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3"/>
    </row>
    <row r="217" spans="1:26" x14ac:dyDescent="0.25">
      <c r="A217" s="203">
        <f t="shared" si="6"/>
        <v>216</v>
      </c>
      <c r="B217" s="128" t="s">
        <v>538</v>
      </c>
      <c r="C217" s="274" t="s">
        <v>538</v>
      </c>
      <c r="D217" s="262"/>
      <c r="E217" s="128"/>
      <c r="F217" s="138" t="s">
        <v>539</v>
      </c>
      <c r="G217" s="131" t="s">
        <v>540</v>
      </c>
      <c r="H217" s="128" t="s">
        <v>29</v>
      </c>
      <c r="I217" s="132" t="s">
        <v>115</v>
      </c>
      <c r="J217" s="133">
        <v>11</v>
      </c>
      <c r="K217" s="129">
        <v>1</v>
      </c>
      <c r="L217" s="129">
        <v>0</v>
      </c>
      <c r="M217" s="129" t="s">
        <v>138</v>
      </c>
      <c r="N217" s="129" t="s">
        <v>139</v>
      </c>
      <c r="O217" s="139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40"/>
    </row>
    <row r="218" spans="1:26" x14ac:dyDescent="0.25">
      <c r="A218" s="203">
        <f t="shared" si="6"/>
        <v>217</v>
      </c>
      <c r="B218" s="128" t="s">
        <v>538</v>
      </c>
      <c r="C218" s="274" t="s">
        <v>538</v>
      </c>
      <c r="D218" s="262"/>
      <c r="E218" s="128"/>
      <c r="F218" s="138" t="s">
        <v>541</v>
      </c>
      <c r="G218" s="131" t="s">
        <v>540</v>
      </c>
      <c r="H218" s="128" t="s">
        <v>29</v>
      </c>
      <c r="I218" s="132" t="s">
        <v>115</v>
      </c>
      <c r="J218" s="133">
        <v>11</v>
      </c>
      <c r="K218" s="129">
        <v>1</v>
      </c>
      <c r="L218" s="129">
        <v>1</v>
      </c>
      <c r="M218" s="129" t="s">
        <v>138</v>
      </c>
      <c r="N218" s="129" t="s">
        <v>139</v>
      </c>
      <c r="O218" s="139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40"/>
    </row>
    <row r="219" spans="1:26" x14ac:dyDescent="0.25">
      <c r="A219" s="203">
        <f t="shared" si="6"/>
        <v>218</v>
      </c>
      <c r="B219" s="128" t="s">
        <v>542</v>
      </c>
      <c r="C219" s="274" t="s">
        <v>542</v>
      </c>
      <c r="D219" s="262" t="s">
        <v>543</v>
      </c>
      <c r="E219" s="128"/>
      <c r="F219" s="138" t="s">
        <v>544</v>
      </c>
      <c r="G219" s="131" t="s">
        <v>540</v>
      </c>
      <c r="H219" s="128" t="s">
        <v>29</v>
      </c>
      <c r="I219" s="132" t="s">
        <v>115</v>
      </c>
      <c r="J219" s="133">
        <v>11</v>
      </c>
      <c r="K219" s="129">
        <v>1</v>
      </c>
      <c r="L219" s="129">
        <v>2</v>
      </c>
      <c r="M219" s="129" t="s">
        <v>138</v>
      </c>
      <c r="N219" s="129" t="s">
        <v>139</v>
      </c>
      <c r="O219" s="139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40"/>
    </row>
    <row r="220" spans="1:26" x14ac:dyDescent="0.25">
      <c r="A220" s="203">
        <f t="shared" si="6"/>
        <v>219</v>
      </c>
      <c r="B220" s="128" t="s">
        <v>542</v>
      </c>
      <c r="C220" s="274" t="s">
        <v>542</v>
      </c>
      <c r="D220" s="262" t="s">
        <v>543</v>
      </c>
      <c r="E220" s="128"/>
      <c r="F220" s="138" t="s">
        <v>545</v>
      </c>
      <c r="G220" s="131" t="s">
        <v>540</v>
      </c>
      <c r="H220" s="128" t="s">
        <v>29</v>
      </c>
      <c r="I220" s="132" t="s">
        <v>115</v>
      </c>
      <c r="J220" s="133">
        <v>11</v>
      </c>
      <c r="K220" s="129">
        <v>1</v>
      </c>
      <c r="L220" s="129">
        <v>3</v>
      </c>
      <c r="M220" s="129" t="s">
        <v>138</v>
      </c>
      <c r="N220" s="129" t="s">
        <v>139</v>
      </c>
      <c r="O220" s="139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40"/>
    </row>
    <row r="221" spans="1:26" x14ac:dyDescent="0.25">
      <c r="A221" s="203">
        <f t="shared" si="6"/>
        <v>220</v>
      </c>
      <c r="B221" s="128" t="s">
        <v>546</v>
      </c>
      <c r="C221" s="274" t="s">
        <v>546</v>
      </c>
      <c r="D221" s="262" t="s">
        <v>547</v>
      </c>
      <c r="E221" s="128"/>
      <c r="F221" s="138" t="s">
        <v>548</v>
      </c>
      <c r="G221" s="131" t="s">
        <v>540</v>
      </c>
      <c r="H221" s="128" t="s">
        <v>29</v>
      </c>
      <c r="I221" s="132" t="s">
        <v>115</v>
      </c>
      <c r="J221" s="133">
        <v>11</v>
      </c>
      <c r="K221" s="129">
        <v>1</v>
      </c>
      <c r="L221" s="129">
        <v>4</v>
      </c>
      <c r="M221" s="129" t="s">
        <v>138</v>
      </c>
      <c r="N221" s="129" t="s">
        <v>139</v>
      </c>
      <c r="O221" s="139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40"/>
    </row>
    <row r="222" spans="1:26" x14ac:dyDescent="0.25">
      <c r="A222" s="203">
        <f t="shared" si="6"/>
        <v>221</v>
      </c>
      <c r="B222" s="128" t="s">
        <v>546</v>
      </c>
      <c r="C222" s="274" t="s">
        <v>546</v>
      </c>
      <c r="D222" s="262" t="s">
        <v>547</v>
      </c>
      <c r="E222" s="128"/>
      <c r="F222" s="138" t="s">
        <v>549</v>
      </c>
      <c r="G222" s="131" t="s">
        <v>540</v>
      </c>
      <c r="H222" s="128" t="s">
        <v>29</v>
      </c>
      <c r="I222" s="132" t="s">
        <v>115</v>
      </c>
      <c r="J222" s="133">
        <v>11</v>
      </c>
      <c r="K222" s="129">
        <v>1</v>
      </c>
      <c r="L222" s="129">
        <v>5</v>
      </c>
      <c r="M222" s="129" t="s">
        <v>138</v>
      </c>
      <c r="N222" s="129" t="s">
        <v>139</v>
      </c>
      <c r="O222" s="139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40"/>
    </row>
    <row r="223" spans="1:26" x14ac:dyDescent="0.25">
      <c r="A223" s="203">
        <f t="shared" si="6"/>
        <v>222</v>
      </c>
      <c r="B223" s="128" t="s">
        <v>550</v>
      </c>
      <c r="C223" s="274" t="s">
        <v>550</v>
      </c>
      <c r="D223" s="262"/>
      <c r="E223" s="128"/>
      <c r="F223" s="138" t="s">
        <v>551</v>
      </c>
      <c r="G223" s="131" t="s">
        <v>540</v>
      </c>
      <c r="H223" s="128" t="s">
        <v>29</v>
      </c>
      <c r="I223" s="132" t="s">
        <v>115</v>
      </c>
      <c r="J223" s="133">
        <v>11</v>
      </c>
      <c r="K223" s="129">
        <v>3</v>
      </c>
      <c r="L223" s="129">
        <v>0</v>
      </c>
      <c r="M223" s="129" t="s">
        <v>31</v>
      </c>
      <c r="N223" s="129" t="s">
        <v>32</v>
      </c>
      <c r="O223" s="139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40"/>
    </row>
    <row r="224" spans="1:26" x14ac:dyDescent="0.25">
      <c r="A224" s="203">
        <f t="shared" si="6"/>
        <v>223</v>
      </c>
      <c r="B224" s="128" t="s">
        <v>552</v>
      </c>
      <c r="C224" s="274" t="s">
        <v>552</v>
      </c>
      <c r="D224" s="262"/>
      <c r="E224" s="128"/>
      <c r="F224" s="138" t="s">
        <v>553</v>
      </c>
      <c r="G224" s="131" t="s">
        <v>540</v>
      </c>
      <c r="H224" s="128" t="s">
        <v>29</v>
      </c>
      <c r="I224" s="132" t="s">
        <v>115</v>
      </c>
      <c r="J224" s="133">
        <v>11</v>
      </c>
      <c r="K224" s="129">
        <v>3</v>
      </c>
      <c r="L224" s="129">
        <v>1</v>
      </c>
      <c r="M224" s="129" t="s">
        <v>31</v>
      </c>
      <c r="N224" s="129" t="s">
        <v>32</v>
      </c>
      <c r="O224" s="139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40"/>
    </row>
    <row r="225" spans="1:26" x14ac:dyDescent="0.25">
      <c r="A225" s="203">
        <f t="shared" si="6"/>
        <v>224</v>
      </c>
      <c r="B225" s="128" t="s">
        <v>554</v>
      </c>
      <c r="C225" s="274" t="s">
        <v>554</v>
      </c>
      <c r="D225" s="262"/>
      <c r="E225" s="128"/>
      <c r="F225" s="138" t="s">
        <v>555</v>
      </c>
      <c r="G225" s="131" t="s">
        <v>540</v>
      </c>
      <c r="H225" s="128" t="s">
        <v>29</v>
      </c>
      <c r="I225" s="132" t="s">
        <v>115</v>
      </c>
      <c r="J225" s="133">
        <v>11</v>
      </c>
      <c r="K225" s="129">
        <v>3</v>
      </c>
      <c r="L225" s="129">
        <v>2</v>
      </c>
      <c r="M225" s="129" t="s">
        <v>31</v>
      </c>
      <c r="N225" s="129" t="s">
        <v>32</v>
      </c>
      <c r="O225" s="139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40"/>
    </row>
    <row r="226" spans="1:26" x14ac:dyDescent="0.25">
      <c r="A226" s="203">
        <f t="shared" si="6"/>
        <v>225</v>
      </c>
      <c r="B226" s="128" t="s">
        <v>556</v>
      </c>
      <c r="C226" s="274" t="s">
        <v>556</v>
      </c>
      <c r="D226" s="262"/>
      <c r="E226" s="128"/>
      <c r="F226" s="138" t="s">
        <v>557</v>
      </c>
      <c r="G226" s="131" t="s">
        <v>540</v>
      </c>
      <c r="H226" s="128" t="s">
        <v>29</v>
      </c>
      <c r="I226" s="132" t="s">
        <v>115</v>
      </c>
      <c r="J226" s="133">
        <v>11</v>
      </c>
      <c r="K226" s="129">
        <v>3</v>
      </c>
      <c r="L226" s="129">
        <v>3</v>
      </c>
      <c r="M226" s="129" t="s">
        <v>31</v>
      </c>
      <c r="N226" s="129" t="s">
        <v>32</v>
      </c>
      <c r="O226" s="139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40"/>
    </row>
    <row r="227" spans="1:26" x14ac:dyDescent="0.25">
      <c r="A227" s="203">
        <f t="shared" si="6"/>
        <v>226</v>
      </c>
      <c r="B227" s="128" t="s">
        <v>558</v>
      </c>
      <c r="C227" s="274" t="s">
        <v>558</v>
      </c>
      <c r="D227" s="262"/>
      <c r="E227" s="128"/>
      <c r="F227" s="138" t="s">
        <v>559</v>
      </c>
      <c r="G227" s="131" t="s">
        <v>540</v>
      </c>
      <c r="H227" s="128" t="s">
        <v>29</v>
      </c>
      <c r="I227" s="132" t="s">
        <v>115</v>
      </c>
      <c r="J227" s="133">
        <v>11</v>
      </c>
      <c r="K227" s="129">
        <v>3</v>
      </c>
      <c r="L227" s="129">
        <v>4</v>
      </c>
      <c r="M227" s="129" t="s">
        <v>31</v>
      </c>
      <c r="N227" s="129" t="s">
        <v>32</v>
      </c>
      <c r="O227" s="139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40"/>
    </row>
    <row r="228" spans="1:26" x14ac:dyDescent="0.25">
      <c r="A228" s="203">
        <f t="shared" si="6"/>
        <v>227</v>
      </c>
      <c r="B228" s="128" t="s">
        <v>560</v>
      </c>
      <c r="C228" s="274" t="s">
        <v>560</v>
      </c>
      <c r="D228" s="262"/>
      <c r="E228" s="128"/>
      <c r="F228" s="138" t="s">
        <v>561</v>
      </c>
      <c r="G228" s="131" t="s">
        <v>540</v>
      </c>
      <c r="H228" s="128" t="s">
        <v>29</v>
      </c>
      <c r="I228" s="132" t="s">
        <v>115</v>
      </c>
      <c r="J228" s="133">
        <v>11</v>
      </c>
      <c r="K228" s="129">
        <v>3</v>
      </c>
      <c r="L228" s="129">
        <v>5</v>
      </c>
      <c r="M228" s="129" t="s">
        <v>31</v>
      </c>
      <c r="N228" s="129" t="s">
        <v>32</v>
      </c>
      <c r="O228" s="139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40"/>
    </row>
    <row r="229" spans="1:26" x14ac:dyDescent="0.25">
      <c r="A229" s="203">
        <f t="shared" si="6"/>
        <v>228</v>
      </c>
      <c r="B229" s="128" t="s">
        <v>562</v>
      </c>
      <c r="C229" s="274" t="s">
        <v>562</v>
      </c>
      <c r="D229" s="262"/>
      <c r="E229" s="128"/>
      <c r="F229" s="138" t="s">
        <v>563</v>
      </c>
      <c r="G229" s="131" t="s">
        <v>540</v>
      </c>
      <c r="H229" s="128" t="s">
        <v>29</v>
      </c>
      <c r="I229" s="132" t="s">
        <v>115</v>
      </c>
      <c r="J229" s="133">
        <v>11</v>
      </c>
      <c r="K229" s="129">
        <v>3</v>
      </c>
      <c r="L229" s="129">
        <v>8</v>
      </c>
      <c r="M229" s="129" t="s">
        <v>31</v>
      </c>
      <c r="N229" s="129" t="s">
        <v>32</v>
      </c>
      <c r="O229" s="139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40"/>
    </row>
    <row r="230" spans="1:26" x14ac:dyDescent="0.25">
      <c r="A230" s="203">
        <f t="shared" si="6"/>
        <v>229</v>
      </c>
      <c r="B230" s="151" t="s">
        <v>564</v>
      </c>
      <c r="C230" s="274" t="s">
        <v>564</v>
      </c>
      <c r="D230" s="262"/>
      <c r="E230" s="128"/>
      <c r="F230" s="152" t="s">
        <v>565</v>
      </c>
      <c r="G230" s="131" t="s">
        <v>540</v>
      </c>
      <c r="H230" s="128" t="s">
        <v>29</v>
      </c>
      <c r="I230" s="132" t="s">
        <v>115</v>
      </c>
      <c r="J230" s="133">
        <v>11</v>
      </c>
      <c r="K230" s="129">
        <v>3</v>
      </c>
      <c r="L230" s="129">
        <v>9</v>
      </c>
      <c r="M230" s="129" t="s">
        <v>31</v>
      </c>
      <c r="N230" s="129" t="s">
        <v>32</v>
      </c>
      <c r="O230" s="139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53"/>
    </row>
    <row r="231" spans="1:26" s="136" customFormat="1" x14ac:dyDescent="0.25">
      <c r="A231" s="203">
        <f t="shared" si="6"/>
        <v>230</v>
      </c>
      <c r="B231" s="128" t="s">
        <v>566</v>
      </c>
      <c r="C231" s="274" t="s">
        <v>566</v>
      </c>
      <c r="D231" s="262" t="s">
        <v>567</v>
      </c>
      <c r="E231" s="128"/>
      <c r="F231" s="138" t="s">
        <v>568</v>
      </c>
      <c r="G231" s="131" t="s">
        <v>540</v>
      </c>
      <c r="H231" s="128" t="s">
        <v>29</v>
      </c>
      <c r="I231" s="132" t="s">
        <v>115</v>
      </c>
      <c r="J231" s="133">
        <v>11</v>
      </c>
      <c r="K231" s="129">
        <v>3</v>
      </c>
      <c r="L231" s="129">
        <v>10</v>
      </c>
      <c r="M231" s="129" t="s">
        <v>31</v>
      </c>
      <c r="N231" s="129" t="s">
        <v>32</v>
      </c>
      <c r="O231" s="139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40"/>
    </row>
    <row r="232" spans="1:26" x14ac:dyDescent="0.25">
      <c r="A232" s="203">
        <f t="shared" si="6"/>
        <v>231</v>
      </c>
      <c r="B232" s="128" t="s">
        <v>569</v>
      </c>
      <c r="C232" s="274" t="s">
        <v>569</v>
      </c>
      <c r="D232" s="262" t="s">
        <v>570</v>
      </c>
      <c r="E232" s="128"/>
      <c r="F232" s="138" t="s">
        <v>571</v>
      </c>
      <c r="G232" s="131" t="s">
        <v>540</v>
      </c>
      <c r="H232" s="128" t="s">
        <v>29</v>
      </c>
      <c r="I232" s="132" t="s">
        <v>115</v>
      </c>
      <c r="J232" s="133">
        <v>11</v>
      </c>
      <c r="K232" s="129">
        <v>3</v>
      </c>
      <c r="L232" s="129">
        <v>11</v>
      </c>
      <c r="M232" s="129" t="s">
        <v>31</v>
      </c>
      <c r="N232" s="129" t="s">
        <v>32</v>
      </c>
      <c r="O232" s="139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40"/>
    </row>
    <row r="233" spans="1:26" x14ac:dyDescent="0.25">
      <c r="A233" s="203">
        <f t="shared" ref="A233:A296" si="7">ROW()-1</f>
        <v>232</v>
      </c>
      <c r="B233" s="128" t="s">
        <v>572</v>
      </c>
      <c r="C233" s="274" t="s">
        <v>572</v>
      </c>
      <c r="D233" s="262" t="s">
        <v>573</v>
      </c>
      <c r="E233" s="128"/>
      <c r="F233" s="138" t="s">
        <v>574</v>
      </c>
      <c r="G233" s="131" t="s">
        <v>540</v>
      </c>
      <c r="H233" s="128" t="s">
        <v>29</v>
      </c>
      <c r="I233" s="132" t="s">
        <v>115</v>
      </c>
      <c r="J233" s="133">
        <v>11</v>
      </c>
      <c r="K233" s="129">
        <v>4</v>
      </c>
      <c r="L233" s="129">
        <v>5</v>
      </c>
      <c r="M233" s="129" t="s">
        <v>31</v>
      </c>
      <c r="N233" s="129" t="s">
        <v>32</v>
      </c>
      <c r="O233" s="139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40"/>
    </row>
    <row r="234" spans="1:26" x14ac:dyDescent="0.25">
      <c r="A234" s="203">
        <f t="shared" si="7"/>
        <v>233</v>
      </c>
      <c r="B234" s="128"/>
      <c r="C234" s="274" t="s">
        <v>575</v>
      </c>
      <c r="D234" s="264" t="s">
        <v>576</v>
      </c>
      <c r="E234" s="133"/>
      <c r="F234" s="141" t="s">
        <v>577</v>
      </c>
      <c r="G234" s="142" t="s">
        <v>540</v>
      </c>
      <c r="H234" s="133" t="s">
        <v>29</v>
      </c>
      <c r="I234" s="132" t="s">
        <v>115</v>
      </c>
      <c r="J234" s="133">
        <v>11</v>
      </c>
      <c r="K234" s="128">
        <v>4</v>
      </c>
      <c r="L234" s="128">
        <v>6</v>
      </c>
      <c r="M234" s="128" t="s">
        <v>31</v>
      </c>
      <c r="N234" s="128" t="s">
        <v>32</v>
      </c>
      <c r="O234" s="139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40"/>
    </row>
    <row r="235" spans="1:26" x14ac:dyDescent="0.25">
      <c r="A235" s="203">
        <f t="shared" si="7"/>
        <v>234</v>
      </c>
      <c r="B235" s="128" t="s">
        <v>578</v>
      </c>
      <c r="C235" s="274" t="s">
        <v>578</v>
      </c>
      <c r="D235" s="262" t="s">
        <v>579</v>
      </c>
      <c r="E235" s="128"/>
      <c r="F235" s="138" t="s">
        <v>580</v>
      </c>
      <c r="G235" s="131" t="s">
        <v>540</v>
      </c>
      <c r="H235" s="128" t="s">
        <v>29</v>
      </c>
      <c r="I235" s="132" t="s">
        <v>115</v>
      </c>
      <c r="J235" s="133">
        <v>11</v>
      </c>
      <c r="K235" s="129">
        <v>4</v>
      </c>
      <c r="L235" s="129">
        <v>7</v>
      </c>
      <c r="M235" s="129" t="s">
        <v>31</v>
      </c>
      <c r="N235" s="129" t="s">
        <v>32</v>
      </c>
      <c r="O235" s="139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40"/>
    </row>
    <row r="236" spans="1:26" x14ac:dyDescent="0.25">
      <c r="A236" s="203">
        <f t="shared" si="7"/>
        <v>235</v>
      </c>
      <c r="B236" s="128" t="s">
        <v>581</v>
      </c>
      <c r="C236" s="274" t="s">
        <v>581</v>
      </c>
      <c r="D236" s="262" t="s">
        <v>582</v>
      </c>
      <c r="E236" s="128"/>
      <c r="F236" s="138" t="s">
        <v>583</v>
      </c>
      <c r="G236" s="131" t="s">
        <v>540</v>
      </c>
      <c r="H236" s="128" t="s">
        <v>29</v>
      </c>
      <c r="I236" s="132" t="s">
        <v>115</v>
      </c>
      <c r="J236" s="133">
        <v>11</v>
      </c>
      <c r="K236" s="129">
        <v>4</v>
      </c>
      <c r="L236" s="129">
        <v>8</v>
      </c>
      <c r="M236" s="129" t="s">
        <v>31</v>
      </c>
      <c r="N236" s="129" t="s">
        <v>32</v>
      </c>
      <c r="O236" s="139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40"/>
    </row>
    <row r="237" spans="1:26" x14ac:dyDescent="0.25">
      <c r="A237" s="203">
        <f t="shared" si="7"/>
        <v>236</v>
      </c>
      <c r="B237" s="128" t="s">
        <v>584</v>
      </c>
      <c r="C237" s="274" t="s">
        <v>584</v>
      </c>
      <c r="D237" s="262" t="s">
        <v>585</v>
      </c>
      <c r="E237" s="128"/>
      <c r="F237" s="138" t="s">
        <v>586</v>
      </c>
      <c r="G237" s="131" t="s">
        <v>540</v>
      </c>
      <c r="H237" s="128" t="s">
        <v>29</v>
      </c>
      <c r="I237" s="132" t="s">
        <v>115</v>
      </c>
      <c r="J237" s="133">
        <v>11</v>
      </c>
      <c r="K237" s="129">
        <v>4</v>
      </c>
      <c r="L237" s="129">
        <v>9</v>
      </c>
      <c r="M237" s="129" t="s">
        <v>31</v>
      </c>
      <c r="N237" s="129" t="s">
        <v>32</v>
      </c>
      <c r="O237" s="139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40"/>
    </row>
    <row r="238" spans="1:26" x14ac:dyDescent="0.25">
      <c r="A238" s="203">
        <f t="shared" si="7"/>
        <v>237</v>
      </c>
      <c r="B238" s="128" t="s">
        <v>587</v>
      </c>
      <c r="C238" s="274" t="s">
        <v>587</v>
      </c>
      <c r="D238" s="262" t="s">
        <v>588</v>
      </c>
      <c r="E238" s="128"/>
      <c r="F238" s="138" t="s">
        <v>589</v>
      </c>
      <c r="G238" s="131" t="s">
        <v>540</v>
      </c>
      <c r="H238" s="128" t="s">
        <v>29</v>
      </c>
      <c r="I238" s="132" t="s">
        <v>115</v>
      </c>
      <c r="J238" s="133">
        <v>11</v>
      </c>
      <c r="K238" s="129">
        <v>4</v>
      </c>
      <c r="L238" s="129">
        <v>10</v>
      </c>
      <c r="M238" s="129" t="s">
        <v>31</v>
      </c>
      <c r="N238" s="129" t="s">
        <v>32</v>
      </c>
      <c r="O238" s="139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40"/>
    </row>
    <row r="239" spans="1:26" x14ac:dyDescent="0.25">
      <c r="A239" s="203">
        <f t="shared" si="7"/>
        <v>238</v>
      </c>
      <c r="B239" s="128" t="s">
        <v>590</v>
      </c>
      <c r="C239" s="274" t="s">
        <v>590</v>
      </c>
      <c r="D239" s="262" t="s">
        <v>591</v>
      </c>
      <c r="E239" s="128"/>
      <c r="F239" s="138" t="s">
        <v>592</v>
      </c>
      <c r="G239" s="131" t="s">
        <v>540</v>
      </c>
      <c r="H239" s="128" t="s">
        <v>29</v>
      </c>
      <c r="I239" s="132" t="s">
        <v>115</v>
      </c>
      <c r="J239" s="133">
        <v>11</v>
      </c>
      <c r="K239" s="129">
        <v>4</v>
      </c>
      <c r="L239" s="129">
        <v>11</v>
      </c>
      <c r="M239" s="129" t="s">
        <v>31</v>
      </c>
      <c r="N239" s="129" t="s">
        <v>32</v>
      </c>
      <c r="O239" s="139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40"/>
    </row>
    <row r="240" spans="1:26" x14ac:dyDescent="0.25">
      <c r="A240" s="203">
        <f t="shared" si="7"/>
        <v>239</v>
      </c>
      <c r="B240" s="128" t="s">
        <v>593</v>
      </c>
      <c r="C240" s="274" t="s">
        <v>593</v>
      </c>
      <c r="D240" s="262" t="s">
        <v>594</v>
      </c>
      <c r="E240" s="128"/>
      <c r="F240" s="138" t="s">
        <v>595</v>
      </c>
      <c r="G240" s="131" t="s">
        <v>540</v>
      </c>
      <c r="H240" s="128" t="s">
        <v>29</v>
      </c>
      <c r="I240" s="132" t="s">
        <v>115</v>
      </c>
      <c r="J240" s="133">
        <v>11</v>
      </c>
      <c r="K240" s="129">
        <v>4</v>
      </c>
      <c r="L240" s="129">
        <v>12</v>
      </c>
      <c r="M240" s="129" t="s">
        <v>31</v>
      </c>
      <c r="N240" s="129" t="s">
        <v>32</v>
      </c>
      <c r="O240" s="139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40"/>
    </row>
    <row r="241" spans="1:26" x14ac:dyDescent="0.25">
      <c r="A241" s="203">
        <f t="shared" si="7"/>
        <v>240</v>
      </c>
      <c r="B241" s="128" t="s">
        <v>596</v>
      </c>
      <c r="C241" s="263" t="s">
        <v>596</v>
      </c>
      <c r="D241" s="262"/>
      <c r="E241" s="128"/>
      <c r="F241" s="138" t="s">
        <v>597</v>
      </c>
      <c r="G241" s="131" t="s">
        <v>540</v>
      </c>
      <c r="H241" s="128" t="s">
        <v>29</v>
      </c>
      <c r="I241" s="132" t="s">
        <v>115</v>
      </c>
      <c r="J241" s="133">
        <v>11</v>
      </c>
      <c r="K241" s="129">
        <v>6</v>
      </c>
      <c r="L241" s="129">
        <v>0</v>
      </c>
      <c r="M241" s="129" t="s">
        <v>82</v>
      </c>
      <c r="N241" s="129" t="s">
        <v>83</v>
      </c>
      <c r="O241" s="139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40"/>
    </row>
    <row r="242" spans="1:26" x14ac:dyDescent="0.25">
      <c r="A242" s="203">
        <f t="shared" si="7"/>
        <v>241</v>
      </c>
      <c r="B242" s="128" t="s">
        <v>598</v>
      </c>
      <c r="C242" s="275" t="s">
        <v>599</v>
      </c>
      <c r="D242" s="262"/>
      <c r="E242" s="128"/>
      <c r="F242" s="138" t="s">
        <v>600</v>
      </c>
      <c r="G242" s="131" t="s">
        <v>540</v>
      </c>
      <c r="H242" s="128" t="s">
        <v>29</v>
      </c>
      <c r="I242" s="132" t="s">
        <v>115</v>
      </c>
      <c r="J242" s="133">
        <v>11</v>
      </c>
      <c r="K242" s="129">
        <v>6</v>
      </c>
      <c r="L242" s="129">
        <v>1</v>
      </c>
      <c r="M242" s="129" t="s">
        <v>82</v>
      </c>
      <c r="N242" s="129" t="s">
        <v>83</v>
      </c>
      <c r="O242" s="139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40"/>
    </row>
    <row r="243" spans="1:26" x14ac:dyDescent="0.25">
      <c r="A243" s="203">
        <f t="shared" si="7"/>
        <v>242</v>
      </c>
      <c r="B243" s="128" t="s">
        <v>601</v>
      </c>
      <c r="C243" s="274" t="s">
        <v>601</v>
      </c>
      <c r="D243" s="262"/>
      <c r="E243" s="128"/>
      <c r="F243" s="138" t="s">
        <v>602</v>
      </c>
      <c r="G243" s="131" t="s">
        <v>540</v>
      </c>
      <c r="H243" s="128" t="s">
        <v>29</v>
      </c>
      <c r="I243" s="132" t="s">
        <v>115</v>
      </c>
      <c r="J243" s="133">
        <v>11</v>
      </c>
      <c r="K243" s="129">
        <v>6</v>
      </c>
      <c r="L243" s="129">
        <v>2</v>
      </c>
      <c r="M243" s="129" t="s">
        <v>82</v>
      </c>
      <c r="N243" s="129" t="s">
        <v>83</v>
      </c>
      <c r="O243" s="139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40"/>
    </row>
    <row r="244" spans="1:26" x14ac:dyDescent="0.25">
      <c r="A244" s="203">
        <f t="shared" si="7"/>
        <v>243</v>
      </c>
      <c r="B244" s="128" t="s">
        <v>603</v>
      </c>
      <c r="C244" s="275" t="s">
        <v>604</v>
      </c>
      <c r="D244" s="262"/>
      <c r="E244" s="128"/>
      <c r="F244" s="138" t="s">
        <v>605</v>
      </c>
      <c r="G244" s="131" t="s">
        <v>540</v>
      </c>
      <c r="H244" s="128" t="s">
        <v>29</v>
      </c>
      <c r="I244" s="132" t="s">
        <v>115</v>
      </c>
      <c r="J244" s="133">
        <v>11</v>
      </c>
      <c r="K244" s="129">
        <v>6</v>
      </c>
      <c r="L244" s="129">
        <v>3</v>
      </c>
      <c r="M244" s="129" t="s">
        <v>82</v>
      </c>
      <c r="N244" s="129" t="s">
        <v>83</v>
      </c>
      <c r="O244" s="139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40"/>
    </row>
    <row r="245" spans="1:26" x14ac:dyDescent="0.25">
      <c r="A245" s="203">
        <f t="shared" si="7"/>
        <v>244</v>
      </c>
      <c r="B245" s="128" t="s">
        <v>606</v>
      </c>
      <c r="C245" s="263" t="s">
        <v>606</v>
      </c>
      <c r="D245" s="262"/>
      <c r="E245" s="128"/>
      <c r="F245" s="138" t="s">
        <v>607</v>
      </c>
      <c r="G245" s="131" t="s">
        <v>540</v>
      </c>
      <c r="H245" s="128" t="s">
        <v>29</v>
      </c>
      <c r="I245" s="132" t="s">
        <v>115</v>
      </c>
      <c r="J245" s="133">
        <v>11</v>
      </c>
      <c r="K245" s="129">
        <v>6</v>
      </c>
      <c r="L245" s="129">
        <v>4</v>
      </c>
      <c r="M245" s="129" t="s">
        <v>82</v>
      </c>
      <c r="N245" s="129" t="s">
        <v>83</v>
      </c>
      <c r="O245" s="139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40"/>
    </row>
    <row r="246" spans="1:26" x14ac:dyDescent="0.25">
      <c r="A246" s="203">
        <f t="shared" si="7"/>
        <v>245</v>
      </c>
      <c r="B246" s="128" t="s">
        <v>608</v>
      </c>
      <c r="C246" s="274" t="s">
        <v>608</v>
      </c>
      <c r="D246" s="262" t="s">
        <v>609</v>
      </c>
      <c r="E246" s="128"/>
      <c r="F246" s="138" t="s">
        <v>610</v>
      </c>
      <c r="G246" s="131" t="s">
        <v>540</v>
      </c>
      <c r="H246" s="128" t="s">
        <v>29</v>
      </c>
      <c r="I246" s="132" t="s">
        <v>115</v>
      </c>
      <c r="J246" s="133">
        <v>11</v>
      </c>
      <c r="K246" s="129">
        <v>6</v>
      </c>
      <c r="L246" s="129">
        <v>9</v>
      </c>
      <c r="M246" s="129" t="s">
        <v>82</v>
      </c>
      <c r="N246" s="129" t="s">
        <v>83</v>
      </c>
      <c r="O246" s="139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40"/>
    </row>
    <row r="247" spans="1:26" x14ac:dyDescent="0.25">
      <c r="A247" s="203">
        <f t="shared" si="7"/>
        <v>246</v>
      </c>
      <c r="B247" s="128" t="s">
        <v>611</v>
      </c>
      <c r="C247" s="274" t="s">
        <v>611</v>
      </c>
      <c r="D247" s="262" t="s">
        <v>612</v>
      </c>
      <c r="E247" s="128"/>
      <c r="F247" s="138" t="s">
        <v>613</v>
      </c>
      <c r="G247" s="131" t="s">
        <v>540</v>
      </c>
      <c r="H247" s="128" t="s">
        <v>29</v>
      </c>
      <c r="I247" s="132" t="s">
        <v>115</v>
      </c>
      <c r="J247" s="133">
        <v>11</v>
      </c>
      <c r="K247" s="129">
        <v>6</v>
      </c>
      <c r="L247" s="129">
        <v>10</v>
      </c>
      <c r="M247" s="129" t="s">
        <v>82</v>
      </c>
      <c r="N247" s="129" t="s">
        <v>83</v>
      </c>
      <c r="O247" s="139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40"/>
    </row>
    <row r="248" spans="1:26" x14ac:dyDescent="0.25">
      <c r="A248" s="203">
        <f t="shared" si="7"/>
        <v>247</v>
      </c>
      <c r="B248" s="128" t="s">
        <v>614</v>
      </c>
      <c r="C248" s="274" t="s">
        <v>614</v>
      </c>
      <c r="D248" s="262" t="s">
        <v>615</v>
      </c>
      <c r="E248" s="128"/>
      <c r="F248" s="138" t="s">
        <v>616</v>
      </c>
      <c r="G248" s="131" t="s">
        <v>540</v>
      </c>
      <c r="H248" s="128" t="s">
        <v>29</v>
      </c>
      <c r="I248" s="132" t="s">
        <v>115</v>
      </c>
      <c r="J248" s="133">
        <v>11</v>
      </c>
      <c r="K248" s="129">
        <v>6</v>
      </c>
      <c r="L248" s="129">
        <v>11</v>
      </c>
      <c r="M248" s="129" t="s">
        <v>82</v>
      </c>
      <c r="N248" s="129" t="s">
        <v>83</v>
      </c>
      <c r="O248" s="139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40"/>
    </row>
    <row r="249" spans="1:26" x14ac:dyDescent="0.25">
      <c r="A249" s="203">
        <f t="shared" si="7"/>
        <v>248</v>
      </c>
      <c r="B249" s="128" t="s">
        <v>617</v>
      </c>
      <c r="C249" s="274" t="s">
        <v>617</v>
      </c>
      <c r="D249" s="262" t="s">
        <v>618</v>
      </c>
      <c r="E249" s="128"/>
      <c r="F249" s="138" t="s">
        <v>619</v>
      </c>
      <c r="G249" s="131" t="s">
        <v>540</v>
      </c>
      <c r="H249" s="128" t="s">
        <v>29</v>
      </c>
      <c r="I249" s="132" t="s">
        <v>115</v>
      </c>
      <c r="J249" s="133">
        <v>11</v>
      </c>
      <c r="K249" s="129">
        <v>6</v>
      </c>
      <c r="L249" s="129">
        <v>12</v>
      </c>
      <c r="M249" s="129" t="s">
        <v>82</v>
      </c>
      <c r="N249" s="129" t="s">
        <v>83</v>
      </c>
      <c r="O249" s="139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40"/>
    </row>
    <row r="250" spans="1:26" x14ac:dyDescent="0.25">
      <c r="A250" s="203">
        <f t="shared" si="7"/>
        <v>249</v>
      </c>
      <c r="B250" s="128" t="s">
        <v>620</v>
      </c>
      <c r="C250" s="274" t="s">
        <v>620</v>
      </c>
      <c r="D250" s="262" t="s">
        <v>621</v>
      </c>
      <c r="E250" s="128"/>
      <c r="F250" s="138" t="s">
        <v>622</v>
      </c>
      <c r="G250" s="131" t="s">
        <v>540</v>
      </c>
      <c r="H250" s="128" t="s">
        <v>29</v>
      </c>
      <c r="I250" s="132" t="s">
        <v>115</v>
      </c>
      <c r="J250" s="133">
        <v>11</v>
      </c>
      <c r="K250" s="129">
        <v>7</v>
      </c>
      <c r="L250" s="129">
        <v>1</v>
      </c>
      <c r="M250" s="129" t="s">
        <v>82</v>
      </c>
      <c r="N250" s="129" t="s">
        <v>83</v>
      </c>
      <c r="O250" s="139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40"/>
    </row>
    <row r="251" spans="1:26" x14ac:dyDescent="0.25">
      <c r="A251" s="203">
        <f t="shared" si="7"/>
        <v>250</v>
      </c>
      <c r="B251" s="128" t="s">
        <v>623</v>
      </c>
      <c r="C251" s="274" t="s">
        <v>623</v>
      </c>
      <c r="D251" s="262" t="s">
        <v>624</v>
      </c>
      <c r="E251" s="128"/>
      <c r="F251" s="138" t="s">
        <v>625</v>
      </c>
      <c r="G251" s="131" t="s">
        <v>540</v>
      </c>
      <c r="H251" s="128" t="s">
        <v>29</v>
      </c>
      <c r="I251" s="132" t="s">
        <v>115</v>
      </c>
      <c r="J251" s="133">
        <v>11</v>
      </c>
      <c r="K251" s="129">
        <v>7</v>
      </c>
      <c r="L251" s="129">
        <v>2</v>
      </c>
      <c r="M251" s="129" t="s">
        <v>82</v>
      </c>
      <c r="N251" s="129" t="s">
        <v>83</v>
      </c>
      <c r="O251" s="139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40"/>
    </row>
    <row r="252" spans="1:26" x14ac:dyDescent="0.25">
      <c r="A252" s="203">
        <f t="shared" si="7"/>
        <v>251</v>
      </c>
      <c r="B252" s="128" t="s">
        <v>626</v>
      </c>
      <c r="C252" s="274" t="s">
        <v>626</v>
      </c>
      <c r="D252" s="262" t="s">
        <v>627</v>
      </c>
      <c r="E252" s="128"/>
      <c r="F252" s="138" t="s">
        <v>628</v>
      </c>
      <c r="G252" s="131" t="s">
        <v>540</v>
      </c>
      <c r="H252" s="128" t="s">
        <v>29</v>
      </c>
      <c r="I252" s="132" t="s">
        <v>115</v>
      </c>
      <c r="J252" s="133">
        <v>11</v>
      </c>
      <c r="K252" s="129">
        <v>7</v>
      </c>
      <c r="L252" s="129">
        <v>3</v>
      </c>
      <c r="M252" s="129" t="s">
        <v>82</v>
      </c>
      <c r="N252" s="129" t="s">
        <v>83</v>
      </c>
      <c r="O252" s="139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40"/>
    </row>
    <row r="253" spans="1:26" x14ac:dyDescent="0.25">
      <c r="A253" s="203">
        <f t="shared" si="7"/>
        <v>252</v>
      </c>
      <c r="B253" s="128" t="s">
        <v>629</v>
      </c>
      <c r="C253" s="274" t="s">
        <v>629</v>
      </c>
      <c r="D253" s="262" t="s">
        <v>630</v>
      </c>
      <c r="E253" s="128"/>
      <c r="F253" s="138" t="s">
        <v>631</v>
      </c>
      <c r="G253" s="131" t="s">
        <v>540</v>
      </c>
      <c r="H253" s="128" t="s">
        <v>29</v>
      </c>
      <c r="I253" s="132" t="s">
        <v>115</v>
      </c>
      <c r="J253" s="133">
        <v>11</v>
      </c>
      <c r="K253" s="129">
        <v>7</v>
      </c>
      <c r="L253" s="129">
        <v>4</v>
      </c>
      <c r="M253" s="129" t="s">
        <v>82</v>
      </c>
      <c r="N253" s="129" t="s">
        <v>83</v>
      </c>
      <c r="O253" s="139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40"/>
    </row>
    <row r="254" spans="1:26" x14ac:dyDescent="0.25">
      <c r="A254" s="203">
        <f t="shared" si="7"/>
        <v>253</v>
      </c>
      <c r="B254" s="128" t="s">
        <v>632</v>
      </c>
      <c r="C254" s="274" t="s">
        <v>632</v>
      </c>
      <c r="D254" s="262" t="s">
        <v>633</v>
      </c>
      <c r="E254" s="128"/>
      <c r="F254" s="138" t="s">
        <v>634</v>
      </c>
      <c r="G254" s="131" t="s">
        <v>540</v>
      </c>
      <c r="H254" s="128" t="s">
        <v>29</v>
      </c>
      <c r="I254" s="132" t="s">
        <v>115</v>
      </c>
      <c r="J254" s="133">
        <v>11</v>
      </c>
      <c r="K254" s="129">
        <v>7</v>
      </c>
      <c r="L254" s="129">
        <v>5</v>
      </c>
      <c r="M254" s="129" t="s">
        <v>82</v>
      </c>
      <c r="N254" s="129" t="s">
        <v>83</v>
      </c>
      <c r="O254" s="139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40"/>
    </row>
    <row r="255" spans="1:26" x14ac:dyDescent="0.25">
      <c r="A255" s="203">
        <f t="shared" si="7"/>
        <v>254</v>
      </c>
      <c r="B255" s="128" t="s">
        <v>635</v>
      </c>
      <c r="C255" s="274" t="s">
        <v>635</v>
      </c>
      <c r="D255" s="262" t="s">
        <v>636</v>
      </c>
      <c r="E255" s="128"/>
      <c r="F255" s="138" t="s">
        <v>637</v>
      </c>
      <c r="G255" s="131" t="s">
        <v>540</v>
      </c>
      <c r="H255" s="128" t="s">
        <v>29</v>
      </c>
      <c r="I255" s="132" t="s">
        <v>115</v>
      </c>
      <c r="J255" s="133">
        <v>11</v>
      </c>
      <c r="K255" s="129">
        <v>7</v>
      </c>
      <c r="L255" s="129">
        <v>6</v>
      </c>
      <c r="M255" s="129" t="s">
        <v>82</v>
      </c>
      <c r="N255" s="129" t="s">
        <v>83</v>
      </c>
      <c r="O255" s="139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40"/>
    </row>
    <row r="256" spans="1:26" x14ac:dyDescent="0.25">
      <c r="A256" s="203">
        <f t="shared" si="7"/>
        <v>255</v>
      </c>
      <c r="B256" s="128" t="s">
        <v>638</v>
      </c>
      <c r="C256" s="274" t="s">
        <v>638</v>
      </c>
      <c r="D256" s="262" t="s">
        <v>639</v>
      </c>
      <c r="E256" s="128"/>
      <c r="F256" s="138" t="s">
        <v>640</v>
      </c>
      <c r="G256" s="131" t="s">
        <v>540</v>
      </c>
      <c r="H256" s="128" t="s">
        <v>29</v>
      </c>
      <c r="I256" s="132" t="s">
        <v>115</v>
      </c>
      <c r="J256" s="133">
        <v>11</v>
      </c>
      <c r="K256" s="129">
        <v>7</v>
      </c>
      <c r="L256" s="129">
        <v>7</v>
      </c>
      <c r="M256" s="129" t="s">
        <v>82</v>
      </c>
      <c r="N256" s="129" t="s">
        <v>83</v>
      </c>
      <c r="O256" s="139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40"/>
    </row>
    <row r="257" spans="1:26" x14ac:dyDescent="0.25">
      <c r="A257" s="203">
        <f t="shared" si="7"/>
        <v>256</v>
      </c>
      <c r="B257" s="128" t="s">
        <v>641</v>
      </c>
      <c r="C257" s="274" t="s">
        <v>641</v>
      </c>
      <c r="D257" s="262" t="s">
        <v>642</v>
      </c>
      <c r="E257" s="128"/>
      <c r="F257" s="138" t="s">
        <v>643</v>
      </c>
      <c r="G257" s="131" t="s">
        <v>540</v>
      </c>
      <c r="H257" s="128" t="s">
        <v>29</v>
      </c>
      <c r="I257" s="132" t="s">
        <v>115</v>
      </c>
      <c r="J257" s="133">
        <v>11</v>
      </c>
      <c r="K257" s="129">
        <v>7</v>
      </c>
      <c r="L257" s="129">
        <v>8</v>
      </c>
      <c r="M257" s="129" t="s">
        <v>82</v>
      </c>
      <c r="N257" s="129" t="s">
        <v>83</v>
      </c>
      <c r="O257" s="139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40"/>
    </row>
    <row r="258" spans="1:26" x14ac:dyDescent="0.25">
      <c r="A258" s="203">
        <f t="shared" si="7"/>
        <v>257</v>
      </c>
      <c r="B258" s="128" t="s">
        <v>644</v>
      </c>
      <c r="C258" s="274" t="s">
        <v>644</v>
      </c>
      <c r="D258" s="262" t="s">
        <v>645</v>
      </c>
      <c r="E258" s="128"/>
      <c r="F258" s="138" t="s">
        <v>646</v>
      </c>
      <c r="G258" s="131" t="s">
        <v>540</v>
      </c>
      <c r="H258" s="128" t="s">
        <v>29</v>
      </c>
      <c r="I258" s="132" t="s">
        <v>115</v>
      </c>
      <c r="J258" s="133">
        <v>11</v>
      </c>
      <c r="K258" s="129">
        <v>7</v>
      </c>
      <c r="L258" s="129">
        <v>9</v>
      </c>
      <c r="M258" s="129" t="s">
        <v>82</v>
      </c>
      <c r="N258" s="129" t="s">
        <v>83</v>
      </c>
      <c r="O258" s="139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40"/>
    </row>
    <row r="259" spans="1:26" x14ac:dyDescent="0.25">
      <c r="A259" s="203">
        <f t="shared" si="7"/>
        <v>258</v>
      </c>
      <c r="B259" s="128" t="s">
        <v>647</v>
      </c>
      <c r="C259" s="274" t="s">
        <v>647</v>
      </c>
      <c r="D259" s="262" t="s">
        <v>648</v>
      </c>
      <c r="E259" s="128"/>
      <c r="F259" s="138" t="s">
        <v>649</v>
      </c>
      <c r="G259" s="131" t="s">
        <v>540</v>
      </c>
      <c r="H259" s="128" t="s">
        <v>29</v>
      </c>
      <c r="I259" s="132" t="s">
        <v>115</v>
      </c>
      <c r="J259" s="133">
        <v>11</v>
      </c>
      <c r="K259" s="129">
        <v>7</v>
      </c>
      <c r="L259" s="129">
        <v>10</v>
      </c>
      <c r="M259" s="129" t="s">
        <v>82</v>
      </c>
      <c r="N259" s="129" t="s">
        <v>83</v>
      </c>
      <c r="O259" s="139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40"/>
    </row>
    <row r="260" spans="1:26" x14ac:dyDescent="0.25">
      <c r="A260" s="203">
        <f t="shared" si="7"/>
        <v>259</v>
      </c>
      <c r="B260" s="128" t="s">
        <v>650</v>
      </c>
      <c r="C260" s="274" t="s">
        <v>650</v>
      </c>
      <c r="D260" s="262" t="s">
        <v>651</v>
      </c>
      <c r="E260" s="128"/>
      <c r="F260" s="138" t="s">
        <v>652</v>
      </c>
      <c r="G260" s="131" t="s">
        <v>540</v>
      </c>
      <c r="H260" s="128" t="s">
        <v>29</v>
      </c>
      <c r="I260" s="132" t="s">
        <v>115</v>
      </c>
      <c r="J260" s="133">
        <v>11</v>
      </c>
      <c r="K260" s="129">
        <v>7</v>
      </c>
      <c r="L260" s="129">
        <v>11</v>
      </c>
      <c r="M260" s="129" t="s">
        <v>82</v>
      </c>
      <c r="N260" s="129" t="s">
        <v>83</v>
      </c>
      <c r="O260" s="139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40"/>
    </row>
    <row r="261" spans="1:26" x14ac:dyDescent="0.25">
      <c r="A261" s="203">
        <f t="shared" si="7"/>
        <v>260</v>
      </c>
      <c r="B261" s="128" t="s">
        <v>653</v>
      </c>
      <c r="C261" s="274" t="s">
        <v>653</v>
      </c>
      <c r="D261" s="262" t="s">
        <v>654</v>
      </c>
      <c r="E261" s="128"/>
      <c r="F261" s="138" t="s">
        <v>655</v>
      </c>
      <c r="G261" s="131" t="s">
        <v>540</v>
      </c>
      <c r="H261" s="128" t="s">
        <v>29</v>
      </c>
      <c r="I261" s="132" t="s">
        <v>115</v>
      </c>
      <c r="J261" s="133">
        <v>11</v>
      </c>
      <c r="K261" s="129">
        <v>7</v>
      </c>
      <c r="L261" s="129">
        <v>12</v>
      </c>
      <c r="M261" s="129" t="s">
        <v>82</v>
      </c>
      <c r="N261" s="129" t="s">
        <v>83</v>
      </c>
      <c r="O261" s="139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40"/>
    </row>
    <row r="262" spans="1:26" x14ac:dyDescent="0.25">
      <c r="A262" s="203">
        <f t="shared" si="7"/>
        <v>261</v>
      </c>
      <c r="B262" s="128" t="s">
        <v>656</v>
      </c>
      <c r="C262" s="274" t="s">
        <v>656</v>
      </c>
      <c r="D262" s="262"/>
      <c r="E262" s="128"/>
      <c r="F262" s="138" t="s">
        <v>657</v>
      </c>
      <c r="G262" s="131" t="s">
        <v>540</v>
      </c>
      <c r="H262" s="128" t="s">
        <v>29</v>
      </c>
      <c r="I262" s="132" t="s">
        <v>115</v>
      </c>
      <c r="J262" s="133">
        <v>11</v>
      </c>
      <c r="K262" s="129">
        <v>9</v>
      </c>
      <c r="L262" s="129">
        <v>0</v>
      </c>
      <c r="M262" s="129" t="s">
        <v>658</v>
      </c>
      <c r="N262" s="129" t="s">
        <v>659</v>
      </c>
      <c r="O262" s="139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40"/>
    </row>
    <row r="263" spans="1:26" x14ac:dyDescent="0.25">
      <c r="A263" s="203">
        <f t="shared" si="7"/>
        <v>262</v>
      </c>
      <c r="B263" s="128" t="s">
        <v>660</v>
      </c>
      <c r="C263" s="274" t="s">
        <v>660</v>
      </c>
      <c r="D263" s="262"/>
      <c r="E263" s="128"/>
      <c r="F263" s="138" t="s">
        <v>661</v>
      </c>
      <c r="G263" s="131" t="s">
        <v>540</v>
      </c>
      <c r="H263" s="128" t="s">
        <v>29</v>
      </c>
      <c r="I263" s="132" t="s">
        <v>115</v>
      </c>
      <c r="J263" s="133">
        <v>11</v>
      </c>
      <c r="K263" s="129">
        <v>9</v>
      </c>
      <c r="L263" s="129">
        <v>1</v>
      </c>
      <c r="M263" s="129" t="s">
        <v>658</v>
      </c>
      <c r="N263" s="129" t="s">
        <v>659</v>
      </c>
      <c r="O263" s="139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40"/>
    </row>
    <row r="264" spans="1:26" x14ac:dyDescent="0.25">
      <c r="A264" s="203">
        <f t="shared" si="7"/>
        <v>263</v>
      </c>
      <c r="B264" s="128" t="s">
        <v>662</v>
      </c>
      <c r="C264" s="274" t="s">
        <v>662</v>
      </c>
      <c r="D264" s="262"/>
      <c r="E264" s="128"/>
      <c r="F264" s="138" t="s">
        <v>663</v>
      </c>
      <c r="G264" s="131" t="s">
        <v>540</v>
      </c>
      <c r="H264" s="128" t="s">
        <v>29</v>
      </c>
      <c r="I264" s="132" t="s">
        <v>115</v>
      </c>
      <c r="J264" s="133">
        <v>11</v>
      </c>
      <c r="K264" s="129">
        <v>10</v>
      </c>
      <c r="L264" s="129">
        <v>0</v>
      </c>
      <c r="M264" s="129" t="s">
        <v>664</v>
      </c>
      <c r="N264" s="129" t="s">
        <v>665</v>
      </c>
      <c r="O264" s="139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40"/>
    </row>
    <row r="265" spans="1:26" x14ac:dyDescent="0.25">
      <c r="A265" s="203">
        <f t="shared" si="7"/>
        <v>264</v>
      </c>
      <c r="B265" s="133"/>
      <c r="C265" s="263" t="s">
        <v>666</v>
      </c>
      <c r="D265" s="264"/>
      <c r="E265" s="133"/>
      <c r="F265" s="141" t="s">
        <v>667</v>
      </c>
      <c r="G265" s="142" t="s">
        <v>540</v>
      </c>
      <c r="H265" s="133" t="s">
        <v>29</v>
      </c>
      <c r="I265" s="131" t="s">
        <v>131</v>
      </c>
      <c r="J265" s="133">
        <v>18</v>
      </c>
      <c r="K265" s="129">
        <v>3</v>
      </c>
      <c r="L265" s="129">
        <v>4</v>
      </c>
      <c r="M265" s="129" t="s">
        <v>82</v>
      </c>
      <c r="N265" s="129" t="s">
        <v>83</v>
      </c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3"/>
    </row>
    <row r="266" spans="1:26" x14ac:dyDescent="0.25">
      <c r="A266" s="203">
        <f t="shared" si="7"/>
        <v>265</v>
      </c>
      <c r="B266" s="133"/>
      <c r="C266" s="263" t="s">
        <v>668</v>
      </c>
      <c r="D266" s="264"/>
      <c r="E266" s="133"/>
      <c r="F266" s="141" t="s">
        <v>669</v>
      </c>
      <c r="G266" s="142" t="s">
        <v>540</v>
      </c>
      <c r="H266" s="133" t="s">
        <v>29</v>
      </c>
      <c r="I266" s="131" t="s">
        <v>131</v>
      </c>
      <c r="J266" s="133">
        <v>18</v>
      </c>
      <c r="K266" s="129">
        <v>3</v>
      </c>
      <c r="L266" s="129">
        <v>5</v>
      </c>
      <c r="M266" s="129" t="s">
        <v>82</v>
      </c>
      <c r="N266" s="129" t="s">
        <v>83</v>
      </c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3"/>
    </row>
    <row r="267" spans="1:26" x14ac:dyDescent="0.25">
      <c r="A267" s="203">
        <f t="shared" si="7"/>
        <v>266</v>
      </c>
      <c r="B267" s="133"/>
      <c r="C267" s="263" t="s">
        <v>670</v>
      </c>
      <c r="D267" s="264"/>
      <c r="E267" s="133"/>
      <c r="F267" s="141" t="s">
        <v>671</v>
      </c>
      <c r="G267" s="142" t="s">
        <v>540</v>
      </c>
      <c r="H267" s="133" t="s">
        <v>29</v>
      </c>
      <c r="I267" s="131" t="s">
        <v>131</v>
      </c>
      <c r="J267" s="133">
        <v>18</v>
      </c>
      <c r="K267" s="129">
        <v>3</v>
      </c>
      <c r="L267" s="129">
        <v>6</v>
      </c>
      <c r="M267" s="129" t="s">
        <v>82</v>
      </c>
      <c r="N267" s="129" t="s">
        <v>83</v>
      </c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3"/>
    </row>
    <row r="268" spans="1:26" x14ac:dyDescent="0.25">
      <c r="A268" s="203">
        <f t="shared" si="7"/>
        <v>267</v>
      </c>
      <c r="B268" s="133"/>
      <c r="C268" s="263" t="s">
        <v>672</v>
      </c>
      <c r="D268" s="264"/>
      <c r="E268" s="133"/>
      <c r="F268" s="141" t="s">
        <v>673</v>
      </c>
      <c r="G268" s="142" t="s">
        <v>540</v>
      </c>
      <c r="H268" s="133" t="s">
        <v>29</v>
      </c>
      <c r="I268" s="131" t="s">
        <v>131</v>
      </c>
      <c r="J268" s="133">
        <v>18</v>
      </c>
      <c r="K268" s="129">
        <v>3</v>
      </c>
      <c r="L268" s="129">
        <v>7</v>
      </c>
      <c r="M268" s="129" t="s">
        <v>82</v>
      </c>
      <c r="N268" s="129" t="s">
        <v>83</v>
      </c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3"/>
    </row>
    <row r="269" spans="1:26" x14ac:dyDescent="0.25">
      <c r="A269" s="203">
        <f t="shared" si="7"/>
        <v>268</v>
      </c>
      <c r="B269" s="133"/>
      <c r="C269" s="263" t="s">
        <v>674</v>
      </c>
      <c r="D269" s="264"/>
      <c r="E269" s="133"/>
      <c r="F269" s="141" t="s">
        <v>675</v>
      </c>
      <c r="G269" s="142" t="s">
        <v>540</v>
      </c>
      <c r="H269" s="133" t="s">
        <v>29</v>
      </c>
      <c r="I269" s="131" t="s">
        <v>131</v>
      </c>
      <c r="J269" s="133">
        <v>18</v>
      </c>
      <c r="K269" s="129">
        <v>3</v>
      </c>
      <c r="L269" s="129">
        <v>8</v>
      </c>
      <c r="M269" s="129" t="s">
        <v>82</v>
      </c>
      <c r="N269" s="129" t="s">
        <v>83</v>
      </c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3"/>
    </row>
    <row r="270" spans="1:26" x14ac:dyDescent="0.25">
      <c r="A270" s="203">
        <f t="shared" si="7"/>
        <v>269</v>
      </c>
      <c r="B270" s="128" t="s">
        <v>676</v>
      </c>
      <c r="C270" s="274" t="s">
        <v>676</v>
      </c>
      <c r="D270" s="262"/>
      <c r="E270" s="128"/>
      <c r="F270" s="138" t="s">
        <v>677</v>
      </c>
      <c r="G270" s="131" t="s">
        <v>540</v>
      </c>
      <c r="H270" s="128" t="s">
        <v>678</v>
      </c>
      <c r="I270" s="131" t="s">
        <v>131</v>
      </c>
      <c r="J270" s="133">
        <v>18</v>
      </c>
      <c r="K270" s="129">
        <v>8</v>
      </c>
      <c r="L270" s="129">
        <v>2</v>
      </c>
      <c r="M270" s="129" t="s">
        <v>658</v>
      </c>
      <c r="N270" s="129" t="s">
        <v>659</v>
      </c>
      <c r="O270" s="134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40"/>
    </row>
    <row r="271" spans="1:26" x14ac:dyDescent="0.25">
      <c r="A271" s="203">
        <f t="shared" si="7"/>
        <v>270</v>
      </c>
      <c r="B271" s="128" t="s">
        <v>679</v>
      </c>
      <c r="C271" s="274" t="s">
        <v>679</v>
      </c>
      <c r="D271" s="262"/>
      <c r="E271" s="128"/>
      <c r="F271" s="138" t="s">
        <v>680</v>
      </c>
      <c r="G271" s="131" t="s">
        <v>540</v>
      </c>
      <c r="H271" s="128" t="s">
        <v>678</v>
      </c>
      <c r="I271" s="131" t="s">
        <v>131</v>
      </c>
      <c r="J271" s="133">
        <v>18</v>
      </c>
      <c r="K271" s="129">
        <v>9</v>
      </c>
      <c r="L271" s="129">
        <v>3</v>
      </c>
      <c r="M271" s="129" t="s">
        <v>658</v>
      </c>
      <c r="N271" s="129" t="s">
        <v>659</v>
      </c>
      <c r="O271" s="134" t="s">
        <v>681</v>
      </c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40"/>
    </row>
    <row r="272" spans="1:26" x14ac:dyDescent="0.25">
      <c r="A272" s="203">
        <f t="shared" si="7"/>
        <v>271</v>
      </c>
      <c r="B272" s="128" t="s">
        <v>682</v>
      </c>
      <c r="C272" s="274" t="s">
        <v>682</v>
      </c>
      <c r="D272" s="262"/>
      <c r="E272" s="128"/>
      <c r="F272" s="138" t="s">
        <v>677</v>
      </c>
      <c r="G272" s="131" t="s">
        <v>540</v>
      </c>
      <c r="H272" s="128" t="s">
        <v>678</v>
      </c>
      <c r="I272" s="131" t="s">
        <v>131</v>
      </c>
      <c r="J272" s="133">
        <v>18</v>
      </c>
      <c r="K272" s="129">
        <v>12</v>
      </c>
      <c r="L272" s="129">
        <v>3</v>
      </c>
      <c r="M272" s="129" t="s">
        <v>664</v>
      </c>
      <c r="N272" s="129" t="s">
        <v>665</v>
      </c>
      <c r="O272" s="134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40"/>
    </row>
    <row r="273" spans="1:26" x14ac:dyDescent="0.25">
      <c r="A273" s="203">
        <f t="shared" si="7"/>
        <v>272</v>
      </c>
      <c r="B273" s="128"/>
      <c r="C273" s="274" t="s">
        <v>683</v>
      </c>
      <c r="D273" s="277"/>
      <c r="E273" s="142"/>
      <c r="F273" s="141" t="s">
        <v>684</v>
      </c>
      <c r="G273" s="142" t="s">
        <v>540</v>
      </c>
      <c r="H273" s="133" t="s">
        <v>130</v>
      </c>
      <c r="I273" s="131" t="s">
        <v>131</v>
      </c>
      <c r="J273" s="133">
        <v>18</v>
      </c>
      <c r="K273" s="129">
        <v>14</v>
      </c>
      <c r="L273" s="129">
        <v>8</v>
      </c>
      <c r="M273" s="129" t="s">
        <v>82</v>
      </c>
      <c r="N273" s="129" t="s">
        <v>83</v>
      </c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3"/>
    </row>
    <row r="274" spans="1:26" x14ac:dyDescent="0.25">
      <c r="A274" s="203">
        <f t="shared" si="7"/>
        <v>273</v>
      </c>
      <c r="B274" s="128"/>
      <c r="C274" s="263" t="s">
        <v>685</v>
      </c>
      <c r="D274" s="264"/>
      <c r="E274" s="133"/>
      <c r="F274" s="137" t="s">
        <v>686</v>
      </c>
      <c r="G274" s="142" t="s">
        <v>540</v>
      </c>
      <c r="H274" s="133" t="s">
        <v>29</v>
      </c>
      <c r="I274" s="131" t="s">
        <v>131</v>
      </c>
      <c r="J274" s="133">
        <v>18</v>
      </c>
      <c r="K274" s="129">
        <v>15</v>
      </c>
      <c r="L274" s="129">
        <v>0</v>
      </c>
      <c r="M274" s="129" t="s">
        <v>138</v>
      </c>
      <c r="N274" s="129" t="s">
        <v>139</v>
      </c>
      <c r="O274" s="139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53"/>
    </row>
    <row r="275" spans="1:26" x14ac:dyDescent="0.25">
      <c r="A275" s="203">
        <f t="shared" si="7"/>
        <v>274</v>
      </c>
      <c r="B275" s="128"/>
      <c r="C275" s="263" t="s">
        <v>685</v>
      </c>
      <c r="D275" s="264"/>
      <c r="E275" s="133"/>
      <c r="F275" s="137" t="s">
        <v>687</v>
      </c>
      <c r="G275" s="142" t="s">
        <v>540</v>
      </c>
      <c r="H275" s="133" t="s">
        <v>29</v>
      </c>
      <c r="I275" s="131" t="s">
        <v>131</v>
      </c>
      <c r="J275" s="133">
        <v>18</v>
      </c>
      <c r="K275" s="129">
        <v>15</v>
      </c>
      <c r="L275" s="129">
        <v>1</v>
      </c>
      <c r="M275" s="129" t="s">
        <v>138</v>
      </c>
      <c r="N275" s="129" t="s">
        <v>139</v>
      </c>
      <c r="O275" s="139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53"/>
    </row>
    <row r="276" spans="1:26" x14ac:dyDescent="0.25">
      <c r="A276" s="203">
        <f t="shared" si="7"/>
        <v>275</v>
      </c>
      <c r="B276" s="128" t="s">
        <v>688</v>
      </c>
      <c r="C276" s="274" t="s">
        <v>688</v>
      </c>
      <c r="D276" s="262" t="s">
        <v>689</v>
      </c>
      <c r="E276" s="128" t="s">
        <v>690</v>
      </c>
      <c r="F276" s="138" t="s">
        <v>691</v>
      </c>
      <c r="G276" s="131" t="s">
        <v>692</v>
      </c>
      <c r="H276" s="128" t="s">
        <v>29</v>
      </c>
      <c r="I276" s="132" t="s">
        <v>123</v>
      </c>
      <c r="J276" s="133">
        <v>8</v>
      </c>
      <c r="K276" s="129">
        <v>1</v>
      </c>
      <c r="L276" s="129">
        <v>6</v>
      </c>
      <c r="M276" s="129" t="s">
        <v>138</v>
      </c>
      <c r="N276" s="129" t="s">
        <v>139</v>
      </c>
      <c r="O276" s="139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40"/>
    </row>
    <row r="277" spans="1:26" x14ac:dyDescent="0.25">
      <c r="A277" s="203">
        <f t="shared" si="7"/>
        <v>276</v>
      </c>
      <c r="B277" s="128" t="s">
        <v>688</v>
      </c>
      <c r="C277" s="274" t="s">
        <v>688</v>
      </c>
      <c r="D277" s="262" t="s">
        <v>689</v>
      </c>
      <c r="E277" s="128" t="s">
        <v>690</v>
      </c>
      <c r="F277" s="138" t="s">
        <v>693</v>
      </c>
      <c r="G277" s="131" t="s">
        <v>692</v>
      </c>
      <c r="H277" s="128" t="s">
        <v>29</v>
      </c>
      <c r="I277" s="132" t="s">
        <v>123</v>
      </c>
      <c r="J277" s="133">
        <v>8</v>
      </c>
      <c r="K277" s="129">
        <v>1</v>
      </c>
      <c r="L277" s="129">
        <v>7</v>
      </c>
      <c r="M277" s="129" t="s">
        <v>138</v>
      </c>
      <c r="N277" s="129" t="s">
        <v>139</v>
      </c>
      <c r="O277" s="139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40"/>
    </row>
    <row r="278" spans="1:26" x14ac:dyDescent="0.25">
      <c r="A278" s="203">
        <f t="shared" si="7"/>
        <v>277</v>
      </c>
      <c r="B278" s="128" t="s">
        <v>694</v>
      </c>
      <c r="C278" s="274" t="s">
        <v>694</v>
      </c>
      <c r="D278" s="262" t="s">
        <v>695</v>
      </c>
      <c r="E278" s="128" t="s">
        <v>120</v>
      </c>
      <c r="F278" s="138" t="s">
        <v>696</v>
      </c>
      <c r="G278" s="131" t="s">
        <v>692</v>
      </c>
      <c r="H278" s="128" t="s">
        <v>29</v>
      </c>
      <c r="I278" s="132" t="s">
        <v>123</v>
      </c>
      <c r="J278" s="133">
        <v>8</v>
      </c>
      <c r="K278" s="129">
        <v>4</v>
      </c>
      <c r="L278" s="129">
        <v>0</v>
      </c>
      <c r="M278" s="129" t="s">
        <v>31</v>
      </c>
      <c r="N278" s="129" t="s">
        <v>32</v>
      </c>
      <c r="O278" s="139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40"/>
    </row>
    <row r="279" spans="1:26" x14ac:dyDescent="0.25">
      <c r="A279" s="203">
        <f t="shared" si="7"/>
        <v>278</v>
      </c>
      <c r="B279" s="128" t="s">
        <v>697</v>
      </c>
      <c r="C279" s="274" t="s">
        <v>697</v>
      </c>
      <c r="D279" s="262" t="s">
        <v>698</v>
      </c>
      <c r="E279" s="128" t="s">
        <v>699</v>
      </c>
      <c r="F279" s="138" t="s">
        <v>700</v>
      </c>
      <c r="G279" s="131" t="s">
        <v>692</v>
      </c>
      <c r="H279" s="128" t="s">
        <v>29</v>
      </c>
      <c r="I279" s="132" t="s">
        <v>123</v>
      </c>
      <c r="J279" s="133">
        <v>8</v>
      </c>
      <c r="K279" s="129">
        <v>1</v>
      </c>
      <c r="L279" s="129">
        <v>0</v>
      </c>
      <c r="M279" s="129" t="s">
        <v>138</v>
      </c>
      <c r="N279" s="129" t="s">
        <v>139</v>
      </c>
      <c r="O279" s="139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40"/>
    </row>
    <row r="280" spans="1:26" x14ac:dyDescent="0.25">
      <c r="A280" s="203">
        <f t="shared" si="7"/>
        <v>279</v>
      </c>
      <c r="B280" s="128" t="s">
        <v>697</v>
      </c>
      <c r="C280" s="274" t="s">
        <v>697</v>
      </c>
      <c r="D280" s="262" t="s">
        <v>698</v>
      </c>
      <c r="E280" s="128" t="s">
        <v>699</v>
      </c>
      <c r="F280" s="138" t="s">
        <v>701</v>
      </c>
      <c r="G280" s="131" t="s">
        <v>692</v>
      </c>
      <c r="H280" s="128" t="s">
        <v>29</v>
      </c>
      <c r="I280" s="132" t="s">
        <v>123</v>
      </c>
      <c r="J280" s="133">
        <v>8</v>
      </c>
      <c r="K280" s="129">
        <v>1</v>
      </c>
      <c r="L280" s="129">
        <v>1</v>
      </c>
      <c r="M280" s="129" t="s">
        <v>138</v>
      </c>
      <c r="N280" s="129" t="s">
        <v>139</v>
      </c>
      <c r="O280" s="139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40"/>
    </row>
    <row r="281" spans="1:26" s="136" customFormat="1" x14ac:dyDescent="0.25">
      <c r="A281" s="203">
        <f t="shared" si="7"/>
        <v>280</v>
      </c>
      <c r="B281" s="128" t="s">
        <v>702</v>
      </c>
      <c r="C281" s="274" t="s">
        <v>702</v>
      </c>
      <c r="D281" s="262" t="s">
        <v>703</v>
      </c>
      <c r="E281" s="128" t="s">
        <v>699</v>
      </c>
      <c r="F281" s="138" t="s">
        <v>704</v>
      </c>
      <c r="G281" s="131" t="s">
        <v>692</v>
      </c>
      <c r="H281" s="128" t="s">
        <v>29</v>
      </c>
      <c r="I281" s="132" t="s">
        <v>123</v>
      </c>
      <c r="J281" s="133">
        <v>8</v>
      </c>
      <c r="K281" s="129">
        <v>1</v>
      </c>
      <c r="L281" s="129">
        <v>2</v>
      </c>
      <c r="M281" s="129" t="s">
        <v>138</v>
      </c>
      <c r="N281" s="129" t="s">
        <v>139</v>
      </c>
      <c r="O281" s="139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40"/>
    </row>
    <row r="282" spans="1:26" x14ac:dyDescent="0.25">
      <c r="A282" s="203">
        <f t="shared" si="7"/>
        <v>281</v>
      </c>
      <c r="B282" s="128" t="s">
        <v>702</v>
      </c>
      <c r="C282" s="274" t="s">
        <v>702</v>
      </c>
      <c r="D282" s="262" t="s">
        <v>703</v>
      </c>
      <c r="E282" s="128" t="s">
        <v>699</v>
      </c>
      <c r="F282" s="138" t="s">
        <v>705</v>
      </c>
      <c r="G282" s="131" t="s">
        <v>692</v>
      </c>
      <c r="H282" s="128" t="s">
        <v>29</v>
      </c>
      <c r="I282" s="132" t="s">
        <v>123</v>
      </c>
      <c r="J282" s="133">
        <v>8</v>
      </c>
      <c r="K282" s="129">
        <v>1</v>
      </c>
      <c r="L282" s="129">
        <v>3</v>
      </c>
      <c r="M282" s="129" t="s">
        <v>138</v>
      </c>
      <c r="N282" s="129" t="s">
        <v>139</v>
      </c>
      <c r="O282" s="139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40"/>
    </row>
    <row r="283" spans="1:26" x14ac:dyDescent="0.25">
      <c r="A283" s="203">
        <f t="shared" si="7"/>
        <v>282</v>
      </c>
      <c r="B283" s="128" t="s">
        <v>706</v>
      </c>
      <c r="C283" s="274" t="s">
        <v>706</v>
      </c>
      <c r="D283" s="262" t="s">
        <v>707</v>
      </c>
      <c r="E283" s="128" t="s">
        <v>699</v>
      </c>
      <c r="F283" s="138" t="s">
        <v>708</v>
      </c>
      <c r="G283" s="131" t="s">
        <v>692</v>
      </c>
      <c r="H283" s="128" t="s">
        <v>29</v>
      </c>
      <c r="I283" s="132" t="s">
        <v>123</v>
      </c>
      <c r="J283" s="133">
        <v>8</v>
      </c>
      <c r="K283" s="129">
        <v>1</v>
      </c>
      <c r="L283" s="129">
        <v>4</v>
      </c>
      <c r="M283" s="129" t="s">
        <v>138</v>
      </c>
      <c r="N283" s="129" t="s">
        <v>139</v>
      </c>
      <c r="O283" s="139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40"/>
    </row>
    <row r="284" spans="1:26" x14ac:dyDescent="0.25">
      <c r="A284" s="203">
        <f t="shared" si="7"/>
        <v>283</v>
      </c>
      <c r="B284" s="128" t="s">
        <v>706</v>
      </c>
      <c r="C284" s="274" t="s">
        <v>706</v>
      </c>
      <c r="D284" s="262" t="s">
        <v>707</v>
      </c>
      <c r="E284" s="128" t="s">
        <v>699</v>
      </c>
      <c r="F284" s="138" t="s">
        <v>709</v>
      </c>
      <c r="G284" s="131" t="s">
        <v>692</v>
      </c>
      <c r="H284" s="128" t="s">
        <v>29</v>
      </c>
      <c r="I284" s="132" t="s">
        <v>123</v>
      </c>
      <c r="J284" s="133">
        <v>8</v>
      </c>
      <c r="K284" s="129">
        <v>1</v>
      </c>
      <c r="L284" s="129">
        <v>5</v>
      </c>
      <c r="M284" s="129" t="s">
        <v>138</v>
      </c>
      <c r="N284" s="129" t="s">
        <v>139</v>
      </c>
      <c r="O284" s="139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40"/>
    </row>
    <row r="285" spans="1:26" x14ac:dyDescent="0.25">
      <c r="A285" s="203">
        <f t="shared" si="7"/>
        <v>284</v>
      </c>
      <c r="B285" s="128" t="s">
        <v>710</v>
      </c>
      <c r="C285" s="274" t="s">
        <v>710</v>
      </c>
      <c r="D285" s="262" t="s">
        <v>711</v>
      </c>
      <c r="E285" s="128" t="s">
        <v>699</v>
      </c>
      <c r="F285" s="138" t="s">
        <v>712</v>
      </c>
      <c r="G285" s="131" t="s">
        <v>692</v>
      </c>
      <c r="H285" s="128" t="s">
        <v>29</v>
      </c>
      <c r="I285" s="132" t="s">
        <v>123</v>
      </c>
      <c r="J285" s="133">
        <v>8</v>
      </c>
      <c r="K285" s="129">
        <v>3</v>
      </c>
      <c r="L285" s="129">
        <v>0</v>
      </c>
      <c r="M285" s="129" t="s">
        <v>138</v>
      </c>
      <c r="N285" s="129" t="s">
        <v>139</v>
      </c>
      <c r="O285" s="139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40"/>
    </row>
    <row r="286" spans="1:26" x14ac:dyDescent="0.25">
      <c r="A286" s="203">
        <f t="shared" si="7"/>
        <v>285</v>
      </c>
      <c r="B286" s="128" t="s">
        <v>710</v>
      </c>
      <c r="C286" s="274" t="s">
        <v>710</v>
      </c>
      <c r="D286" s="262" t="s">
        <v>711</v>
      </c>
      <c r="E286" s="128" t="s">
        <v>699</v>
      </c>
      <c r="F286" s="138" t="s">
        <v>713</v>
      </c>
      <c r="G286" s="131" t="s">
        <v>692</v>
      </c>
      <c r="H286" s="128" t="s">
        <v>29</v>
      </c>
      <c r="I286" s="132" t="s">
        <v>123</v>
      </c>
      <c r="J286" s="133">
        <v>8</v>
      </c>
      <c r="K286" s="129">
        <v>3</v>
      </c>
      <c r="L286" s="129">
        <v>1</v>
      </c>
      <c r="M286" s="129" t="s">
        <v>138</v>
      </c>
      <c r="N286" s="129" t="s">
        <v>139</v>
      </c>
      <c r="O286" s="139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40"/>
    </row>
    <row r="287" spans="1:26" x14ac:dyDescent="0.25">
      <c r="A287" s="203">
        <f t="shared" si="7"/>
        <v>286</v>
      </c>
      <c r="B287" s="128" t="s">
        <v>714</v>
      </c>
      <c r="C287" s="274" t="s">
        <v>714</v>
      </c>
      <c r="D287" s="262" t="s">
        <v>119</v>
      </c>
      <c r="E287" s="128" t="s">
        <v>715</v>
      </c>
      <c r="F287" s="138" t="s">
        <v>716</v>
      </c>
      <c r="G287" s="131" t="s">
        <v>692</v>
      </c>
      <c r="H287" s="128" t="s">
        <v>29</v>
      </c>
      <c r="I287" s="132" t="s">
        <v>717</v>
      </c>
      <c r="J287" s="133">
        <v>9</v>
      </c>
      <c r="K287" s="129">
        <v>1</v>
      </c>
      <c r="L287" s="129">
        <v>6</v>
      </c>
      <c r="M287" s="129" t="s">
        <v>138</v>
      </c>
      <c r="N287" s="129" t="s">
        <v>139</v>
      </c>
      <c r="O287" s="139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45"/>
    </row>
    <row r="288" spans="1:26" x14ac:dyDescent="0.25">
      <c r="A288" s="203">
        <f t="shared" si="7"/>
        <v>287</v>
      </c>
      <c r="B288" s="128" t="s">
        <v>714</v>
      </c>
      <c r="C288" s="274" t="s">
        <v>714</v>
      </c>
      <c r="D288" s="262" t="s">
        <v>119</v>
      </c>
      <c r="E288" s="128" t="s">
        <v>715</v>
      </c>
      <c r="F288" s="138" t="s">
        <v>718</v>
      </c>
      <c r="G288" s="131" t="s">
        <v>692</v>
      </c>
      <c r="H288" s="128" t="s">
        <v>29</v>
      </c>
      <c r="I288" s="132" t="s">
        <v>717</v>
      </c>
      <c r="J288" s="133">
        <v>9</v>
      </c>
      <c r="K288" s="129">
        <v>1</v>
      </c>
      <c r="L288" s="129">
        <v>7</v>
      </c>
      <c r="M288" s="129" t="s">
        <v>138</v>
      </c>
      <c r="N288" s="129" t="s">
        <v>139</v>
      </c>
      <c r="O288" s="139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45"/>
    </row>
    <row r="289" spans="1:26" x14ac:dyDescent="0.25">
      <c r="A289" s="203">
        <f t="shared" si="7"/>
        <v>288</v>
      </c>
      <c r="B289" s="128" t="s">
        <v>719</v>
      </c>
      <c r="C289" s="274" t="s">
        <v>719</v>
      </c>
      <c r="D289" s="262" t="s">
        <v>720</v>
      </c>
      <c r="E289" s="128" t="s">
        <v>715</v>
      </c>
      <c r="F289" s="138" t="s">
        <v>721</v>
      </c>
      <c r="G289" s="131" t="s">
        <v>692</v>
      </c>
      <c r="H289" s="128" t="s">
        <v>29</v>
      </c>
      <c r="I289" s="132" t="s">
        <v>717</v>
      </c>
      <c r="J289" s="133">
        <v>9</v>
      </c>
      <c r="K289" s="129">
        <v>4</v>
      </c>
      <c r="L289" s="129">
        <v>0</v>
      </c>
      <c r="M289" s="129" t="s">
        <v>31</v>
      </c>
      <c r="N289" s="129" t="s">
        <v>32</v>
      </c>
      <c r="O289" s="139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40"/>
    </row>
    <row r="290" spans="1:26" x14ac:dyDescent="0.25">
      <c r="A290" s="203">
        <f t="shared" si="7"/>
        <v>289</v>
      </c>
      <c r="B290" s="128" t="s">
        <v>722</v>
      </c>
      <c r="C290" s="263" t="s">
        <v>722</v>
      </c>
      <c r="D290" s="262" t="s">
        <v>723</v>
      </c>
      <c r="E290" s="128" t="s">
        <v>715</v>
      </c>
      <c r="F290" s="138" t="s">
        <v>724</v>
      </c>
      <c r="G290" s="131" t="s">
        <v>692</v>
      </c>
      <c r="H290" s="128" t="s">
        <v>29</v>
      </c>
      <c r="I290" s="132" t="s">
        <v>717</v>
      </c>
      <c r="J290" s="133">
        <v>9</v>
      </c>
      <c r="K290" s="129">
        <v>6</v>
      </c>
      <c r="L290" s="129">
        <v>8</v>
      </c>
      <c r="M290" s="129" t="s">
        <v>82</v>
      </c>
      <c r="N290" s="129" t="s">
        <v>83</v>
      </c>
      <c r="O290" s="139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40"/>
    </row>
    <row r="291" spans="1:26" x14ac:dyDescent="0.25">
      <c r="A291" s="203">
        <f t="shared" si="7"/>
        <v>290</v>
      </c>
      <c r="B291" s="128" t="s">
        <v>725</v>
      </c>
      <c r="C291" s="274" t="s">
        <v>725</v>
      </c>
      <c r="D291" s="262" t="s">
        <v>726</v>
      </c>
      <c r="E291" s="128" t="s">
        <v>727</v>
      </c>
      <c r="F291" s="138" t="s">
        <v>728</v>
      </c>
      <c r="G291" s="131" t="s">
        <v>692</v>
      </c>
      <c r="H291" s="128" t="s">
        <v>29</v>
      </c>
      <c r="I291" s="132" t="s">
        <v>717</v>
      </c>
      <c r="J291" s="133">
        <v>9</v>
      </c>
      <c r="K291" s="129">
        <v>1</v>
      </c>
      <c r="L291" s="129">
        <v>0</v>
      </c>
      <c r="M291" s="129" t="s">
        <v>138</v>
      </c>
      <c r="N291" s="129" t="s">
        <v>139</v>
      </c>
      <c r="O291" s="139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40"/>
    </row>
    <row r="292" spans="1:26" x14ac:dyDescent="0.25">
      <c r="A292" s="203">
        <f t="shared" si="7"/>
        <v>291</v>
      </c>
      <c r="B292" s="128" t="s">
        <v>725</v>
      </c>
      <c r="C292" s="274" t="s">
        <v>725</v>
      </c>
      <c r="D292" s="262" t="s">
        <v>726</v>
      </c>
      <c r="E292" s="128" t="s">
        <v>727</v>
      </c>
      <c r="F292" s="138" t="s">
        <v>729</v>
      </c>
      <c r="G292" s="131" t="s">
        <v>692</v>
      </c>
      <c r="H292" s="128" t="s">
        <v>29</v>
      </c>
      <c r="I292" s="132" t="s">
        <v>717</v>
      </c>
      <c r="J292" s="133">
        <v>9</v>
      </c>
      <c r="K292" s="129">
        <v>1</v>
      </c>
      <c r="L292" s="129">
        <v>1</v>
      </c>
      <c r="M292" s="129" t="s">
        <v>138</v>
      </c>
      <c r="N292" s="129" t="s">
        <v>139</v>
      </c>
      <c r="O292" s="139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40"/>
    </row>
    <row r="293" spans="1:26" x14ac:dyDescent="0.25">
      <c r="A293" s="203">
        <f t="shared" si="7"/>
        <v>292</v>
      </c>
      <c r="B293" s="128" t="s">
        <v>730</v>
      </c>
      <c r="C293" s="274" t="s">
        <v>730</v>
      </c>
      <c r="D293" s="262" t="s">
        <v>731</v>
      </c>
      <c r="E293" s="128" t="s">
        <v>727</v>
      </c>
      <c r="F293" s="138" t="s">
        <v>732</v>
      </c>
      <c r="G293" s="131" t="s">
        <v>692</v>
      </c>
      <c r="H293" s="128" t="s">
        <v>29</v>
      </c>
      <c r="I293" s="132" t="s">
        <v>717</v>
      </c>
      <c r="J293" s="133">
        <v>9</v>
      </c>
      <c r="K293" s="129">
        <v>1</v>
      </c>
      <c r="L293" s="129">
        <v>2</v>
      </c>
      <c r="M293" s="129" t="s">
        <v>138</v>
      </c>
      <c r="N293" s="129" t="s">
        <v>139</v>
      </c>
      <c r="O293" s="139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40"/>
    </row>
    <row r="294" spans="1:26" x14ac:dyDescent="0.25">
      <c r="A294" s="203">
        <f t="shared" si="7"/>
        <v>293</v>
      </c>
      <c r="B294" s="128" t="s">
        <v>730</v>
      </c>
      <c r="C294" s="274" t="s">
        <v>730</v>
      </c>
      <c r="D294" s="262" t="s">
        <v>731</v>
      </c>
      <c r="E294" s="128" t="s">
        <v>727</v>
      </c>
      <c r="F294" s="138" t="s">
        <v>733</v>
      </c>
      <c r="G294" s="131" t="s">
        <v>692</v>
      </c>
      <c r="H294" s="128" t="s">
        <v>29</v>
      </c>
      <c r="I294" s="132" t="s">
        <v>717</v>
      </c>
      <c r="J294" s="133">
        <v>9</v>
      </c>
      <c r="K294" s="129">
        <v>1</v>
      </c>
      <c r="L294" s="129">
        <v>3</v>
      </c>
      <c r="M294" s="129" t="s">
        <v>138</v>
      </c>
      <c r="N294" s="129" t="s">
        <v>139</v>
      </c>
      <c r="O294" s="139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40"/>
    </row>
    <row r="295" spans="1:26" x14ac:dyDescent="0.25">
      <c r="A295" s="203">
        <f t="shared" si="7"/>
        <v>294</v>
      </c>
      <c r="B295" s="128" t="s">
        <v>734</v>
      </c>
      <c r="C295" s="274" t="s">
        <v>734</v>
      </c>
      <c r="D295" s="262" t="s">
        <v>735</v>
      </c>
      <c r="E295" s="128" t="s">
        <v>727</v>
      </c>
      <c r="F295" s="138" t="s">
        <v>736</v>
      </c>
      <c r="G295" s="131" t="s">
        <v>692</v>
      </c>
      <c r="H295" s="128" t="s">
        <v>29</v>
      </c>
      <c r="I295" s="132" t="s">
        <v>717</v>
      </c>
      <c r="J295" s="133">
        <v>9</v>
      </c>
      <c r="K295" s="129">
        <v>1</v>
      </c>
      <c r="L295" s="129">
        <v>4</v>
      </c>
      <c r="M295" s="129" t="s">
        <v>138</v>
      </c>
      <c r="N295" s="129" t="s">
        <v>139</v>
      </c>
      <c r="O295" s="139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40"/>
    </row>
    <row r="296" spans="1:26" x14ac:dyDescent="0.25">
      <c r="A296" s="203">
        <f t="shared" si="7"/>
        <v>295</v>
      </c>
      <c r="B296" s="128" t="s">
        <v>734</v>
      </c>
      <c r="C296" s="274" t="s">
        <v>734</v>
      </c>
      <c r="D296" s="262" t="s">
        <v>735</v>
      </c>
      <c r="E296" s="128" t="s">
        <v>727</v>
      </c>
      <c r="F296" s="138" t="s">
        <v>737</v>
      </c>
      <c r="G296" s="131" t="s">
        <v>692</v>
      </c>
      <c r="H296" s="128" t="s">
        <v>29</v>
      </c>
      <c r="I296" s="132" t="s">
        <v>717</v>
      </c>
      <c r="J296" s="133">
        <v>9</v>
      </c>
      <c r="K296" s="129">
        <v>1</v>
      </c>
      <c r="L296" s="129">
        <v>5</v>
      </c>
      <c r="M296" s="129" t="s">
        <v>138</v>
      </c>
      <c r="N296" s="129" t="s">
        <v>139</v>
      </c>
      <c r="O296" s="139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40"/>
    </row>
    <row r="297" spans="1:26" x14ac:dyDescent="0.25">
      <c r="A297" s="203">
        <f t="shared" ref="A297:A360" si="8">ROW()-1</f>
        <v>296</v>
      </c>
      <c r="B297" s="128" t="s">
        <v>738</v>
      </c>
      <c r="C297" s="274" t="s">
        <v>738</v>
      </c>
      <c r="D297" s="262" t="s">
        <v>739</v>
      </c>
      <c r="E297" s="128" t="s">
        <v>727</v>
      </c>
      <c r="F297" s="138" t="s">
        <v>740</v>
      </c>
      <c r="G297" s="131" t="s">
        <v>692</v>
      </c>
      <c r="H297" s="128" t="s">
        <v>29</v>
      </c>
      <c r="I297" s="132" t="s">
        <v>717</v>
      </c>
      <c r="J297" s="133">
        <v>9</v>
      </c>
      <c r="K297" s="129">
        <v>3</v>
      </c>
      <c r="L297" s="129">
        <v>0</v>
      </c>
      <c r="M297" s="129" t="s">
        <v>138</v>
      </c>
      <c r="N297" s="129" t="s">
        <v>139</v>
      </c>
      <c r="O297" s="139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40"/>
    </row>
    <row r="298" spans="1:26" x14ac:dyDescent="0.25">
      <c r="A298" s="203">
        <f t="shared" si="8"/>
        <v>297</v>
      </c>
      <c r="B298" s="128" t="s">
        <v>738</v>
      </c>
      <c r="C298" s="274" t="s">
        <v>738</v>
      </c>
      <c r="D298" s="262" t="s">
        <v>739</v>
      </c>
      <c r="E298" s="128" t="s">
        <v>727</v>
      </c>
      <c r="F298" s="138" t="s">
        <v>741</v>
      </c>
      <c r="G298" s="131" t="s">
        <v>692</v>
      </c>
      <c r="H298" s="128" t="s">
        <v>29</v>
      </c>
      <c r="I298" s="132" t="s">
        <v>717</v>
      </c>
      <c r="J298" s="133">
        <v>9</v>
      </c>
      <c r="K298" s="129">
        <v>3</v>
      </c>
      <c r="L298" s="129">
        <v>1</v>
      </c>
      <c r="M298" s="129" t="s">
        <v>138</v>
      </c>
      <c r="N298" s="129" t="s">
        <v>139</v>
      </c>
      <c r="O298" s="139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40"/>
    </row>
    <row r="299" spans="1:26" x14ac:dyDescent="0.25">
      <c r="A299" s="203">
        <f t="shared" si="8"/>
        <v>298</v>
      </c>
      <c r="B299" s="128"/>
      <c r="C299" s="274" t="s">
        <v>742</v>
      </c>
      <c r="D299" s="264"/>
      <c r="E299" s="133"/>
      <c r="F299" s="141" t="s">
        <v>743</v>
      </c>
      <c r="G299" s="142" t="s">
        <v>692</v>
      </c>
      <c r="H299" s="133" t="s">
        <v>130</v>
      </c>
      <c r="I299" s="131" t="s">
        <v>131</v>
      </c>
      <c r="J299" s="133">
        <v>18</v>
      </c>
      <c r="K299" s="129">
        <v>14</v>
      </c>
      <c r="L299" s="129">
        <v>2</v>
      </c>
      <c r="M299" s="129" t="s">
        <v>82</v>
      </c>
      <c r="N299" s="129" t="s">
        <v>83</v>
      </c>
      <c r="O299" s="139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40"/>
    </row>
    <row r="300" spans="1:26" x14ac:dyDescent="0.25">
      <c r="A300" s="203">
        <f t="shared" si="8"/>
        <v>299</v>
      </c>
      <c r="B300" s="128" t="s">
        <v>744</v>
      </c>
      <c r="C300" s="263" t="s">
        <v>744</v>
      </c>
      <c r="D300" s="262" t="s">
        <v>745</v>
      </c>
      <c r="E300" s="128" t="s">
        <v>746</v>
      </c>
      <c r="F300" s="138" t="s">
        <v>747</v>
      </c>
      <c r="G300" s="131" t="s">
        <v>692</v>
      </c>
      <c r="H300" s="128" t="s">
        <v>29</v>
      </c>
      <c r="I300" s="132" t="s">
        <v>123</v>
      </c>
      <c r="J300" s="133">
        <v>8</v>
      </c>
      <c r="K300" s="129">
        <v>4</v>
      </c>
      <c r="L300" s="129">
        <v>5</v>
      </c>
      <c r="M300" s="129" t="s">
        <v>31</v>
      </c>
      <c r="N300" s="129" t="s">
        <v>32</v>
      </c>
      <c r="O300" s="139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40"/>
    </row>
    <row r="301" spans="1:26" x14ac:dyDescent="0.25">
      <c r="A301" s="203">
        <f t="shared" si="8"/>
        <v>300</v>
      </c>
      <c r="B301" s="128" t="s">
        <v>748</v>
      </c>
      <c r="C301" s="263" t="s">
        <v>748</v>
      </c>
      <c r="D301" s="262" t="s">
        <v>749</v>
      </c>
      <c r="E301" s="128" t="s">
        <v>746</v>
      </c>
      <c r="F301" s="138" t="s">
        <v>750</v>
      </c>
      <c r="G301" s="131" t="s">
        <v>692</v>
      </c>
      <c r="H301" s="128" t="s">
        <v>29</v>
      </c>
      <c r="I301" s="132" t="s">
        <v>123</v>
      </c>
      <c r="J301" s="133">
        <v>8</v>
      </c>
      <c r="K301" s="129">
        <v>4</v>
      </c>
      <c r="L301" s="129">
        <v>6</v>
      </c>
      <c r="M301" s="129" t="s">
        <v>31</v>
      </c>
      <c r="N301" s="129" t="s">
        <v>32</v>
      </c>
      <c r="O301" s="139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40"/>
    </row>
    <row r="302" spans="1:26" x14ac:dyDescent="0.25">
      <c r="A302" s="203">
        <f t="shared" si="8"/>
        <v>301</v>
      </c>
      <c r="B302" s="128" t="s">
        <v>751</v>
      </c>
      <c r="C302" s="274" t="s">
        <v>751</v>
      </c>
      <c r="D302" s="262" t="s">
        <v>689</v>
      </c>
      <c r="E302" s="128" t="s">
        <v>746</v>
      </c>
      <c r="F302" s="138" t="s">
        <v>752</v>
      </c>
      <c r="G302" s="131" t="s">
        <v>692</v>
      </c>
      <c r="H302" s="128" t="s">
        <v>29</v>
      </c>
      <c r="I302" s="132" t="s">
        <v>123</v>
      </c>
      <c r="J302" s="133">
        <v>8</v>
      </c>
      <c r="K302" s="129">
        <v>2</v>
      </c>
      <c r="L302" s="129">
        <v>0</v>
      </c>
      <c r="M302" s="129" t="s">
        <v>138</v>
      </c>
      <c r="N302" s="129" t="s">
        <v>139</v>
      </c>
      <c r="O302" s="139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40"/>
    </row>
    <row r="303" spans="1:26" x14ac:dyDescent="0.25">
      <c r="A303" s="203">
        <f t="shared" si="8"/>
        <v>302</v>
      </c>
      <c r="B303" s="128" t="s">
        <v>751</v>
      </c>
      <c r="C303" s="274" t="s">
        <v>751</v>
      </c>
      <c r="D303" s="262" t="s">
        <v>689</v>
      </c>
      <c r="E303" s="128" t="s">
        <v>746</v>
      </c>
      <c r="F303" s="138" t="s">
        <v>753</v>
      </c>
      <c r="G303" s="131" t="s">
        <v>692</v>
      </c>
      <c r="H303" s="128" t="s">
        <v>29</v>
      </c>
      <c r="I303" s="132" t="s">
        <v>123</v>
      </c>
      <c r="J303" s="133">
        <v>8</v>
      </c>
      <c r="K303" s="129">
        <v>2</v>
      </c>
      <c r="L303" s="129">
        <v>1</v>
      </c>
      <c r="M303" s="129" t="s">
        <v>138</v>
      </c>
      <c r="N303" s="129" t="s">
        <v>139</v>
      </c>
      <c r="O303" s="139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40"/>
    </row>
    <row r="304" spans="1:26" x14ac:dyDescent="0.25">
      <c r="A304" s="203">
        <f t="shared" si="8"/>
        <v>303</v>
      </c>
      <c r="B304" s="128" t="s">
        <v>754</v>
      </c>
      <c r="C304" s="274" t="s">
        <v>754</v>
      </c>
      <c r="D304" s="262" t="s">
        <v>755</v>
      </c>
      <c r="E304" s="128" t="s">
        <v>746</v>
      </c>
      <c r="F304" s="138" t="s">
        <v>756</v>
      </c>
      <c r="G304" s="131" t="s">
        <v>692</v>
      </c>
      <c r="H304" s="128" t="s">
        <v>29</v>
      </c>
      <c r="I304" s="132" t="s">
        <v>123</v>
      </c>
      <c r="J304" s="133">
        <v>8</v>
      </c>
      <c r="K304" s="129">
        <v>4</v>
      </c>
      <c r="L304" s="129">
        <v>7</v>
      </c>
      <c r="M304" s="129" t="s">
        <v>31</v>
      </c>
      <c r="N304" s="129" t="s">
        <v>32</v>
      </c>
      <c r="O304" s="139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40"/>
    </row>
    <row r="305" spans="1:26" x14ac:dyDescent="0.25">
      <c r="A305" s="203">
        <f t="shared" si="8"/>
        <v>304</v>
      </c>
      <c r="B305" s="128" t="s">
        <v>757</v>
      </c>
      <c r="C305" s="274" t="s">
        <v>757</v>
      </c>
      <c r="D305" s="262" t="s">
        <v>758</v>
      </c>
      <c r="E305" s="128" t="s">
        <v>746</v>
      </c>
      <c r="F305" s="138" t="s">
        <v>759</v>
      </c>
      <c r="G305" s="131" t="s">
        <v>692</v>
      </c>
      <c r="H305" s="128" t="s">
        <v>29</v>
      </c>
      <c r="I305" s="132" t="s">
        <v>123</v>
      </c>
      <c r="J305" s="133">
        <v>8</v>
      </c>
      <c r="K305" s="129">
        <v>4</v>
      </c>
      <c r="L305" s="129">
        <v>8</v>
      </c>
      <c r="M305" s="129" t="s">
        <v>31</v>
      </c>
      <c r="N305" s="129" t="s">
        <v>32</v>
      </c>
      <c r="O305" s="139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40"/>
    </row>
    <row r="306" spans="1:26" x14ac:dyDescent="0.25">
      <c r="A306" s="203">
        <f t="shared" si="8"/>
        <v>305</v>
      </c>
      <c r="B306" s="128" t="s">
        <v>760</v>
      </c>
      <c r="C306" s="263" t="s">
        <v>760</v>
      </c>
      <c r="D306" s="262" t="s">
        <v>689</v>
      </c>
      <c r="E306" s="128" t="s">
        <v>746</v>
      </c>
      <c r="F306" s="138" t="s">
        <v>761</v>
      </c>
      <c r="G306" s="131" t="s">
        <v>692</v>
      </c>
      <c r="H306" s="128" t="s">
        <v>29</v>
      </c>
      <c r="I306" s="132" t="s">
        <v>123</v>
      </c>
      <c r="J306" s="133">
        <v>8</v>
      </c>
      <c r="K306" s="129">
        <v>6</v>
      </c>
      <c r="L306" s="129">
        <v>0</v>
      </c>
      <c r="M306" s="129" t="s">
        <v>82</v>
      </c>
      <c r="N306" s="129" t="s">
        <v>83</v>
      </c>
      <c r="O306" s="139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40"/>
    </row>
    <row r="307" spans="1:26" x14ac:dyDescent="0.25">
      <c r="A307" s="203">
        <f t="shared" si="8"/>
        <v>306</v>
      </c>
      <c r="B307" s="128" t="s">
        <v>762</v>
      </c>
      <c r="C307" s="274" t="s">
        <v>762</v>
      </c>
      <c r="D307" s="262" t="s">
        <v>763</v>
      </c>
      <c r="E307" s="128" t="s">
        <v>746</v>
      </c>
      <c r="F307" s="138" t="s">
        <v>764</v>
      </c>
      <c r="G307" s="131" t="s">
        <v>692</v>
      </c>
      <c r="H307" s="128" t="s">
        <v>29</v>
      </c>
      <c r="I307" s="132" t="s">
        <v>123</v>
      </c>
      <c r="J307" s="133">
        <v>8</v>
      </c>
      <c r="K307" s="129">
        <v>4</v>
      </c>
      <c r="L307" s="129">
        <v>3</v>
      </c>
      <c r="M307" s="129" t="s">
        <v>31</v>
      </c>
      <c r="N307" s="129" t="s">
        <v>32</v>
      </c>
      <c r="O307" s="139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40"/>
    </row>
    <row r="308" spans="1:26" x14ac:dyDescent="0.25">
      <c r="A308" s="203">
        <f t="shared" si="8"/>
        <v>307</v>
      </c>
      <c r="B308" s="128" t="s">
        <v>765</v>
      </c>
      <c r="C308" s="274" t="s">
        <v>765</v>
      </c>
      <c r="D308" s="262" t="s">
        <v>766</v>
      </c>
      <c r="E308" s="128" t="s">
        <v>746</v>
      </c>
      <c r="F308" s="138" t="s">
        <v>767</v>
      </c>
      <c r="G308" s="131" t="s">
        <v>692</v>
      </c>
      <c r="H308" s="128" t="s">
        <v>29</v>
      </c>
      <c r="I308" s="132" t="s">
        <v>123</v>
      </c>
      <c r="J308" s="133">
        <v>8</v>
      </c>
      <c r="K308" s="129">
        <v>6</v>
      </c>
      <c r="L308" s="129">
        <v>4</v>
      </c>
      <c r="M308" s="129" t="s">
        <v>82</v>
      </c>
      <c r="N308" s="129" t="s">
        <v>83</v>
      </c>
      <c r="O308" s="139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40"/>
    </row>
    <row r="309" spans="1:26" x14ac:dyDescent="0.25">
      <c r="A309" s="203">
        <f t="shared" si="8"/>
        <v>308</v>
      </c>
      <c r="B309" s="128" t="s">
        <v>768</v>
      </c>
      <c r="C309" s="274" t="s">
        <v>768</v>
      </c>
      <c r="D309" s="262" t="s">
        <v>766</v>
      </c>
      <c r="E309" s="128" t="s">
        <v>746</v>
      </c>
      <c r="F309" s="138" t="s">
        <v>769</v>
      </c>
      <c r="G309" s="131" t="s">
        <v>692</v>
      </c>
      <c r="H309" s="128" t="s">
        <v>29</v>
      </c>
      <c r="I309" s="132" t="s">
        <v>123</v>
      </c>
      <c r="J309" s="133">
        <v>8</v>
      </c>
      <c r="K309" s="129">
        <v>6</v>
      </c>
      <c r="L309" s="129">
        <v>5</v>
      </c>
      <c r="M309" s="129" t="s">
        <v>82</v>
      </c>
      <c r="N309" s="129" t="s">
        <v>83</v>
      </c>
      <c r="O309" s="139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40"/>
    </row>
    <row r="310" spans="1:26" x14ac:dyDescent="0.25">
      <c r="A310" s="203">
        <f t="shared" si="8"/>
        <v>309</v>
      </c>
      <c r="B310" s="128" t="s">
        <v>770</v>
      </c>
      <c r="C310" s="274" t="s">
        <v>770</v>
      </c>
      <c r="D310" s="262" t="s">
        <v>771</v>
      </c>
      <c r="E310" s="128" t="s">
        <v>746</v>
      </c>
      <c r="F310" s="138" t="s">
        <v>772</v>
      </c>
      <c r="G310" s="131" t="s">
        <v>692</v>
      </c>
      <c r="H310" s="128" t="s">
        <v>29</v>
      </c>
      <c r="I310" s="132" t="s">
        <v>123</v>
      </c>
      <c r="J310" s="133">
        <v>8</v>
      </c>
      <c r="K310" s="129">
        <v>6</v>
      </c>
      <c r="L310" s="129">
        <v>6</v>
      </c>
      <c r="M310" s="129" t="s">
        <v>82</v>
      </c>
      <c r="N310" s="129" t="s">
        <v>83</v>
      </c>
      <c r="O310" s="139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40"/>
    </row>
    <row r="311" spans="1:26" x14ac:dyDescent="0.25">
      <c r="A311" s="203">
        <f t="shared" si="8"/>
        <v>310</v>
      </c>
      <c r="B311" s="128" t="s">
        <v>773</v>
      </c>
      <c r="C311" s="274" t="s">
        <v>773</v>
      </c>
      <c r="D311" s="262" t="s">
        <v>771</v>
      </c>
      <c r="E311" s="128" t="s">
        <v>746</v>
      </c>
      <c r="F311" s="138" t="s">
        <v>774</v>
      </c>
      <c r="G311" s="131" t="s">
        <v>692</v>
      </c>
      <c r="H311" s="128" t="s">
        <v>29</v>
      </c>
      <c r="I311" s="132" t="s">
        <v>123</v>
      </c>
      <c r="J311" s="133">
        <v>8</v>
      </c>
      <c r="K311" s="129">
        <v>6</v>
      </c>
      <c r="L311" s="129">
        <v>7</v>
      </c>
      <c r="M311" s="129" t="s">
        <v>82</v>
      </c>
      <c r="N311" s="129" t="s">
        <v>83</v>
      </c>
      <c r="O311" s="139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40"/>
    </row>
    <row r="312" spans="1:26" x14ac:dyDescent="0.25">
      <c r="A312" s="203">
        <f t="shared" si="8"/>
        <v>311</v>
      </c>
      <c r="B312" s="128" t="s">
        <v>775</v>
      </c>
      <c r="C312" s="274" t="s">
        <v>775</v>
      </c>
      <c r="D312" s="262" t="s">
        <v>776</v>
      </c>
      <c r="E312" s="128" t="s">
        <v>746</v>
      </c>
      <c r="F312" s="138" t="s">
        <v>777</v>
      </c>
      <c r="G312" s="131" t="s">
        <v>692</v>
      </c>
      <c r="H312" s="128" t="s">
        <v>29</v>
      </c>
      <c r="I312" s="132" t="s">
        <v>123</v>
      </c>
      <c r="J312" s="133">
        <v>8</v>
      </c>
      <c r="K312" s="129">
        <v>6</v>
      </c>
      <c r="L312" s="129">
        <v>2</v>
      </c>
      <c r="M312" s="129" t="s">
        <v>82</v>
      </c>
      <c r="N312" s="129" t="s">
        <v>83</v>
      </c>
      <c r="O312" s="139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48"/>
    </row>
    <row r="313" spans="1:26" x14ac:dyDescent="0.25">
      <c r="A313" s="203">
        <f t="shared" si="8"/>
        <v>312</v>
      </c>
      <c r="B313" s="128" t="s">
        <v>778</v>
      </c>
      <c r="C313" s="274" t="s">
        <v>778</v>
      </c>
      <c r="D313" s="262" t="s">
        <v>776</v>
      </c>
      <c r="E313" s="128" t="s">
        <v>746</v>
      </c>
      <c r="F313" s="138" t="s">
        <v>779</v>
      </c>
      <c r="G313" s="131" t="s">
        <v>692</v>
      </c>
      <c r="H313" s="128" t="s">
        <v>29</v>
      </c>
      <c r="I313" s="132" t="s">
        <v>123</v>
      </c>
      <c r="J313" s="133">
        <v>8</v>
      </c>
      <c r="K313" s="129">
        <v>6</v>
      </c>
      <c r="L313" s="129">
        <v>3</v>
      </c>
      <c r="M313" s="129" t="s">
        <v>82</v>
      </c>
      <c r="N313" s="129" t="s">
        <v>83</v>
      </c>
      <c r="O313" s="139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48"/>
    </row>
    <row r="314" spans="1:26" x14ac:dyDescent="0.25">
      <c r="A314" s="203">
        <f t="shared" si="8"/>
        <v>313</v>
      </c>
      <c r="B314" s="128" t="s">
        <v>780</v>
      </c>
      <c r="C314" s="274" t="s">
        <v>780</v>
      </c>
      <c r="D314" s="262" t="s">
        <v>781</v>
      </c>
      <c r="E314" s="128" t="s">
        <v>746</v>
      </c>
      <c r="F314" s="138" t="s">
        <v>782</v>
      </c>
      <c r="G314" s="131" t="s">
        <v>692</v>
      </c>
      <c r="H314" s="128" t="s">
        <v>29</v>
      </c>
      <c r="I314" s="132" t="s">
        <v>123</v>
      </c>
      <c r="J314" s="133">
        <v>8</v>
      </c>
      <c r="K314" s="129">
        <v>4</v>
      </c>
      <c r="L314" s="129">
        <v>1</v>
      </c>
      <c r="M314" s="129" t="s">
        <v>31</v>
      </c>
      <c r="N314" s="129" t="s">
        <v>32</v>
      </c>
      <c r="O314" s="139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47"/>
    </row>
    <row r="315" spans="1:26" x14ac:dyDescent="0.25">
      <c r="A315" s="203">
        <f t="shared" si="8"/>
        <v>314</v>
      </c>
      <c r="B315" s="128" t="s">
        <v>783</v>
      </c>
      <c r="C315" s="274" t="s">
        <v>783</v>
      </c>
      <c r="D315" s="262" t="s">
        <v>784</v>
      </c>
      <c r="E315" s="128" t="s">
        <v>746</v>
      </c>
      <c r="F315" s="138" t="s">
        <v>785</v>
      </c>
      <c r="G315" s="131" t="s">
        <v>692</v>
      </c>
      <c r="H315" s="128" t="s">
        <v>29</v>
      </c>
      <c r="I315" s="132" t="s">
        <v>123</v>
      </c>
      <c r="J315" s="133">
        <v>8</v>
      </c>
      <c r="K315" s="129">
        <v>2</v>
      </c>
      <c r="L315" s="129">
        <v>4</v>
      </c>
      <c r="M315" s="129" t="s">
        <v>138</v>
      </c>
      <c r="N315" s="129" t="s">
        <v>139</v>
      </c>
      <c r="O315" s="139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40"/>
    </row>
    <row r="316" spans="1:26" x14ac:dyDescent="0.25">
      <c r="A316" s="203">
        <f t="shared" si="8"/>
        <v>315</v>
      </c>
      <c r="B316" s="128" t="s">
        <v>783</v>
      </c>
      <c r="C316" s="274" t="s">
        <v>783</v>
      </c>
      <c r="D316" s="262" t="s">
        <v>784</v>
      </c>
      <c r="E316" s="128" t="s">
        <v>746</v>
      </c>
      <c r="F316" s="138" t="s">
        <v>786</v>
      </c>
      <c r="G316" s="131" t="s">
        <v>692</v>
      </c>
      <c r="H316" s="128" t="s">
        <v>29</v>
      </c>
      <c r="I316" s="132" t="s">
        <v>123</v>
      </c>
      <c r="J316" s="133">
        <v>8</v>
      </c>
      <c r="K316" s="129">
        <v>2</v>
      </c>
      <c r="L316" s="129">
        <v>5</v>
      </c>
      <c r="M316" s="129" t="s">
        <v>138</v>
      </c>
      <c r="N316" s="129" t="s">
        <v>139</v>
      </c>
      <c r="O316" s="139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40"/>
    </row>
    <row r="317" spans="1:26" x14ac:dyDescent="0.25">
      <c r="A317" s="203">
        <f t="shared" si="8"/>
        <v>316</v>
      </c>
      <c r="B317" s="128" t="s">
        <v>787</v>
      </c>
      <c r="C317" s="274" t="s">
        <v>787</v>
      </c>
      <c r="D317" s="262" t="s">
        <v>788</v>
      </c>
      <c r="E317" s="128" t="s">
        <v>746</v>
      </c>
      <c r="F317" s="138" t="s">
        <v>789</v>
      </c>
      <c r="G317" s="131" t="s">
        <v>692</v>
      </c>
      <c r="H317" s="128" t="s">
        <v>29</v>
      </c>
      <c r="I317" s="132" t="s">
        <v>123</v>
      </c>
      <c r="J317" s="133">
        <v>8</v>
      </c>
      <c r="K317" s="129">
        <v>2</v>
      </c>
      <c r="L317" s="129">
        <v>6</v>
      </c>
      <c r="M317" s="129" t="s">
        <v>138</v>
      </c>
      <c r="N317" s="129" t="s">
        <v>139</v>
      </c>
      <c r="O317" s="139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40"/>
    </row>
    <row r="318" spans="1:26" x14ac:dyDescent="0.25">
      <c r="A318" s="203">
        <f t="shared" si="8"/>
        <v>317</v>
      </c>
      <c r="B318" s="128" t="s">
        <v>787</v>
      </c>
      <c r="C318" s="274" t="s">
        <v>787</v>
      </c>
      <c r="D318" s="262" t="s">
        <v>788</v>
      </c>
      <c r="E318" s="128" t="s">
        <v>746</v>
      </c>
      <c r="F318" s="138" t="s">
        <v>790</v>
      </c>
      <c r="G318" s="131" t="s">
        <v>692</v>
      </c>
      <c r="H318" s="128" t="s">
        <v>29</v>
      </c>
      <c r="I318" s="132" t="s">
        <v>123</v>
      </c>
      <c r="J318" s="133">
        <v>8</v>
      </c>
      <c r="K318" s="129">
        <v>2</v>
      </c>
      <c r="L318" s="129">
        <v>7</v>
      </c>
      <c r="M318" s="129" t="s">
        <v>138</v>
      </c>
      <c r="N318" s="129" t="s">
        <v>139</v>
      </c>
      <c r="O318" s="139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40"/>
    </row>
    <row r="319" spans="1:26" x14ac:dyDescent="0.25">
      <c r="A319" s="203">
        <f t="shared" si="8"/>
        <v>318</v>
      </c>
      <c r="B319" s="128" t="s">
        <v>791</v>
      </c>
      <c r="C319" s="274" t="s">
        <v>791</v>
      </c>
      <c r="D319" s="262" t="s">
        <v>792</v>
      </c>
      <c r="E319" s="128" t="s">
        <v>746</v>
      </c>
      <c r="F319" s="138" t="s">
        <v>793</v>
      </c>
      <c r="G319" s="131" t="s">
        <v>692</v>
      </c>
      <c r="H319" s="128" t="s">
        <v>29</v>
      </c>
      <c r="I319" s="132" t="s">
        <v>123</v>
      </c>
      <c r="J319" s="133">
        <v>8</v>
      </c>
      <c r="K319" s="129">
        <v>2</v>
      </c>
      <c r="L319" s="129">
        <v>2</v>
      </c>
      <c r="M319" s="129" t="s">
        <v>138</v>
      </c>
      <c r="N319" s="129" t="s">
        <v>139</v>
      </c>
      <c r="O319" s="139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40"/>
    </row>
    <row r="320" spans="1:26" x14ac:dyDescent="0.25">
      <c r="A320" s="203">
        <f t="shared" si="8"/>
        <v>319</v>
      </c>
      <c r="B320" s="128" t="s">
        <v>791</v>
      </c>
      <c r="C320" s="274" t="s">
        <v>791</v>
      </c>
      <c r="D320" s="262" t="s">
        <v>792</v>
      </c>
      <c r="E320" s="128" t="s">
        <v>746</v>
      </c>
      <c r="F320" s="138" t="s">
        <v>794</v>
      </c>
      <c r="G320" s="131" t="s">
        <v>692</v>
      </c>
      <c r="H320" s="128" t="s">
        <v>29</v>
      </c>
      <c r="I320" s="132" t="s">
        <v>123</v>
      </c>
      <c r="J320" s="133">
        <v>8</v>
      </c>
      <c r="K320" s="129">
        <v>2</v>
      </c>
      <c r="L320" s="129">
        <v>3</v>
      </c>
      <c r="M320" s="129" t="s">
        <v>138</v>
      </c>
      <c r="N320" s="129" t="s">
        <v>139</v>
      </c>
      <c r="O320" s="139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40"/>
    </row>
    <row r="321" spans="1:26" x14ac:dyDescent="0.25">
      <c r="A321" s="203">
        <f t="shared" si="8"/>
        <v>320</v>
      </c>
      <c r="B321" s="128"/>
      <c r="C321" s="274" t="s">
        <v>795</v>
      </c>
      <c r="D321" s="264"/>
      <c r="E321" s="133"/>
      <c r="F321" s="141" t="s">
        <v>796</v>
      </c>
      <c r="G321" s="142" t="s">
        <v>692</v>
      </c>
      <c r="H321" s="133" t="s">
        <v>130</v>
      </c>
      <c r="I321" s="131" t="s">
        <v>131</v>
      </c>
      <c r="J321" s="133">
        <v>18</v>
      </c>
      <c r="K321" s="129">
        <v>14</v>
      </c>
      <c r="L321" s="129">
        <v>3</v>
      </c>
      <c r="M321" s="129" t="s">
        <v>82</v>
      </c>
      <c r="N321" s="129" t="s">
        <v>83</v>
      </c>
      <c r="O321" s="139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40"/>
    </row>
    <row r="322" spans="1:26" x14ac:dyDescent="0.25">
      <c r="A322" s="203">
        <f t="shared" si="8"/>
        <v>321</v>
      </c>
      <c r="B322" s="128" t="s">
        <v>797</v>
      </c>
      <c r="C322" s="263" t="s">
        <v>797</v>
      </c>
      <c r="D322" s="262" t="s">
        <v>798</v>
      </c>
      <c r="E322" s="128" t="s">
        <v>799</v>
      </c>
      <c r="F322" s="138" t="s">
        <v>800</v>
      </c>
      <c r="G322" s="131" t="s">
        <v>692</v>
      </c>
      <c r="H322" s="128" t="s">
        <v>29</v>
      </c>
      <c r="I322" s="132" t="s">
        <v>717</v>
      </c>
      <c r="J322" s="133">
        <v>9</v>
      </c>
      <c r="K322" s="129">
        <v>4</v>
      </c>
      <c r="L322" s="129">
        <v>5</v>
      </c>
      <c r="M322" s="129" t="s">
        <v>31</v>
      </c>
      <c r="N322" s="129" t="s">
        <v>32</v>
      </c>
      <c r="O322" s="139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40"/>
    </row>
    <row r="323" spans="1:26" x14ac:dyDescent="0.25">
      <c r="A323" s="203">
        <f t="shared" si="8"/>
        <v>322</v>
      </c>
      <c r="B323" s="128" t="s">
        <v>801</v>
      </c>
      <c r="C323" s="263" t="s">
        <v>801</v>
      </c>
      <c r="D323" s="262" t="s">
        <v>802</v>
      </c>
      <c r="E323" s="128" t="s">
        <v>799</v>
      </c>
      <c r="F323" s="138" t="s">
        <v>803</v>
      </c>
      <c r="G323" s="131" t="s">
        <v>692</v>
      </c>
      <c r="H323" s="128" t="s">
        <v>29</v>
      </c>
      <c r="I323" s="132" t="s">
        <v>717</v>
      </c>
      <c r="J323" s="133">
        <v>9</v>
      </c>
      <c r="K323" s="129">
        <v>4</v>
      </c>
      <c r="L323" s="129">
        <v>6</v>
      </c>
      <c r="M323" s="129" t="s">
        <v>31</v>
      </c>
      <c r="N323" s="129" t="s">
        <v>32</v>
      </c>
      <c r="O323" s="139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40"/>
    </row>
    <row r="324" spans="1:26" x14ac:dyDescent="0.25">
      <c r="A324" s="203">
        <f t="shared" si="8"/>
        <v>323</v>
      </c>
      <c r="B324" s="128" t="s">
        <v>804</v>
      </c>
      <c r="C324" s="274" t="s">
        <v>804</v>
      </c>
      <c r="D324" s="262" t="s">
        <v>805</v>
      </c>
      <c r="E324" s="128" t="s">
        <v>799</v>
      </c>
      <c r="F324" s="138" t="s">
        <v>806</v>
      </c>
      <c r="G324" s="131" t="s">
        <v>692</v>
      </c>
      <c r="H324" s="128" t="s">
        <v>29</v>
      </c>
      <c r="I324" s="132" t="s">
        <v>717</v>
      </c>
      <c r="J324" s="133">
        <v>9</v>
      </c>
      <c r="K324" s="129">
        <v>2</v>
      </c>
      <c r="L324" s="129">
        <v>0</v>
      </c>
      <c r="M324" s="129" t="s">
        <v>138</v>
      </c>
      <c r="N324" s="129" t="s">
        <v>139</v>
      </c>
      <c r="O324" s="139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40"/>
    </row>
    <row r="325" spans="1:26" x14ac:dyDescent="0.25">
      <c r="A325" s="203">
        <f t="shared" si="8"/>
        <v>324</v>
      </c>
      <c r="B325" s="128" t="s">
        <v>804</v>
      </c>
      <c r="C325" s="274" t="s">
        <v>804</v>
      </c>
      <c r="D325" s="262" t="s">
        <v>805</v>
      </c>
      <c r="E325" s="128" t="s">
        <v>799</v>
      </c>
      <c r="F325" s="138" t="s">
        <v>807</v>
      </c>
      <c r="G325" s="131" t="s">
        <v>692</v>
      </c>
      <c r="H325" s="128" t="s">
        <v>29</v>
      </c>
      <c r="I325" s="132" t="s">
        <v>717</v>
      </c>
      <c r="J325" s="133">
        <v>9</v>
      </c>
      <c r="K325" s="129">
        <v>2</v>
      </c>
      <c r="L325" s="129">
        <v>1</v>
      </c>
      <c r="M325" s="129" t="s">
        <v>138</v>
      </c>
      <c r="N325" s="129" t="s">
        <v>139</v>
      </c>
      <c r="O325" s="139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40"/>
    </row>
    <row r="326" spans="1:26" x14ac:dyDescent="0.25">
      <c r="A326" s="203">
        <f t="shared" si="8"/>
        <v>325</v>
      </c>
      <c r="B326" s="128" t="s">
        <v>808</v>
      </c>
      <c r="C326" s="274" t="s">
        <v>808</v>
      </c>
      <c r="D326" s="262" t="s">
        <v>809</v>
      </c>
      <c r="E326" s="128" t="s">
        <v>799</v>
      </c>
      <c r="F326" s="138" t="s">
        <v>810</v>
      </c>
      <c r="G326" s="131" t="s">
        <v>692</v>
      </c>
      <c r="H326" s="128" t="s">
        <v>29</v>
      </c>
      <c r="I326" s="132" t="s">
        <v>717</v>
      </c>
      <c r="J326" s="133">
        <v>9</v>
      </c>
      <c r="K326" s="129">
        <v>4</v>
      </c>
      <c r="L326" s="129">
        <v>7</v>
      </c>
      <c r="M326" s="129" t="s">
        <v>31</v>
      </c>
      <c r="N326" s="129" t="s">
        <v>32</v>
      </c>
      <c r="O326" s="139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40"/>
    </row>
    <row r="327" spans="1:26" x14ac:dyDescent="0.25">
      <c r="A327" s="203">
        <f t="shared" si="8"/>
        <v>326</v>
      </c>
      <c r="B327" s="128" t="s">
        <v>811</v>
      </c>
      <c r="C327" s="274" t="s">
        <v>811</v>
      </c>
      <c r="D327" s="262" t="s">
        <v>812</v>
      </c>
      <c r="E327" s="128" t="s">
        <v>799</v>
      </c>
      <c r="F327" s="138" t="s">
        <v>813</v>
      </c>
      <c r="G327" s="131" t="s">
        <v>692</v>
      </c>
      <c r="H327" s="128" t="s">
        <v>29</v>
      </c>
      <c r="I327" s="132" t="s">
        <v>717</v>
      </c>
      <c r="J327" s="133">
        <v>9</v>
      </c>
      <c r="K327" s="129">
        <v>4</v>
      </c>
      <c r="L327" s="129">
        <v>8</v>
      </c>
      <c r="M327" s="129" t="s">
        <v>31</v>
      </c>
      <c r="N327" s="129" t="s">
        <v>32</v>
      </c>
      <c r="O327" s="139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40"/>
    </row>
    <row r="328" spans="1:26" x14ac:dyDescent="0.25">
      <c r="A328" s="203">
        <f t="shared" si="8"/>
        <v>327</v>
      </c>
      <c r="B328" s="128" t="s">
        <v>814</v>
      </c>
      <c r="C328" s="263" t="s">
        <v>814</v>
      </c>
      <c r="D328" s="262" t="s">
        <v>805</v>
      </c>
      <c r="E328" s="128" t="s">
        <v>799</v>
      </c>
      <c r="F328" s="138" t="s">
        <v>815</v>
      </c>
      <c r="G328" s="131" t="s">
        <v>692</v>
      </c>
      <c r="H328" s="128" t="s">
        <v>29</v>
      </c>
      <c r="I328" s="132" t="s">
        <v>717</v>
      </c>
      <c r="J328" s="133">
        <v>9</v>
      </c>
      <c r="K328" s="129">
        <v>6</v>
      </c>
      <c r="L328" s="129">
        <v>0</v>
      </c>
      <c r="M328" s="129" t="s">
        <v>82</v>
      </c>
      <c r="N328" s="129" t="s">
        <v>83</v>
      </c>
      <c r="O328" s="139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40"/>
    </row>
    <row r="329" spans="1:26" x14ac:dyDescent="0.25">
      <c r="A329" s="203">
        <f t="shared" si="8"/>
        <v>328</v>
      </c>
      <c r="B329" s="128" t="s">
        <v>816</v>
      </c>
      <c r="C329" s="274" t="s">
        <v>816</v>
      </c>
      <c r="D329" s="262" t="s">
        <v>817</v>
      </c>
      <c r="E329" s="128" t="s">
        <v>799</v>
      </c>
      <c r="F329" s="138" t="s">
        <v>818</v>
      </c>
      <c r="G329" s="131" t="s">
        <v>692</v>
      </c>
      <c r="H329" s="128" t="s">
        <v>29</v>
      </c>
      <c r="I329" s="132" t="s">
        <v>717</v>
      </c>
      <c r="J329" s="133">
        <v>9</v>
      </c>
      <c r="K329" s="129">
        <v>4</v>
      </c>
      <c r="L329" s="129">
        <v>3</v>
      </c>
      <c r="M329" s="129" t="s">
        <v>31</v>
      </c>
      <c r="N329" s="129" t="s">
        <v>32</v>
      </c>
      <c r="O329" s="139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40"/>
    </row>
    <row r="330" spans="1:26" x14ac:dyDescent="0.25">
      <c r="A330" s="203">
        <f t="shared" si="8"/>
        <v>329</v>
      </c>
      <c r="B330" s="128" t="s">
        <v>819</v>
      </c>
      <c r="C330" s="274" t="s">
        <v>819</v>
      </c>
      <c r="D330" s="262" t="s">
        <v>820</v>
      </c>
      <c r="E330" s="128" t="s">
        <v>799</v>
      </c>
      <c r="F330" s="138" t="s">
        <v>821</v>
      </c>
      <c r="G330" s="131" t="s">
        <v>692</v>
      </c>
      <c r="H330" s="128" t="s">
        <v>29</v>
      </c>
      <c r="I330" s="132" t="s">
        <v>717</v>
      </c>
      <c r="J330" s="133">
        <v>9</v>
      </c>
      <c r="K330" s="129">
        <v>6</v>
      </c>
      <c r="L330" s="129">
        <v>4</v>
      </c>
      <c r="M330" s="129" t="s">
        <v>82</v>
      </c>
      <c r="N330" s="129" t="s">
        <v>83</v>
      </c>
      <c r="O330" s="139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40"/>
    </row>
    <row r="331" spans="1:26" x14ac:dyDescent="0.25">
      <c r="A331" s="203">
        <f t="shared" si="8"/>
        <v>330</v>
      </c>
      <c r="B331" s="128" t="s">
        <v>822</v>
      </c>
      <c r="C331" s="274" t="s">
        <v>822</v>
      </c>
      <c r="D331" s="262" t="s">
        <v>820</v>
      </c>
      <c r="E331" s="128" t="s">
        <v>799</v>
      </c>
      <c r="F331" s="138" t="s">
        <v>823</v>
      </c>
      <c r="G331" s="131" t="s">
        <v>692</v>
      </c>
      <c r="H331" s="128" t="s">
        <v>29</v>
      </c>
      <c r="I331" s="132" t="s">
        <v>717</v>
      </c>
      <c r="J331" s="133">
        <v>9</v>
      </c>
      <c r="K331" s="129">
        <v>6</v>
      </c>
      <c r="L331" s="129">
        <v>5</v>
      </c>
      <c r="M331" s="129" t="s">
        <v>82</v>
      </c>
      <c r="N331" s="129" t="s">
        <v>83</v>
      </c>
      <c r="O331" s="139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40"/>
    </row>
    <row r="332" spans="1:26" x14ac:dyDescent="0.25">
      <c r="A332" s="203">
        <f t="shared" si="8"/>
        <v>331</v>
      </c>
      <c r="B332" s="128" t="s">
        <v>824</v>
      </c>
      <c r="C332" s="274" t="s">
        <v>824</v>
      </c>
      <c r="D332" s="262" t="s">
        <v>825</v>
      </c>
      <c r="E332" s="128" t="s">
        <v>799</v>
      </c>
      <c r="F332" s="138" t="s">
        <v>826</v>
      </c>
      <c r="G332" s="131" t="s">
        <v>692</v>
      </c>
      <c r="H332" s="128" t="s">
        <v>29</v>
      </c>
      <c r="I332" s="132" t="s">
        <v>717</v>
      </c>
      <c r="J332" s="133">
        <v>9</v>
      </c>
      <c r="K332" s="129">
        <v>6</v>
      </c>
      <c r="L332" s="129">
        <v>6</v>
      </c>
      <c r="M332" s="129" t="s">
        <v>82</v>
      </c>
      <c r="N332" s="129" t="s">
        <v>83</v>
      </c>
      <c r="O332" s="139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40"/>
    </row>
    <row r="333" spans="1:26" x14ac:dyDescent="0.25">
      <c r="A333" s="203">
        <f t="shared" si="8"/>
        <v>332</v>
      </c>
      <c r="B333" s="128" t="s">
        <v>827</v>
      </c>
      <c r="C333" s="274" t="s">
        <v>827</v>
      </c>
      <c r="D333" s="262" t="s">
        <v>825</v>
      </c>
      <c r="E333" s="128" t="s">
        <v>799</v>
      </c>
      <c r="F333" s="138" t="s">
        <v>828</v>
      </c>
      <c r="G333" s="131" t="s">
        <v>692</v>
      </c>
      <c r="H333" s="128" t="s">
        <v>29</v>
      </c>
      <c r="I333" s="132" t="s">
        <v>717</v>
      </c>
      <c r="J333" s="133">
        <v>9</v>
      </c>
      <c r="K333" s="129">
        <v>6</v>
      </c>
      <c r="L333" s="129">
        <v>7</v>
      </c>
      <c r="M333" s="129" t="s">
        <v>82</v>
      </c>
      <c r="N333" s="129" t="s">
        <v>83</v>
      </c>
      <c r="O333" s="139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40"/>
    </row>
    <row r="334" spans="1:26" x14ac:dyDescent="0.25">
      <c r="A334" s="203">
        <f t="shared" si="8"/>
        <v>333</v>
      </c>
      <c r="B334" s="128" t="s">
        <v>829</v>
      </c>
      <c r="C334" s="274" t="s">
        <v>829</v>
      </c>
      <c r="D334" s="262" t="s">
        <v>830</v>
      </c>
      <c r="E334" s="128" t="s">
        <v>799</v>
      </c>
      <c r="F334" s="138" t="s">
        <v>831</v>
      </c>
      <c r="G334" s="131" t="s">
        <v>692</v>
      </c>
      <c r="H334" s="128" t="s">
        <v>29</v>
      </c>
      <c r="I334" s="132" t="s">
        <v>717</v>
      </c>
      <c r="J334" s="133">
        <v>9</v>
      </c>
      <c r="K334" s="129">
        <v>6</v>
      </c>
      <c r="L334" s="129">
        <v>2</v>
      </c>
      <c r="M334" s="129" t="s">
        <v>82</v>
      </c>
      <c r="N334" s="129" t="s">
        <v>83</v>
      </c>
      <c r="O334" s="139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45"/>
    </row>
    <row r="335" spans="1:26" x14ac:dyDescent="0.25">
      <c r="A335" s="203">
        <f t="shared" si="8"/>
        <v>334</v>
      </c>
      <c r="B335" s="128" t="s">
        <v>832</v>
      </c>
      <c r="C335" s="274" t="s">
        <v>832</v>
      </c>
      <c r="D335" s="262" t="s">
        <v>830</v>
      </c>
      <c r="E335" s="128" t="s">
        <v>799</v>
      </c>
      <c r="F335" s="138" t="s">
        <v>833</v>
      </c>
      <c r="G335" s="131" t="s">
        <v>692</v>
      </c>
      <c r="H335" s="128" t="s">
        <v>29</v>
      </c>
      <c r="I335" s="132" t="s">
        <v>717</v>
      </c>
      <c r="J335" s="133">
        <v>9</v>
      </c>
      <c r="K335" s="129">
        <v>6</v>
      </c>
      <c r="L335" s="129">
        <v>3</v>
      </c>
      <c r="M335" s="129" t="s">
        <v>82</v>
      </c>
      <c r="N335" s="129" t="s">
        <v>83</v>
      </c>
      <c r="O335" s="139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45"/>
    </row>
    <row r="336" spans="1:26" x14ac:dyDescent="0.25">
      <c r="A336" s="203">
        <f t="shared" si="8"/>
        <v>335</v>
      </c>
      <c r="B336" s="128" t="s">
        <v>834</v>
      </c>
      <c r="C336" s="274" t="s">
        <v>834</v>
      </c>
      <c r="D336" s="262" t="s">
        <v>835</v>
      </c>
      <c r="E336" s="128" t="s">
        <v>799</v>
      </c>
      <c r="F336" s="138" t="s">
        <v>836</v>
      </c>
      <c r="G336" s="131" t="s">
        <v>692</v>
      </c>
      <c r="H336" s="128" t="s">
        <v>29</v>
      </c>
      <c r="I336" s="132" t="s">
        <v>717</v>
      </c>
      <c r="J336" s="133">
        <v>9</v>
      </c>
      <c r="K336" s="129">
        <v>4</v>
      </c>
      <c r="L336" s="129">
        <v>1</v>
      </c>
      <c r="M336" s="129" t="s">
        <v>31</v>
      </c>
      <c r="N336" s="129" t="s">
        <v>32</v>
      </c>
      <c r="O336" s="139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47"/>
    </row>
    <row r="337" spans="1:26" x14ac:dyDescent="0.25">
      <c r="A337" s="203">
        <f t="shared" si="8"/>
        <v>336</v>
      </c>
      <c r="B337" s="128" t="s">
        <v>837</v>
      </c>
      <c r="C337" s="274" t="s">
        <v>837</v>
      </c>
      <c r="D337" s="262" t="s">
        <v>838</v>
      </c>
      <c r="E337" s="128" t="s">
        <v>799</v>
      </c>
      <c r="F337" s="138" t="s">
        <v>839</v>
      </c>
      <c r="G337" s="131" t="s">
        <v>692</v>
      </c>
      <c r="H337" s="128" t="s">
        <v>29</v>
      </c>
      <c r="I337" s="132" t="s">
        <v>717</v>
      </c>
      <c r="J337" s="133">
        <v>9</v>
      </c>
      <c r="K337" s="129">
        <v>2</v>
      </c>
      <c r="L337" s="129">
        <v>4</v>
      </c>
      <c r="M337" s="129" t="s">
        <v>138</v>
      </c>
      <c r="N337" s="129" t="s">
        <v>139</v>
      </c>
      <c r="O337" s="139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40"/>
    </row>
    <row r="338" spans="1:26" x14ac:dyDescent="0.25">
      <c r="A338" s="203">
        <f t="shared" si="8"/>
        <v>337</v>
      </c>
      <c r="B338" s="128" t="s">
        <v>837</v>
      </c>
      <c r="C338" s="274" t="s">
        <v>837</v>
      </c>
      <c r="D338" s="262" t="s">
        <v>838</v>
      </c>
      <c r="E338" s="128" t="s">
        <v>799</v>
      </c>
      <c r="F338" s="138" t="s">
        <v>840</v>
      </c>
      <c r="G338" s="131" t="s">
        <v>692</v>
      </c>
      <c r="H338" s="128" t="s">
        <v>29</v>
      </c>
      <c r="I338" s="132" t="s">
        <v>717</v>
      </c>
      <c r="J338" s="133">
        <v>9</v>
      </c>
      <c r="K338" s="129">
        <v>2</v>
      </c>
      <c r="L338" s="129">
        <v>5</v>
      </c>
      <c r="M338" s="129" t="s">
        <v>138</v>
      </c>
      <c r="N338" s="129" t="s">
        <v>139</v>
      </c>
      <c r="O338" s="139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40"/>
    </row>
    <row r="339" spans="1:26" x14ac:dyDescent="0.25">
      <c r="A339" s="203">
        <f t="shared" si="8"/>
        <v>338</v>
      </c>
      <c r="B339" s="128" t="s">
        <v>841</v>
      </c>
      <c r="C339" s="274" t="s">
        <v>841</v>
      </c>
      <c r="D339" s="262" t="s">
        <v>842</v>
      </c>
      <c r="E339" s="128" t="s">
        <v>799</v>
      </c>
      <c r="F339" s="138" t="s">
        <v>843</v>
      </c>
      <c r="G339" s="131" t="s">
        <v>692</v>
      </c>
      <c r="H339" s="128" t="s">
        <v>29</v>
      </c>
      <c r="I339" s="132" t="s">
        <v>717</v>
      </c>
      <c r="J339" s="133">
        <v>9</v>
      </c>
      <c r="K339" s="129">
        <v>2</v>
      </c>
      <c r="L339" s="129">
        <v>6</v>
      </c>
      <c r="M339" s="129" t="s">
        <v>138</v>
      </c>
      <c r="N339" s="129" t="s">
        <v>139</v>
      </c>
      <c r="O339" s="139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40"/>
    </row>
    <row r="340" spans="1:26" x14ac:dyDescent="0.25">
      <c r="A340" s="203">
        <f t="shared" si="8"/>
        <v>339</v>
      </c>
      <c r="B340" s="128" t="s">
        <v>841</v>
      </c>
      <c r="C340" s="274" t="s">
        <v>841</v>
      </c>
      <c r="D340" s="262" t="s">
        <v>842</v>
      </c>
      <c r="E340" s="128" t="s">
        <v>799</v>
      </c>
      <c r="F340" s="138" t="s">
        <v>844</v>
      </c>
      <c r="G340" s="131" t="s">
        <v>692</v>
      </c>
      <c r="H340" s="128" t="s">
        <v>29</v>
      </c>
      <c r="I340" s="132" t="s">
        <v>717</v>
      </c>
      <c r="J340" s="133">
        <v>9</v>
      </c>
      <c r="K340" s="129">
        <v>2</v>
      </c>
      <c r="L340" s="129">
        <v>7</v>
      </c>
      <c r="M340" s="129" t="s">
        <v>138</v>
      </c>
      <c r="N340" s="129" t="s">
        <v>139</v>
      </c>
      <c r="O340" s="139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40"/>
    </row>
    <row r="341" spans="1:26" x14ac:dyDescent="0.25">
      <c r="A341" s="203">
        <f t="shared" si="8"/>
        <v>340</v>
      </c>
      <c r="B341" s="128" t="s">
        <v>845</v>
      </c>
      <c r="C341" s="274" t="s">
        <v>845</v>
      </c>
      <c r="D341" s="262" t="s">
        <v>846</v>
      </c>
      <c r="E341" s="128" t="s">
        <v>799</v>
      </c>
      <c r="F341" s="138" t="s">
        <v>847</v>
      </c>
      <c r="G341" s="131" t="s">
        <v>692</v>
      </c>
      <c r="H341" s="128" t="s">
        <v>29</v>
      </c>
      <c r="I341" s="132" t="s">
        <v>717</v>
      </c>
      <c r="J341" s="133">
        <v>9</v>
      </c>
      <c r="K341" s="129">
        <v>2</v>
      </c>
      <c r="L341" s="129">
        <v>2</v>
      </c>
      <c r="M341" s="129" t="s">
        <v>138</v>
      </c>
      <c r="N341" s="129" t="s">
        <v>139</v>
      </c>
      <c r="O341" s="139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40"/>
    </row>
    <row r="342" spans="1:26" x14ac:dyDescent="0.25">
      <c r="A342" s="203">
        <f t="shared" si="8"/>
        <v>341</v>
      </c>
      <c r="B342" s="128" t="s">
        <v>845</v>
      </c>
      <c r="C342" s="274" t="s">
        <v>845</v>
      </c>
      <c r="D342" s="262" t="s">
        <v>846</v>
      </c>
      <c r="E342" s="128" t="s">
        <v>799</v>
      </c>
      <c r="F342" s="138" t="s">
        <v>848</v>
      </c>
      <c r="G342" s="131" t="s">
        <v>692</v>
      </c>
      <c r="H342" s="128" t="s">
        <v>29</v>
      </c>
      <c r="I342" s="132" t="s">
        <v>717</v>
      </c>
      <c r="J342" s="133">
        <v>9</v>
      </c>
      <c r="K342" s="129">
        <v>2</v>
      </c>
      <c r="L342" s="129">
        <v>3</v>
      </c>
      <c r="M342" s="129" t="s">
        <v>138</v>
      </c>
      <c r="N342" s="129" t="s">
        <v>139</v>
      </c>
      <c r="O342" s="139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40"/>
    </row>
    <row r="343" spans="1:26" x14ac:dyDescent="0.25">
      <c r="A343" s="203">
        <f t="shared" si="8"/>
        <v>342</v>
      </c>
      <c r="B343" s="128" t="s">
        <v>849</v>
      </c>
      <c r="C343" s="263" t="s">
        <v>850</v>
      </c>
      <c r="D343" s="262"/>
      <c r="E343" s="128"/>
      <c r="F343" s="138" t="s">
        <v>851</v>
      </c>
      <c r="G343" s="131" t="s">
        <v>852</v>
      </c>
      <c r="H343" s="128" t="s">
        <v>29</v>
      </c>
      <c r="I343" s="142" t="s">
        <v>246</v>
      </c>
      <c r="J343" s="133">
        <v>7</v>
      </c>
      <c r="K343" s="129">
        <v>7</v>
      </c>
      <c r="L343" s="129">
        <v>1</v>
      </c>
      <c r="M343" s="129" t="s">
        <v>82</v>
      </c>
      <c r="N343" s="129" t="s">
        <v>83</v>
      </c>
      <c r="O343" s="139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40"/>
    </row>
    <row r="344" spans="1:26" x14ac:dyDescent="0.25">
      <c r="A344" s="203">
        <f t="shared" si="8"/>
        <v>343</v>
      </c>
      <c r="B344" s="128" t="s">
        <v>853</v>
      </c>
      <c r="C344" s="263" t="s">
        <v>854</v>
      </c>
      <c r="D344" s="262"/>
      <c r="E344" s="128"/>
      <c r="F344" s="138" t="s">
        <v>855</v>
      </c>
      <c r="G344" s="131" t="s">
        <v>852</v>
      </c>
      <c r="H344" s="128" t="s">
        <v>29</v>
      </c>
      <c r="I344" s="142" t="s">
        <v>246</v>
      </c>
      <c r="J344" s="133">
        <v>7</v>
      </c>
      <c r="K344" s="129">
        <v>7</v>
      </c>
      <c r="L344" s="129">
        <v>0</v>
      </c>
      <c r="M344" s="129" t="s">
        <v>82</v>
      </c>
      <c r="N344" s="129" t="s">
        <v>83</v>
      </c>
      <c r="O344" s="139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45"/>
    </row>
    <row r="345" spans="1:26" x14ac:dyDescent="0.25">
      <c r="A345" s="203">
        <f t="shared" si="8"/>
        <v>344</v>
      </c>
      <c r="B345" s="128"/>
      <c r="C345" s="274" t="s">
        <v>856</v>
      </c>
      <c r="D345" s="277"/>
      <c r="E345" s="142"/>
      <c r="F345" s="141" t="s">
        <v>857</v>
      </c>
      <c r="G345" s="142" t="s">
        <v>852</v>
      </c>
      <c r="H345" s="133" t="s">
        <v>130</v>
      </c>
      <c r="I345" s="131" t="s">
        <v>131</v>
      </c>
      <c r="J345" s="133">
        <v>18</v>
      </c>
      <c r="K345" s="129">
        <v>14</v>
      </c>
      <c r="L345" s="129">
        <v>9</v>
      </c>
      <c r="M345" s="129" t="s">
        <v>82</v>
      </c>
      <c r="N345" s="129" t="s">
        <v>83</v>
      </c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3"/>
    </row>
    <row r="346" spans="1:26" x14ac:dyDescent="0.25">
      <c r="A346" s="203">
        <f t="shared" si="8"/>
        <v>345</v>
      </c>
      <c r="B346" s="128" t="s">
        <v>858</v>
      </c>
      <c r="C346" s="274" t="s">
        <v>859</v>
      </c>
      <c r="D346" s="264" t="s">
        <v>860</v>
      </c>
      <c r="E346" s="133" t="s">
        <v>861</v>
      </c>
      <c r="F346" s="141" t="s">
        <v>862</v>
      </c>
      <c r="G346" s="133" t="s">
        <v>852</v>
      </c>
      <c r="H346" s="133" t="s">
        <v>29</v>
      </c>
      <c r="I346" s="142" t="s">
        <v>863</v>
      </c>
      <c r="J346" s="133">
        <v>10</v>
      </c>
      <c r="K346" s="129">
        <v>7</v>
      </c>
      <c r="L346" s="129">
        <v>1</v>
      </c>
      <c r="M346" s="129" t="s">
        <v>31</v>
      </c>
      <c r="N346" s="129" t="s">
        <v>32</v>
      </c>
      <c r="O346" s="139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40"/>
    </row>
    <row r="347" spans="1:26" x14ac:dyDescent="0.25">
      <c r="A347" s="203">
        <f t="shared" si="8"/>
        <v>346</v>
      </c>
      <c r="B347" s="128" t="s">
        <v>864</v>
      </c>
      <c r="C347" s="274" t="s">
        <v>865</v>
      </c>
      <c r="D347" s="264" t="s">
        <v>866</v>
      </c>
      <c r="E347" s="133" t="s">
        <v>861</v>
      </c>
      <c r="F347" s="141" t="s">
        <v>867</v>
      </c>
      <c r="G347" s="133" t="s">
        <v>852</v>
      </c>
      <c r="H347" s="133" t="s">
        <v>29</v>
      </c>
      <c r="I347" s="142" t="s">
        <v>863</v>
      </c>
      <c r="J347" s="133">
        <v>10</v>
      </c>
      <c r="K347" s="129">
        <v>7</v>
      </c>
      <c r="L347" s="129">
        <v>2</v>
      </c>
      <c r="M347" s="129" t="s">
        <v>31</v>
      </c>
      <c r="N347" s="129" t="s">
        <v>32</v>
      </c>
      <c r="O347" s="139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40"/>
    </row>
    <row r="348" spans="1:26" x14ac:dyDescent="0.25">
      <c r="A348" s="203">
        <f t="shared" si="8"/>
        <v>347</v>
      </c>
      <c r="B348" s="128" t="s">
        <v>859</v>
      </c>
      <c r="C348" s="274" t="s">
        <v>868</v>
      </c>
      <c r="D348" s="264" t="s">
        <v>869</v>
      </c>
      <c r="E348" s="133" t="s">
        <v>861</v>
      </c>
      <c r="F348" s="141" t="s">
        <v>870</v>
      </c>
      <c r="G348" s="133" t="s">
        <v>852</v>
      </c>
      <c r="H348" s="133" t="s">
        <v>29</v>
      </c>
      <c r="I348" s="142" t="s">
        <v>863</v>
      </c>
      <c r="J348" s="133">
        <v>10</v>
      </c>
      <c r="K348" s="129">
        <v>7</v>
      </c>
      <c r="L348" s="129">
        <v>3</v>
      </c>
      <c r="M348" s="129" t="s">
        <v>31</v>
      </c>
      <c r="N348" s="129" t="s">
        <v>32</v>
      </c>
      <c r="O348" s="139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40"/>
    </row>
    <row r="349" spans="1:26" x14ac:dyDescent="0.25">
      <c r="A349" s="203">
        <f t="shared" si="8"/>
        <v>348</v>
      </c>
      <c r="B349" s="128" t="s">
        <v>871</v>
      </c>
      <c r="C349" s="274" t="s">
        <v>871</v>
      </c>
      <c r="D349" s="262" t="s">
        <v>872</v>
      </c>
      <c r="E349" s="128" t="s">
        <v>861</v>
      </c>
      <c r="F349" s="138" t="s">
        <v>873</v>
      </c>
      <c r="G349" s="131" t="s">
        <v>852</v>
      </c>
      <c r="H349" s="128" t="s">
        <v>29</v>
      </c>
      <c r="I349" s="142" t="s">
        <v>863</v>
      </c>
      <c r="J349" s="133">
        <v>10</v>
      </c>
      <c r="K349" s="129">
        <v>4</v>
      </c>
      <c r="L349" s="129">
        <v>2</v>
      </c>
      <c r="M349" s="129" t="s">
        <v>138</v>
      </c>
      <c r="N349" s="129" t="s">
        <v>139</v>
      </c>
      <c r="O349" s="139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40"/>
    </row>
    <row r="350" spans="1:26" x14ac:dyDescent="0.25">
      <c r="A350" s="203">
        <f t="shared" si="8"/>
        <v>349</v>
      </c>
      <c r="B350" s="128" t="s">
        <v>871</v>
      </c>
      <c r="C350" s="274" t="s">
        <v>871</v>
      </c>
      <c r="D350" s="262" t="s">
        <v>872</v>
      </c>
      <c r="E350" s="128" t="s">
        <v>861</v>
      </c>
      <c r="F350" s="138" t="s">
        <v>874</v>
      </c>
      <c r="G350" s="131" t="s">
        <v>852</v>
      </c>
      <c r="H350" s="128" t="s">
        <v>29</v>
      </c>
      <c r="I350" s="142" t="s">
        <v>863</v>
      </c>
      <c r="J350" s="133">
        <v>10</v>
      </c>
      <c r="K350" s="129">
        <v>4</v>
      </c>
      <c r="L350" s="129">
        <v>3</v>
      </c>
      <c r="M350" s="129" t="s">
        <v>138</v>
      </c>
      <c r="N350" s="129" t="s">
        <v>139</v>
      </c>
      <c r="O350" s="139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40"/>
    </row>
    <row r="351" spans="1:26" x14ac:dyDescent="0.25">
      <c r="A351" s="203">
        <f t="shared" si="8"/>
        <v>350</v>
      </c>
      <c r="B351" s="133"/>
      <c r="C351" s="263" t="s">
        <v>875</v>
      </c>
      <c r="D351" s="264" t="s">
        <v>876</v>
      </c>
      <c r="E351" s="133" t="s">
        <v>877</v>
      </c>
      <c r="F351" s="141" t="s">
        <v>878</v>
      </c>
      <c r="G351" s="142" t="s">
        <v>852</v>
      </c>
      <c r="H351" s="133" t="s">
        <v>29</v>
      </c>
      <c r="I351" s="142" t="s">
        <v>863</v>
      </c>
      <c r="J351" s="133">
        <v>10</v>
      </c>
      <c r="K351" s="129">
        <v>5</v>
      </c>
      <c r="L351" s="129">
        <v>0</v>
      </c>
      <c r="M351" s="129" t="s">
        <v>138</v>
      </c>
      <c r="N351" s="129" t="s">
        <v>139</v>
      </c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3"/>
    </row>
    <row r="352" spans="1:26" x14ac:dyDescent="0.25">
      <c r="A352" s="203">
        <f t="shared" si="8"/>
        <v>351</v>
      </c>
      <c r="B352" s="133"/>
      <c r="C352" s="263" t="s">
        <v>879</v>
      </c>
      <c r="D352" s="264" t="s">
        <v>880</v>
      </c>
      <c r="E352" s="133" t="s">
        <v>877</v>
      </c>
      <c r="F352" s="141" t="s">
        <v>881</v>
      </c>
      <c r="G352" s="142" t="s">
        <v>852</v>
      </c>
      <c r="H352" s="133" t="s">
        <v>29</v>
      </c>
      <c r="I352" s="142" t="s">
        <v>863</v>
      </c>
      <c r="J352" s="133">
        <v>10</v>
      </c>
      <c r="K352" s="129">
        <v>5</v>
      </c>
      <c r="L352" s="129">
        <v>1</v>
      </c>
      <c r="M352" s="129" t="s">
        <v>138</v>
      </c>
      <c r="N352" s="129" t="s">
        <v>139</v>
      </c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3"/>
    </row>
    <row r="353" spans="1:26" x14ac:dyDescent="0.25">
      <c r="A353" s="203">
        <f t="shared" si="8"/>
        <v>352</v>
      </c>
      <c r="B353" s="128" t="s">
        <v>882</v>
      </c>
      <c r="C353" s="263" t="s">
        <v>883</v>
      </c>
      <c r="D353" s="262" t="s">
        <v>872</v>
      </c>
      <c r="E353" s="128" t="s">
        <v>861</v>
      </c>
      <c r="F353" s="138" t="s">
        <v>884</v>
      </c>
      <c r="G353" s="131" t="s">
        <v>852</v>
      </c>
      <c r="H353" s="128" t="s">
        <v>29</v>
      </c>
      <c r="I353" s="142" t="s">
        <v>863</v>
      </c>
      <c r="J353" s="133">
        <v>10</v>
      </c>
      <c r="K353" s="129">
        <v>9</v>
      </c>
      <c r="L353" s="129">
        <v>7</v>
      </c>
      <c r="M353" s="129" t="s">
        <v>82</v>
      </c>
      <c r="N353" s="129" t="s">
        <v>83</v>
      </c>
      <c r="O353" s="139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40"/>
    </row>
    <row r="354" spans="1:26" x14ac:dyDescent="0.25">
      <c r="A354" s="203">
        <f t="shared" si="8"/>
        <v>353</v>
      </c>
      <c r="B354" s="128" t="s">
        <v>885</v>
      </c>
      <c r="C354" s="274" t="s">
        <v>886</v>
      </c>
      <c r="D354" s="264" t="s">
        <v>887</v>
      </c>
      <c r="E354" s="133" t="s">
        <v>861</v>
      </c>
      <c r="F354" s="141" t="s">
        <v>888</v>
      </c>
      <c r="G354" s="133" t="s">
        <v>852</v>
      </c>
      <c r="H354" s="133" t="s">
        <v>29</v>
      </c>
      <c r="I354" s="142" t="s">
        <v>863</v>
      </c>
      <c r="J354" s="133">
        <v>10</v>
      </c>
      <c r="K354" s="129">
        <v>7</v>
      </c>
      <c r="L354" s="129">
        <v>6</v>
      </c>
      <c r="M354" s="129" t="s">
        <v>31</v>
      </c>
      <c r="N354" s="129" t="s">
        <v>32</v>
      </c>
      <c r="O354" s="139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40"/>
    </row>
    <row r="355" spans="1:26" x14ac:dyDescent="0.25">
      <c r="A355" s="203">
        <f t="shared" si="8"/>
        <v>354</v>
      </c>
      <c r="B355" s="128" t="s">
        <v>868</v>
      </c>
      <c r="C355" s="274" t="s">
        <v>889</v>
      </c>
      <c r="D355" s="264" t="s">
        <v>890</v>
      </c>
      <c r="E355" s="133" t="s">
        <v>861</v>
      </c>
      <c r="F355" s="141" t="s">
        <v>891</v>
      </c>
      <c r="G355" s="133" t="s">
        <v>852</v>
      </c>
      <c r="H355" s="133" t="s">
        <v>29</v>
      </c>
      <c r="I355" s="142" t="s">
        <v>863</v>
      </c>
      <c r="J355" s="133">
        <v>10</v>
      </c>
      <c r="K355" s="129">
        <v>7</v>
      </c>
      <c r="L355" s="129">
        <v>5</v>
      </c>
      <c r="M355" s="129" t="s">
        <v>31</v>
      </c>
      <c r="N355" s="129" t="s">
        <v>32</v>
      </c>
      <c r="O355" s="139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40"/>
    </row>
    <row r="356" spans="1:26" x14ac:dyDescent="0.25">
      <c r="A356" s="203">
        <f t="shared" si="8"/>
        <v>355</v>
      </c>
      <c r="B356" s="128" t="s">
        <v>865</v>
      </c>
      <c r="C356" s="274" t="s">
        <v>885</v>
      </c>
      <c r="D356" s="264" t="s">
        <v>892</v>
      </c>
      <c r="E356" s="133" t="s">
        <v>861</v>
      </c>
      <c r="F356" s="141" t="s">
        <v>893</v>
      </c>
      <c r="G356" s="133" t="s">
        <v>852</v>
      </c>
      <c r="H356" s="133" t="s">
        <v>29</v>
      </c>
      <c r="I356" s="142" t="s">
        <v>863</v>
      </c>
      <c r="J356" s="133">
        <v>10</v>
      </c>
      <c r="K356" s="129">
        <v>7</v>
      </c>
      <c r="L356" s="129">
        <v>4</v>
      </c>
      <c r="M356" s="129" t="s">
        <v>31</v>
      </c>
      <c r="N356" s="129" t="s">
        <v>32</v>
      </c>
      <c r="O356" s="139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40"/>
    </row>
    <row r="357" spans="1:26" x14ac:dyDescent="0.25">
      <c r="A357" s="203">
        <f t="shared" si="8"/>
        <v>356</v>
      </c>
      <c r="B357" s="133"/>
      <c r="C357" s="263" t="s">
        <v>894</v>
      </c>
      <c r="D357" s="264" t="s">
        <v>895</v>
      </c>
      <c r="E357" s="133" t="s">
        <v>896</v>
      </c>
      <c r="F357" s="141" t="s">
        <v>897</v>
      </c>
      <c r="G357" s="142" t="s">
        <v>852</v>
      </c>
      <c r="H357" s="133" t="s">
        <v>29</v>
      </c>
      <c r="I357" s="142" t="s">
        <v>863</v>
      </c>
      <c r="J357" s="133">
        <v>10</v>
      </c>
      <c r="K357" s="129">
        <v>5</v>
      </c>
      <c r="L357" s="129">
        <v>2</v>
      </c>
      <c r="M357" s="129" t="s">
        <v>138</v>
      </c>
      <c r="N357" s="129" t="s">
        <v>139</v>
      </c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3"/>
    </row>
    <row r="358" spans="1:26" x14ac:dyDescent="0.25">
      <c r="A358" s="203">
        <f t="shared" si="8"/>
        <v>357</v>
      </c>
      <c r="B358" s="133"/>
      <c r="C358" s="263" t="s">
        <v>894</v>
      </c>
      <c r="D358" s="264" t="s">
        <v>895</v>
      </c>
      <c r="E358" s="133" t="s">
        <v>896</v>
      </c>
      <c r="F358" s="141" t="s">
        <v>898</v>
      </c>
      <c r="G358" s="142" t="s">
        <v>852</v>
      </c>
      <c r="H358" s="133" t="s">
        <v>29</v>
      </c>
      <c r="I358" s="142" t="s">
        <v>863</v>
      </c>
      <c r="J358" s="133">
        <v>10</v>
      </c>
      <c r="K358" s="129">
        <v>5</v>
      </c>
      <c r="L358" s="129">
        <v>3</v>
      </c>
      <c r="M358" s="129" t="s">
        <v>138</v>
      </c>
      <c r="N358" s="129" t="s">
        <v>139</v>
      </c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3"/>
    </row>
    <row r="359" spans="1:26" x14ac:dyDescent="0.25">
      <c r="A359" s="203">
        <f t="shared" si="8"/>
        <v>358</v>
      </c>
      <c r="B359" s="133"/>
      <c r="C359" s="263" t="s">
        <v>899</v>
      </c>
      <c r="D359" s="264" t="s">
        <v>895</v>
      </c>
      <c r="E359" s="133" t="s">
        <v>896</v>
      </c>
      <c r="F359" s="141" t="s">
        <v>900</v>
      </c>
      <c r="G359" s="142" t="s">
        <v>852</v>
      </c>
      <c r="H359" s="133" t="s">
        <v>29</v>
      </c>
      <c r="I359" s="142" t="s">
        <v>863</v>
      </c>
      <c r="J359" s="133">
        <v>10</v>
      </c>
      <c r="K359" s="129">
        <v>5</v>
      </c>
      <c r="L359" s="129">
        <v>4</v>
      </c>
      <c r="M359" s="129" t="s">
        <v>138</v>
      </c>
      <c r="N359" s="129" t="s">
        <v>139</v>
      </c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3"/>
    </row>
    <row r="360" spans="1:26" x14ac:dyDescent="0.25">
      <c r="A360" s="203">
        <f t="shared" si="8"/>
        <v>359</v>
      </c>
      <c r="B360" s="133"/>
      <c r="C360" s="263" t="s">
        <v>899</v>
      </c>
      <c r="D360" s="264" t="s">
        <v>895</v>
      </c>
      <c r="E360" s="133" t="s">
        <v>896</v>
      </c>
      <c r="F360" s="141" t="s">
        <v>901</v>
      </c>
      <c r="G360" s="142" t="s">
        <v>852</v>
      </c>
      <c r="H360" s="133" t="s">
        <v>29</v>
      </c>
      <c r="I360" s="142" t="s">
        <v>863</v>
      </c>
      <c r="J360" s="133">
        <v>10</v>
      </c>
      <c r="K360" s="129">
        <v>5</v>
      </c>
      <c r="L360" s="129">
        <v>5</v>
      </c>
      <c r="M360" s="129" t="s">
        <v>138</v>
      </c>
      <c r="N360" s="129" t="s">
        <v>139</v>
      </c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3"/>
    </row>
    <row r="361" spans="1:26" x14ac:dyDescent="0.25">
      <c r="A361" s="203">
        <f t="shared" ref="A361:A424" si="9">ROW()-1</f>
        <v>360</v>
      </c>
      <c r="B361" s="128"/>
      <c r="C361" s="274" t="s">
        <v>902</v>
      </c>
      <c r="D361" s="264"/>
      <c r="E361" s="133"/>
      <c r="F361" s="141" t="s">
        <v>903</v>
      </c>
      <c r="G361" s="133" t="s">
        <v>852</v>
      </c>
      <c r="H361" s="133" t="s">
        <v>29</v>
      </c>
      <c r="I361" s="142" t="s">
        <v>863</v>
      </c>
      <c r="J361" s="133">
        <v>10</v>
      </c>
      <c r="K361" s="133">
        <v>11</v>
      </c>
      <c r="L361" s="133">
        <v>0</v>
      </c>
      <c r="M361" s="129" t="s">
        <v>664</v>
      </c>
      <c r="N361" s="129" t="s">
        <v>665</v>
      </c>
      <c r="O361" s="139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40"/>
    </row>
    <row r="362" spans="1:26" x14ac:dyDescent="0.25">
      <c r="A362" s="203">
        <f t="shared" si="9"/>
        <v>361</v>
      </c>
      <c r="B362" s="128" t="s">
        <v>904</v>
      </c>
      <c r="C362" s="274" t="s">
        <v>905</v>
      </c>
      <c r="D362" s="264"/>
      <c r="E362" s="133"/>
      <c r="F362" s="141" t="s">
        <v>906</v>
      </c>
      <c r="G362" s="142" t="s">
        <v>852</v>
      </c>
      <c r="H362" s="133" t="s">
        <v>29</v>
      </c>
      <c r="I362" s="142" t="s">
        <v>863</v>
      </c>
      <c r="J362" s="133">
        <v>10</v>
      </c>
      <c r="K362" s="133">
        <v>10</v>
      </c>
      <c r="L362" s="133">
        <v>0</v>
      </c>
      <c r="M362" s="129" t="s">
        <v>658</v>
      </c>
      <c r="N362" s="129" t="s">
        <v>659</v>
      </c>
      <c r="O362" s="139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40"/>
    </row>
    <row r="363" spans="1:26" x14ac:dyDescent="0.25">
      <c r="A363" s="203">
        <f t="shared" si="9"/>
        <v>362</v>
      </c>
      <c r="B363" s="128" t="s">
        <v>907</v>
      </c>
      <c r="C363" s="274" t="s">
        <v>908</v>
      </c>
      <c r="D363" s="264"/>
      <c r="E363" s="133"/>
      <c r="F363" s="141" t="s">
        <v>909</v>
      </c>
      <c r="G363" s="133" t="s">
        <v>852</v>
      </c>
      <c r="H363" s="133" t="s">
        <v>29</v>
      </c>
      <c r="I363" s="142" t="s">
        <v>863</v>
      </c>
      <c r="J363" s="133">
        <v>10</v>
      </c>
      <c r="K363" s="133">
        <v>10</v>
      </c>
      <c r="L363" s="133">
        <v>1</v>
      </c>
      <c r="M363" s="129" t="s">
        <v>658</v>
      </c>
      <c r="N363" s="129" t="s">
        <v>659</v>
      </c>
      <c r="O363" s="139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40"/>
    </row>
    <row r="364" spans="1:26" x14ac:dyDescent="0.25">
      <c r="A364" s="203">
        <f t="shared" si="9"/>
        <v>363</v>
      </c>
      <c r="B364" s="128" t="s">
        <v>910</v>
      </c>
      <c r="C364" s="274" t="s">
        <v>910</v>
      </c>
      <c r="D364" s="262"/>
      <c r="E364" s="128"/>
      <c r="F364" s="138" t="s">
        <v>911</v>
      </c>
      <c r="G364" s="131" t="s">
        <v>852</v>
      </c>
      <c r="H364" s="128" t="s">
        <v>29</v>
      </c>
      <c r="I364" s="142" t="s">
        <v>863</v>
      </c>
      <c r="J364" s="133">
        <v>10</v>
      </c>
      <c r="K364" s="129">
        <v>4</v>
      </c>
      <c r="L364" s="129">
        <v>0</v>
      </c>
      <c r="M364" s="129" t="s">
        <v>138</v>
      </c>
      <c r="N364" s="129" t="s">
        <v>139</v>
      </c>
      <c r="O364" s="139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40"/>
    </row>
    <row r="365" spans="1:26" x14ac:dyDescent="0.25">
      <c r="A365" s="203">
        <f t="shared" si="9"/>
        <v>364</v>
      </c>
      <c r="B365" s="128" t="s">
        <v>910</v>
      </c>
      <c r="C365" s="274" t="s">
        <v>910</v>
      </c>
      <c r="D365" s="262"/>
      <c r="E365" s="128"/>
      <c r="F365" s="138" t="s">
        <v>912</v>
      </c>
      <c r="G365" s="131" t="s">
        <v>852</v>
      </c>
      <c r="H365" s="128" t="s">
        <v>29</v>
      </c>
      <c r="I365" s="142" t="s">
        <v>863</v>
      </c>
      <c r="J365" s="133">
        <v>10</v>
      </c>
      <c r="K365" s="129">
        <v>4</v>
      </c>
      <c r="L365" s="129">
        <v>1</v>
      </c>
      <c r="M365" s="129" t="s">
        <v>138</v>
      </c>
      <c r="N365" s="129" t="s">
        <v>139</v>
      </c>
      <c r="O365" s="139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40"/>
    </row>
    <row r="366" spans="1:26" x14ac:dyDescent="0.25">
      <c r="A366" s="203">
        <f t="shared" si="9"/>
        <v>365</v>
      </c>
      <c r="B366" s="128" t="s">
        <v>913</v>
      </c>
      <c r="C366" s="263" t="s">
        <v>913</v>
      </c>
      <c r="D366" s="262"/>
      <c r="E366" s="128"/>
      <c r="F366" s="138" t="s">
        <v>914</v>
      </c>
      <c r="G366" s="131" t="s">
        <v>852</v>
      </c>
      <c r="H366" s="128" t="s">
        <v>29</v>
      </c>
      <c r="I366" s="142" t="s">
        <v>863</v>
      </c>
      <c r="J366" s="133">
        <v>10</v>
      </c>
      <c r="K366" s="129">
        <v>9</v>
      </c>
      <c r="L366" s="129">
        <v>6</v>
      </c>
      <c r="M366" s="129" t="s">
        <v>82</v>
      </c>
      <c r="N366" s="129" t="s">
        <v>83</v>
      </c>
      <c r="O366" s="139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40"/>
    </row>
    <row r="367" spans="1:26" x14ac:dyDescent="0.25">
      <c r="A367" s="203">
        <f t="shared" si="9"/>
        <v>366</v>
      </c>
      <c r="B367" s="128" t="s">
        <v>915</v>
      </c>
      <c r="C367" s="274" t="s">
        <v>915</v>
      </c>
      <c r="D367" s="262" t="s">
        <v>916</v>
      </c>
      <c r="E367" s="128" t="s">
        <v>917</v>
      </c>
      <c r="F367" s="138" t="s">
        <v>918</v>
      </c>
      <c r="G367" s="131" t="s">
        <v>852</v>
      </c>
      <c r="H367" s="128" t="s">
        <v>29</v>
      </c>
      <c r="I367" s="142" t="s">
        <v>863</v>
      </c>
      <c r="J367" s="133">
        <v>10</v>
      </c>
      <c r="K367" s="129">
        <v>7</v>
      </c>
      <c r="L367" s="129">
        <v>0</v>
      </c>
      <c r="M367" s="129" t="s">
        <v>31</v>
      </c>
      <c r="N367" s="129" t="s">
        <v>32</v>
      </c>
      <c r="O367" s="139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40"/>
    </row>
    <row r="368" spans="1:26" x14ac:dyDescent="0.25">
      <c r="A368" s="203">
        <f t="shared" si="9"/>
        <v>367</v>
      </c>
      <c r="B368" s="133"/>
      <c r="C368" s="274" t="s">
        <v>919</v>
      </c>
      <c r="D368" s="264"/>
      <c r="E368" s="133"/>
      <c r="F368" s="141" t="s">
        <v>920</v>
      </c>
      <c r="G368" s="131" t="s">
        <v>852</v>
      </c>
      <c r="H368" s="128" t="s">
        <v>29</v>
      </c>
      <c r="I368" s="142" t="s">
        <v>863</v>
      </c>
      <c r="J368" s="133">
        <v>10</v>
      </c>
      <c r="K368" s="129">
        <v>9</v>
      </c>
      <c r="L368" s="129">
        <v>14</v>
      </c>
      <c r="M368" s="129" t="s">
        <v>82</v>
      </c>
      <c r="N368" s="129" t="s">
        <v>83</v>
      </c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3"/>
    </row>
    <row r="369" spans="1:26" x14ac:dyDescent="0.25">
      <c r="A369" s="203">
        <f t="shared" si="9"/>
        <v>368</v>
      </c>
      <c r="B369" s="128" t="s">
        <v>919</v>
      </c>
      <c r="C369" s="274" t="s">
        <v>919</v>
      </c>
      <c r="D369" s="262"/>
      <c r="E369" s="128"/>
      <c r="F369" s="138" t="s">
        <v>921</v>
      </c>
      <c r="G369" s="131" t="s">
        <v>852</v>
      </c>
      <c r="H369" s="128" t="s">
        <v>29</v>
      </c>
      <c r="I369" s="132" t="s">
        <v>127</v>
      </c>
      <c r="J369" s="133">
        <v>13</v>
      </c>
      <c r="K369" s="129">
        <v>9</v>
      </c>
      <c r="L369" s="129">
        <v>11</v>
      </c>
      <c r="M369" s="129" t="s">
        <v>82</v>
      </c>
      <c r="N369" s="129" t="s">
        <v>83</v>
      </c>
      <c r="O369" s="139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40"/>
    </row>
    <row r="370" spans="1:26" x14ac:dyDescent="0.25">
      <c r="A370" s="203">
        <f t="shared" si="9"/>
        <v>369</v>
      </c>
      <c r="B370" s="133"/>
      <c r="C370" s="274" t="s">
        <v>922</v>
      </c>
      <c r="D370" s="264"/>
      <c r="E370" s="133"/>
      <c r="F370" s="141" t="s">
        <v>923</v>
      </c>
      <c r="G370" s="142" t="s">
        <v>852</v>
      </c>
      <c r="H370" s="133" t="s">
        <v>29</v>
      </c>
      <c r="I370" s="142" t="s">
        <v>863</v>
      </c>
      <c r="J370" s="133">
        <v>10</v>
      </c>
      <c r="K370" s="129">
        <v>9</v>
      </c>
      <c r="L370" s="129">
        <v>8</v>
      </c>
      <c r="M370" s="129" t="s">
        <v>82</v>
      </c>
      <c r="N370" s="129" t="s">
        <v>83</v>
      </c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3"/>
    </row>
    <row r="371" spans="1:26" x14ac:dyDescent="0.25">
      <c r="A371" s="203">
        <f t="shared" si="9"/>
        <v>370</v>
      </c>
      <c r="B371" s="133"/>
      <c r="C371" s="274" t="s">
        <v>924</v>
      </c>
      <c r="D371" s="264"/>
      <c r="E371" s="133"/>
      <c r="F371" s="141" t="s">
        <v>925</v>
      </c>
      <c r="G371" s="142" t="s">
        <v>852</v>
      </c>
      <c r="H371" s="133" t="s">
        <v>29</v>
      </c>
      <c r="I371" s="142" t="s">
        <v>863</v>
      </c>
      <c r="J371" s="133">
        <v>10</v>
      </c>
      <c r="K371" s="129">
        <v>9</v>
      </c>
      <c r="L371" s="129">
        <v>9</v>
      </c>
      <c r="M371" s="129" t="s">
        <v>82</v>
      </c>
      <c r="N371" s="129" t="s">
        <v>83</v>
      </c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3"/>
    </row>
    <row r="372" spans="1:26" x14ac:dyDescent="0.25">
      <c r="A372" s="203">
        <f t="shared" si="9"/>
        <v>371</v>
      </c>
      <c r="B372" s="133"/>
      <c r="C372" s="274" t="s">
        <v>926</v>
      </c>
      <c r="D372" s="264"/>
      <c r="E372" s="133"/>
      <c r="F372" s="141" t="s">
        <v>927</v>
      </c>
      <c r="G372" s="142" t="s">
        <v>852</v>
      </c>
      <c r="H372" s="133" t="s">
        <v>29</v>
      </c>
      <c r="I372" s="142" t="s">
        <v>863</v>
      </c>
      <c r="J372" s="133">
        <v>10</v>
      </c>
      <c r="K372" s="129">
        <v>9</v>
      </c>
      <c r="L372" s="129">
        <v>10</v>
      </c>
      <c r="M372" s="129" t="s">
        <v>82</v>
      </c>
      <c r="N372" s="129" t="s">
        <v>83</v>
      </c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3"/>
    </row>
    <row r="373" spans="1:26" x14ac:dyDescent="0.25">
      <c r="A373" s="203">
        <f t="shared" si="9"/>
        <v>372</v>
      </c>
      <c r="B373" s="133"/>
      <c r="C373" s="274" t="s">
        <v>928</v>
      </c>
      <c r="D373" s="264"/>
      <c r="E373" s="133"/>
      <c r="F373" s="141" t="s">
        <v>929</v>
      </c>
      <c r="G373" s="133" t="s">
        <v>852</v>
      </c>
      <c r="H373" s="133" t="s">
        <v>29</v>
      </c>
      <c r="I373" s="142" t="s">
        <v>863</v>
      </c>
      <c r="J373" s="133">
        <v>10</v>
      </c>
      <c r="K373" s="129">
        <v>9</v>
      </c>
      <c r="L373" s="129">
        <v>11</v>
      </c>
      <c r="M373" s="129" t="s">
        <v>82</v>
      </c>
      <c r="N373" s="129" t="s">
        <v>83</v>
      </c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3"/>
    </row>
    <row r="374" spans="1:26" x14ac:dyDescent="0.25">
      <c r="A374" s="203">
        <f t="shared" si="9"/>
        <v>373</v>
      </c>
      <c r="B374" s="128" t="s">
        <v>930</v>
      </c>
      <c r="C374" s="274" t="s">
        <v>930</v>
      </c>
      <c r="D374" s="262" t="s">
        <v>931</v>
      </c>
      <c r="E374" s="128" t="s">
        <v>917</v>
      </c>
      <c r="F374" s="138" t="s">
        <v>932</v>
      </c>
      <c r="G374" s="131" t="s">
        <v>852</v>
      </c>
      <c r="H374" s="128" t="s">
        <v>29</v>
      </c>
      <c r="I374" s="142" t="s">
        <v>863</v>
      </c>
      <c r="J374" s="133">
        <v>10</v>
      </c>
      <c r="K374" s="129">
        <v>9</v>
      </c>
      <c r="L374" s="129">
        <v>2</v>
      </c>
      <c r="M374" s="129" t="s">
        <v>82</v>
      </c>
      <c r="N374" s="129" t="s">
        <v>83</v>
      </c>
      <c r="O374" s="139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40"/>
    </row>
    <row r="375" spans="1:26" x14ac:dyDescent="0.25">
      <c r="A375" s="203">
        <f t="shared" si="9"/>
        <v>374</v>
      </c>
      <c r="B375" s="128" t="s">
        <v>933</v>
      </c>
      <c r="C375" s="274" t="s">
        <v>933</v>
      </c>
      <c r="D375" s="262" t="s">
        <v>931</v>
      </c>
      <c r="E375" s="128" t="s">
        <v>917</v>
      </c>
      <c r="F375" s="138" t="s">
        <v>934</v>
      </c>
      <c r="G375" s="131" t="s">
        <v>852</v>
      </c>
      <c r="H375" s="128" t="s">
        <v>29</v>
      </c>
      <c r="I375" s="142" t="s">
        <v>863</v>
      </c>
      <c r="J375" s="133">
        <v>10</v>
      </c>
      <c r="K375" s="129">
        <v>9</v>
      </c>
      <c r="L375" s="129">
        <v>3</v>
      </c>
      <c r="M375" s="129" t="s">
        <v>82</v>
      </c>
      <c r="N375" s="129" t="s">
        <v>83</v>
      </c>
      <c r="O375" s="139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40"/>
    </row>
    <row r="376" spans="1:26" x14ac:dyDescent="0.25">
      <c r="A376" s="203">
        <f t="shared" si="9"/>
        <v>375</v>
      </c>
      <c r="B376" s="128" t="s">
        <v>935</v>
      </c>
      <c r="C376" s="274" t="s">
        <v>935</v>
      </c>
      <c r="D376" s="262" t="s">
        <v>936</v>
      </c>
      <c r="E376" s="128" t="s">
        <v>917</v>
      </c>
      <c r="F376" s="138" t="s">
        <v>937</v>
      </c>
      <c r="G376" s="131" t="s">
        <v>852</v>
      </c>
      <c r="H376" s="128" t="s">
        <v>29</v>
      </c>
      <c r="I376" s="142" t="s">
        <v>863</v>
      </c>
      <c r="J376" s="133">
        <v>10</v>
      </c>
      <c r="K376" s="129">
        <v>9</v>
      </c>
      <c r="L376" s="129">
        <v>4</v>
      </c>
      <c r="M376" s="129" t="s">
        <v>82</v>
      </c>
      <c r="N376" s="129" t="s">
        <v>83</v>
      </c>
      <c r="O376" s="139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40"/>
    </row>
    <row r="377" spans="1:26" x14ac:dyDescent="0.25">
      <c r="A377" s="203">
        <f t="shared" si="9"/>
        <v>376</v>
      </c>
      <c r="B377" s="128" t="s">
        <v>938</v>
      </c>
      <c r="C377" s="274" t="s">
        <v>938</v>
      </c>
      <c r="D377" s="262" t="s">
        <v>936</v>
      </c>
      <c r="E377" s="128" t="s">
        <v>917</v>
      </c>
      <c r="F377" s="138" t="s">
        <v>939</v>
      </c>
      <c r="G377" s="131" t="s">
        <v>852</v>
      </c>
      <c r="H377" s="128" t="s">
        <v>29</v>
      </c>
      <c r="I377" s="142" t="s">
        <v>863</v>
      </c>
      <c r="J377" s="133">
        <v>10</v>
      </c>
      <c r="K377" s="129">
        <v>9</v>
      </c>
      <c r="L377" s="129">
        <v>5</v>
      </c>
      <c r="M377" s="129" t="s">
        <v>82</v>
      </c>
      <c r="N377" s="129" t="s">
        <v>83</v>
      </c>
      <c r="O377" s="139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40"/>
    </row>
    <row r="378" spans="1:26" x14ac:dyDescent="0.25">
      <c r="A378" s="203">
        <f t="shared" si="9"/>
        <v>377</v>
      </c>
      <c r="B378" s="128" t="s">
        <v>940</v>
      </c>
      <c r="C378" s="274" t="s">
        <v>941</v>
      </c>
      <c r="D378" s="262" t="s">
        <v>942</v>
      </c>
      <c r="E378" s="128" t="s">
        <v>917</v>
      </c>
      <c r="F378" s="138" t="s">
        <v>943</v>
      </c>
      <c r="G378" s="131" t="s">
        <v>852</v>
      </c>
      <c r="H378" s="128" t="s">
        <v>29</v>
      </c>
      <c r="I378" s="142" t="s">
        <v>863</v>
      </c>
      <c r="J378" s="133">
        <v>10</v>
      </c>
      <c r="K378" s="129">
        <v>6</v>
      </c>
      <c r="L378" s="129">
        <v>0</v>
      </c>
      <c r="M378" s="129" t="s">
        <v>944</v>
      </c>
      <c r="N378" s="129" t="s">
        <v>945</v>
      </c>
      <c r="O378" s="139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40"/>
    </row>
    <row r="379" spans="1:26" x14ac:dyDescent="0.25">
      <c r="A379" s="203">
        <f t="shared" si="9"/>
        <v>378</v>
      </c>
      <c r="B379" s="128" t="s">
        <v>946</v>
      </c>
      <c r="C379" s="274" t="s">
        <v>947</v>
      </c>
      <c r="D379" s="262" t="s">
        <v>942</v>
      </c>
      <c r="E379" s="128" t="s">
        <v>917</v>
      </c>
      <c r="F379" s="138" t="s">
        <v>948</v>
      </c>
      <c r="G379" s="131" t="s">
        <v>852</v>
      </c>
      <c r="H379" s="128" t="s">
        <v>29</v>
      </c>
      <c r="I379" s="142" t="s">
        <v>863</v>
      </c>
      <c r="J379" s="133">
        <v>10</v>
      </c>
      <c r="K379" s="129">
        <v>6</v>
      </c>
      <c r="L379" s="129">
        <v>1</v>
      </c>
      <c r="M379" s="129" t="s">
        <v>944</v>
      </c>
      <c r="N379" s="129" t="s">
        <v>945</v>
      </c>
      <c r="O379" s="139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40"/>
    </row>
    <row r="380" spans="1:26" x14ac:dyDescent="0.25">
      <c r="A380" s="203">
        <f t="shared" si="9"/>
        <v>379</v>
      </c>
      <c r="B380" s="128" t="s">
        <v>949</v>
      </c>
      <c r="C380" s="274" t="s">
        <v>949</v>
      </c>
      <c r="D380" s="262" t="s">
        <v>950</v>
      </c>
      <c r="E380" s="128" t="s">
        <v>917</v>
      </c>
      <c r="F380" s="138" t="s">
        <v>951</v>
      </c>
      <c r="G380" s="131" t="s">
        <v>852</v>
      </c>
      <c r="H380" s="128" t="s">
        <v>29</v>
      </c>
      <c r="I380" s="142" t="s">
        <v>863</v>
      </c>
      <c r="J380" s="133">
        <v>10</v>
      </c>
      <c r="K380" s="129">
        <v>8</v>
      </c>
      <c r="L380" s="129">
        <v>7</v>
      </c>
      <c r="M380" s="129" t="s">
        <v>31</v>
      </c>
      <c r="N380" s="129" t="s">
        <v>32</v>
      </c>
      <c r="O380" s="139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40"/>
    </row>
    <row r="381" spans="1:26" x14ac:dyDescent="0.25">
      <c r="A381" s="203">
        <f t="shared" si="9"/>
        <v>380</v>
      </c>
      <c r="B381" s="128" t="s">
        <v>952</v>
      </c>
      <c r="C381" s="274" t="s">
        <v>952</v>
      </c>
      <c r="D381" s="262" t="s">
        <v>953</v>
      </c>
      <c r="E381" s="128" t="s">
        <v>917</v>
      </c>
      <c r="F381" s="138" t="s">
        <v>954</v>
      </c>
      <c r="G381" s="131" t="s">
        <v>852</v>
      </c>
      <c r="H381" s="128" t="s">
        <v>29</v>
      </c>
      <c r="I381" s="142" t="s">
        <v>863</v>
      </c>
      <c r="J381" s="133">
        <v>10</v>
      </c>
      <c r="K381" s="129">
        <v>8</v>
      </c>
      <c r="L381" s="129">
        <v>10</v>
      </c>
      <c r="M381" s="129" t="s">
        <v>31</v>
      </c>
      <c r="N381" s="129" t="s">
        <v>32</v>
      </c>
      <c r="O381" s="139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40"/>
    </row>
    <row r="382" spans="1:26" x14ac:dyDescent="0.25">
      <c r="A382" s="203">
        <f t="shared" si="9"/>
        <v>381</v>
      </c>
      <c r="B382" s="128" t="s">
        <v>955</v>
      </c>
      <c r="C382" s="274" t="s">
        <v>956</v>
      </c>
      <c r="D382" s="262" t="s">
        <v>942</v>
      </c>
      <c r="E382" s="128" t="s">
        <v>917</v>
      </c>
      <c r="F382" s="138" t="s">
        <v>957</v>
      </c>
      <c r="G382" s="131" t="s">
        <v>852</v>
      </c>
      <c r="H382" s="128" t="s">
        <v>29</v>
      </c>
      <c r="I382" s="142" t="s">
        <v>863</v>
      </c>
      <c r="J382" s="133">
        <v>10</v>
      </c>
      <c r="K382" s="129">
        <v>3</v>
      </c>
      <c r="L382" s="129">
        <v>4</v>
      </c>
      <c r="M382" s="129" t="s">
        <v>138</v>
      </c>
      <c r="N382" s="129" t="s">
        <v>139</v>
      </c>
      <c r="O382" s="139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40"/>
    </row>
    <row r="383" spans="1:26" x14ac:dyDescent="0.25">
      <c r="A383" s="203">
        <f t="shared" si="9"/>
        <v>382</v>
      </c>
      <c r="B383" s="128" t="s">
        <v>958</v>
      </c>
      <c r="C383" s="274" t="s">
        <v>959</v>
      </c>
      <c r="D383" s="262" t="s">
        <v>942</v>
      </c>
      <c r="E383" s="128" t="s">
        <v>917</v>
      </c>
      <c r="F383" s="138" t="s">
        <v>960</v>
      </c>
      <c r="G383" s="131" t="s">
        <v>852</v>
      </c>
      <c r="H383" s="128" t="s">
        <v>29</v>
      </c>
      <c r="I383" s="142" t="s">
        <v>863</v>
      </c>
      <c r="J383" s="133">
        <v>10</v>
      </c>
      <c r="K383" s="129">
        <v>3</v>
      </c>
      <c r="L383" s="129">
        <v>5</v>
      </c>
      <c r="M383" s="129" t="s">
        <v>138</v>
      </c>
      <c r="N383" s="129" t="s">
        <v>139</v>
      </c>
      <c r="O383" s="139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40"/>
    </row>
    <row r="384" spans="1:26" x14ac:dyDescent="0.25">
      <c r="A384" s="203">
        <f t="shared" si="9"/>
        <v>383</v>
      </c>
      <c r="B384" s="133"/>
      <c r="C384" s="274" t="s">
        <v>961</v>
      </c>
      <c r="D384" s="264"/>
      <c r="E384" s="133"/>
      <c r="F384" s="141" t="s">
        <v>962</v>
      </c>
      <c r="G384" s="131" t="s">
        <v>852</v>
      </c>
      <c r="H384" s="128" t="s">
        <v>29</v>
      </c>
      <c r="I384" s="142" t="s">
        <v>863</v>
      </c>
      <c r="J384" s="133">
        <v>10</v>
      </c>
      <c r="K384" s="129">
        <v>8</v>
      </c>
      <c r="L384" s="129">
        <v>12</v>
      </c>
      <c r="M384" s="129" t="s">
        <v>31</v>
      </c>
      <c r="N384" s="129" t="s">
        <v>32</v>
      </c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3"/>
    </row>
    <row r="385" spans="1:26" x14ac:dyDescent="0.25">
      <c r="A385" s="203">
        <f t="shared" si="9"/>
        <v>384</v>
      </c>
      <c r="B385" s="128" t="s">
        <v>961</v>
      </c>
      <c r="C385" s="274" t="s">
        <v>961</v>
      </c>
      <c r="D385" s="262"/>
      <c r="E385" s="128"/>
      <c r="F385" s="138" t="s">
        <v>963</v>
      </c>
      <c r="G385" s="131" t="s">
        <v>852</v>
      </c>
      <c r="H385" s="128" t="s">
        <v>29</v>
      </c>
      <c r="I385" s="132" t="s">
        <v>127</v>
      </c>
      <c r="J385" s="133">
        <v>13</v>
      </c>
      <c r="K385" s="129">
        <v>5</v>
      </c>
      <c r="L385" s="129">
        <v>13</v>
      </c>
      <c r="M385" s="129" t="s">
        <v>31</v>
      </c>
      <c r="N385" s="129" t="s">
        <v>32</v>
      </c>
      <c r="O385" s="139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40"/>
    </row>
    <row r="386" spans="1:26" x14ac:dyDescent="0.25">
      <c r="A386" s="203">
        <f t="shared" si="9"/>
        <v>385</v>
      </c>
      <c r="B386" s="133"/>
      <c r="C386" s="274" t="s">
        <v>964</v>
      </c>
      <c r="D386" s="264"/>
      <c r="E386" s="133"/>
      <c r="F386" s="141" t="s">
        <v>965</v>
      </c>
      <c r="G386" s="142" t="s">
        <v>852</v>
      </c>
      <c r="H386" s="133" t="s">
        <v>29</v>
      </c>
      <c r="I386" s="142" t="s">
        <v>863</v>
      </c>
      <c r="J386" s="133">
        <v>10</v>
      </c>
      <c r="K386" s="129">
        <v>7</v>
      </c>
      <c r="L386" s="129">
        <v>9</v>
      </c>
      <c r="M386" s="129" t="s">
        <v>31</v>
      </c>
      <c r="N386" s="129" t="s">
        <v>32</v>
      </c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3"/>
    </row>
    <row r="387" spans="1:26" x14ac:dyDescent="0.25">
      <c r="A387" s="203">
        <f t="shared" si="9"/>
        <v>386</v>
      </c>
      <c r="B387" s="133"/>
      <c r="C387" s="274" t="s">
        <v>966</v>
      </c>
      <c r="D387" s="264"/>
      <c r="E387" s="133"/>
      <c r="F387" s="141" t="s">
        <v>967</v>
      </c>
      <c r="G387" s="133" t="s">
        <v>852</v>
      </c>
      <c r="H387" s="133" t="s">
        <v>29</v>
      </c>
      <c r="I387" s="142" t="s">
        <v>863</v>
      </c>
      <c r="J387" s="133">
        <v>10</v>
      </c>
      <c r="K387" s="129">
        <v>7</v>
      </c>
      <c r="L387" s="129">
        <v>11</v>
      </c>
      <c r="M387" s="129" t="s">
        <v>31</v>
      </c>
      <c r="N387" s="129" t="s">
        <v>32</v>
      </c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3"/>
    </row>
    <row r="388" spans="1:26" x14ac:dyDescent="0.25">
      <c r="A388" s="203">
        <f t="shared" si="9"/>
        <v>387</v>
      </c>
      <c r="B388" s="133"/>
      <c r="C388" s="274" t="s">
        <v>968</v>
      </c>
      <c r="D388" s="264"/>
      <c r="E388" s="133"/>
      <c r="F388" s="141" t="s">
        <v>969</v>
      </c>
      <c r="G388" s="142" t="s">
        <v>852</v>
      </c>
      <c r="H388" s="133" t="s">
        <v>29</v>
      </c>
      <c r="I388" s="142" t="s">
        <v>863</v>
      </c>
      <c r="J388" s="133">
        <v>10</v>
      </c>
      <c r="K388" s="129">
        <v>7</v>
      </c>
      <c r="L388" s="129">
        <v>13</v>
      </c>
      <c r="M388" s="129" t="s">
        <v>31</v>
      </c>
      <c r="N388" s="129" t="s">
        <v>32</v>
      </c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3"/>
    </row>
    <row r="389" spans="1:26" x14ac:dyDescent="0.25">
      <c r="A389" s="203">
        <f t="shared" si="9"/>
        <v>388</v>
      </c>
      <c r="B389" s="133"/>
      <c r="C389" s="274" t="s">
        <v>970</v>
      </c>
      <c r="D389" s="264"/>
      <c r="E389" s="133"/>
      <c r="F389" s="141" t="s">
        <v>971</v>
      </c>
      <c r="G389" s="133" t="s">
        <v>852</v>
      </c>
      <c r="H389" s="133" t="s">
        <v>29</v>
      </c>
      <c r="I389" s="142" t="s">
        <v>863</v>
      </c>
      <c r="J389" s="133">
        <v>10</v>
      </c>
      <c r="K389" s="129">
        <v>7</v>
      </c>
      <c r="L389" s="129">
        <v>15</v>
      </c>
      <c r="M389" s="129" t="s">
        <v>31</v>
      </c>
      <c r="N389" s="129" t="s">
        <v>32</v>
      </c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3"/>
    </row>
    <row r="390" spans="1:26" x14ac:dyDescent="0.25">
      <c r="A390" s="203">
        <f t="shared" si="9"/>
        <v>389</v>
      </c>
      <c r="B390" s="128" t="s">
        <v>972</v>
      </c>
      <c r="C390" s="274" t="s">
        <v>972</v>
      </c>
      <c r="D390" s="262" t="s">
        <v>973</v>
      </c>
      <c r="E390" s="128" t="s">
        <v>917</v>
      </c>
      <c r="F390" s="138" t="s">
        <v>974</v>
      </c>
      <c r="G390" s="131" t="s">
        <v>852</v>
      </c>
      <c r="H390" s="128" t="s">
        <v>29</v>
      </c>
      <c r="I390" s="142" t="s">
        <v>863</v>
      </c>
      <c r="J390" s="133">
        <v>10</v>
      </c>
      <c r="K390" s="129">
        <v>8</v>
      </c>
      <c r="L390" s="129">
        <v>8</v>
      </c>
      <c r="M390" s="129" t="s">
        <v>31</v>
      </c>
      <c r="N390" s="129" t="s">
        <v>32</v>
      </c>
      <c r="O390" s="139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40"/>
    </row>
    <row r="391" spans="1:26" x14ac:dyDescent="0.25">
      <c r="A391" s="203">
        <f t="shared" si="9"/>
        <v>390</v>
      </c>
      <c r="B391" s="128" t="s">
        <v>975</v>
      </c>
      <c r="C391" s="274" t="s">
        <v>975</v>
      </c>
      <c r="D391" s="262" t="s">
        <v>953</v>
      </c>
      <c r="E391" s="128" t="s">
        <v>917</v>
      </c>
      <c r="F391" s="138" t="s">
        <v>976</v>
      </c>
      <c r="G391" s="131" t="s">
        <v>852</v>
      </c>
      <c r="H391" s="128" t="s">
        <v>29</v>
      </c>
      <c r="I391" s="142" t="s">
        <v>863</v>
      </c>
      <c r="J391" s="133">
        <v>10</v>
      </c>
      <c r="K391" s="129">
        <v>8</v>
      </c>
      <c r="L391" s="129">
        <v>9</v>
      </c>
      <c r="M391" s="129" t="s">
        <v>31</v>
      </c>
      <c r="N391" s="129" t="s">
        <v>32</v>
      </c>
      <c r="O391" s="139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40"/>
    </row>
    <row r="392" spans="1:26" x14ac:dyDescent="0.25">
      <c r="A392" s="203">
        <f t="shared" si="9"/>
        <v>391</v>
      </c>
      <c r="B392" s="128" t="s">
        <v>977</v>
      </c>
      <c r="C392" s="274" t="s">
        <v>978</v>
      </c>
      <c r="D392" s="262" t="s">
        <v>979</v>
      </c>
      <c r="E392" s="128" t="s">
        <v>917</v>
      </c>
      <c r="F392" s="141" t="s">
        <v>980</v>
      </c>
      <c r="G392" s="131" t="s">
        <v>852</v>
      </c>
      <c r="H392" s="128" t="s">
        <v>29</v>
      </c>
      <c r="I392" s="142" t="s">
        <v>863</v>
      </c>
      <c r="J392" s="133">
        <v>10</v>
      </c>
      <c r="K392" s="129">
        <v>8</v>
      </c>
      <c r="L392" s="129">
        <v>6</v>
      </c>
      <c r="M392" s="129" t="s">
        <v>31</v>
      </c>
      <c r="N392" s="129" t="s">
        <v>32</v>
      </c>
      <c r="O392" s="139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40"/>
    </row>
    <row r="393" spans="1:26" x14ac:dyDescent="0.25">
      <c r="A393" s="203">
        <f t="shared" si="9"/>
        <v>392</v>
      </c>
      <c r="B393" s="133"/>
      <c r="C393" s="274" t="s">
        <v>981</v>
      </c>
      <c r="D393" s="264"/>
      <c r="E393" s="133"/>
      <c r="F393" s="141" t="s">
        <v>982</v>
      </c>
      <c r="G393" s="131" t="s">
        <v>852</v>
      </c>
      <c r="H393" s="128" t="s">
        <v>29</v>
      </c>
      <c r="I393" s="142" t="s">
        <v>863</v>
      </c>
      <c r="J393" s="133">
        <v>10</v>
      </c>
      <c r="K393" s="129">
        <v>8</v>
      </c>
      <c r="L393" s="129">
        <v>11</v>
      </c>
      <c r="M393" s="129" t="s">
        <v>31</v>
      </c>
      <c r="N393" s="129" t="s">
        <v>32</v>
      </c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3"/>
    </row>
    <row r="394" spans="1:26" x14ac:dyDescent="0.25">
      <c r="A394" s="203">
        <f t="shared" si="9"/>
        <v>393</v>
      </c>
      <c r="B394" s="128" t="s">
        <v>981</v>
      </c>
      <c r="C394" s="274" t="s">
        <v>981</v>
      </c>
      <c r="D394" s="262"/>
      <c r="E394" s="128"/>
      <c r="F394" s="138" t="s">
        <v>983</v>
      </c>
      <c r="G394" s="131" t="s">
        <v>852</v>
      </c>
      <c r="H394" s="128" t="s">
        <v>29</v>
      </c>
      <c r="I394" s="132" t="s">
        <v>127</v>
      </c>
      <c r="J394" s="133">
        <v>13</v>
      </c>
      <c r="K394" s="129">
        <v>5</v>
      </c>
      <c r="L394" s="129">
        <v>12</v>
      </c>
      <c r="M394" s="129" t="s">
        <v>31</v>
      </c>
      <c r="N394" s="129" t="s">
        <v>32</v>
      </c>
      <c r="O394" s="139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40"/>
    </row>
    <row r="395" spans="1:26" x14ac:dyDescent="0.25">
      <c r="A395" s="203">
        <f t="shared" si="9"/>
        <v>394</v>
      </c>
      <c r="B395" s="128" t="s">
        <v>886</v>
      </c>
      <c r="C395" s="274" t="s">
        <v>984</v>
      </c>
      <c r="D395" s="262"/>
      <c r="E395" s="128"/>
      <c r="F395" s="141" t="s">
        <v>985</v>
      </c>
      <c r="G395" s="142" t="s">
        <v>852</v>
      </c>
      <c r="H395" s="133" t="s">
        <v>29</v>
      </c>
      <c r="I395" s="142" t="s">
        <v>863</v>
      </c>
      <c r="J395" s="133">
        <v>10</v>
      </c>
      <c r="K395" s="129">
        <v>7</v>
      </c>
      <c r="L395" s="129">
        <v>8</v>
      </c>
      <c r="M395" s="129" t="s">
        <v>31</v>
      </c>
      <c r="N395" s="129" t="s">
        <v>32</v>
      </c>
      <c r="O395" s="139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40"/>
    </row>
    <row r="396" spans="1:26" x14ac:dyDescent="0.25">
      <c r="A396" s="203">
        <f t="shared" si="9"/>
        <v>395</v>
      </c>
      <c r="B396" s="133"/>
      <c r="C396" s="274" t="s">
        <v>986</v>
      </c>
      <c r="D396" s="264"/>
      <c r="E396" s="133"/>
      <c r="F396" s="141" t="s">
        <v>987</v>
      </c>
      <c r="G396" s="142" t="s">
        <v>852</v>
      </c>
      <c r="H396" s="133" t="s">
        <v>29</v>
      </c>
      <c r="I396" s="142" t="s">
        <v>863</v>
      </c>
      <c r="J396" s="133">
        <v>10</v>
      </c>
      <c r="K396" s="129">
        <v>7</v>
      </c>
      <c r="L396" s="129">
        <v>10</v>
      </c>
      <c r="M396" s="129" t="s">
        <v>31</v>
      </c>
      <c r="N396" s="129" t="s">
        <v>32</v>
      </c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3"/>
    </row>
    <row r="397" spans="1:26" x14ac:dyDescent="0.25">
      <c r="A397" s="203">
        <f t="shared" si="9"/>
        <v>396</v>
      </c>
      <c r="B397" s="133"/>
      <c r="C397" s="274" t="s">
        <v>988</v>
      </c>
      <c r="D397" s="264"/>
      <c r="E397" s="133"/>
      <c r="F397" s="141" t="s">
        <v>989</v>
      </c>
      <c r="G397" s="142" t="s">
        <v>852</v>
      </c>
      <c r="H397" s="133" t="s">
        <v>29</v>
      </c>
      <c r="I397" s="142" t="s">
        <v>863</v>
      </c>
      <c r="J397" s="133">
        <v>10</v>
      </c>
      <c r="K397" s="129">
        <v>7</v>
      </c>
      <c r="L397" s="129">
        <v>12</v>
      </c>
      <c r="M397" s="129" t="s">
        <v>31</v>
      </c>
      <c r="N397" s="129" t="s">
        <v>32</v>
      </c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3"/>
    </row>
    <row r="398" spans="1:26" x14ac:dyDescent="0.25">
      <c r="A398" s="203">
        <f t="shared" si="9"/>
        <v>397</v>
      </c>
      <c r="B398" s="133"/>
      <c r="C398" s="274" t="s">
        <v>990</v>
      </c>
      <c r="D398" s="264"/>
      <c r="E398" s="133"/>
      <c r="F398" s="141" t="s">
        <v>991</v>
      </c>
      <c r="G398" s="142" t="s">
        <v>852</v>
      </c>
      <c r="H398" s="133" t="s">
        <v>29</v>
      </c>
      <c r="I398" s="142" t="s">
        <v>863</v>
      </c>
      <c r="J398" s="133">
        <v>10</v>
      </c>
      <c r="K398" s="129">
        <v>7</v>
      </c>
      <c r="L398" s="129">
        <v>14</v>
      </c>
      <c r="M398" s="129" t="s">
        <v>31</v>
      </c>
      <c r="N398" s="129" t="s">
        <v>32</v>
      </c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3"/>
    </row>
    <row r="399" spans="1:26" x14ac:dyDescent="0.25">
      <c r="A399" s="203">
        <f t="shared" si="9"/>
        <v>398</v>
      </c>
      <c r="B399" s="128" t="s">
        <v>977</v>
      </c>
      <c r="C399" s="274" t="s">
        <v>977</v>
      </c>
      <c r="D399" s="262" t="s">
        <v>992</v>
      </c>
      <c r="E399" s="128" t="s">
        <v>917</v>
      </c>
      <c r="F399" s="138" t="s">
        <v>993</v>
      </c>
      <c r="G399" s="131" t="s">
        <v>852</v>
      </c>
      <c r="H399" s="128" t="s">
        <v>29</v>
      </c>
      <c r="I399" s="142" t="s">
        <v>863</v>
      </c>
      <c r="J399" s="133">
        <v>10</v>
      </c>
      <c r="K399" s="129">
        <v>4</v>
      </c>
      <c r="L399" s="129">
        <v>4</v>
      </c>
      <c r="M399" s="129" t="s">
        <v>138</v>
      </c>
      <c r="N399" s="129" t="s">
        <v>139</v>
      </c>
      <c r="O399" s="139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40"/>
    </row>
    <row r="400" spans="1:26" x14ac:dyDescent="0.25">
      <c r="A400" s="203">
        <f t="shared" si="9"/>
        <v>399</v>
      </c>
      <c r="B400" s="128" t="s">
        <v>977</v>
      </c>
      <c r="C400" s="274" t="s">
        <v>977</v>
      </c>
      <c r="D400" s="262" t="s">
        <v>992</v>
      </c>
      <c r="E400" s="128" t="s">
        <v>917</v>
      </c>
      <c r="F400" s="138" t="s">
        <v>994</v>
      </c>
      <c r="G400" s="131" t="s">
        <v>852</v>
      </c>
      <c r="H400" s="128" t="s">
        <v>29</v>
      </c>
      <c r="I400" s="142" t="s">
        <v>863</v>
      </c>
      <c r="J400" s="133">
        <v>10</v>
      </c>
      <c r="K400" s="129">
        <v>4</v>
      </c>
      <c r="L400" s="129">
        <v>5</v>
      </c>
      <c r="M400" s="129" t="s">
        <v>138</v>
      </c>
      <c r="N400" s="129" t="s">
        <v>139</v>
      </c>
      <c r="O400" s="139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40"/>
    </row>
    <row r="401" spans="1:26" x14ac:dyDescent="0.25">
      <c r="A401" s="203">
        <f t="shared" si="9"/>
        <v>400</v>
      </c>
      <c r="B401" s="128" t="s">
        <v>995</v>
      </c>
      <c r="C401" s="274" t="s">
        <v>995</v>
      </c>
      <c r="D401" s="262" t="s">
        <v>996</v>
      </c>
      <c r="E401" s="128" t="s">
        <v>917</v>
      </c>
      <c r="F401" s="138" t="s">
        <v>997</v>
      </c>
      <c r="G401" s="131" t="s">
        <v>852</v>
      </c>
      <c r="H401" s="128" t="s">
        <v>29</v>
      </c>
      <c r="I401" s="142" t="s">
        <v>863</v>
      </c>
      <c r="J401" s="133">
        <v>10</v>
      </c>
      <c r="K401" s="129">
        <v>3</v>
      </c>
      <c r="L401" s="129">
        <v>0</v>
      </c>
      <c r="M401" s="129" t="s">
        <v>138</v>
      </c>
      <c r="N401" s="129" t="s">
        <v>139</v>
      </c>
      <c r="O401" s="139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40"/>
    </row>
    <row r="402" spans="1:26" x14ac:dyDescent="0.25">
      <c r="A402" s="203">
        <f t="shared" si="9"/>
        <v>401</v>
      </c>
      <c r="B402" s="128" t="s">
        <v>995</v>
      </c>
      <c r="C402" s="274" t="s">
        <v>995</v>
      </c>
      <c r="D402" s="262" t="s">
        <v>996</v>
      </c>
      <c r="E402" s="128" t="s">
        <v>917</v>
      </c>
      <c r="F402" s="138" t="s">
        <v>998</v>
      </c>
      <c r="G402" s="131" t="s">
        <v>852</v>
      </c>
      <c r="H402" s="128" t="s">
        <v>29</v>
      </c>
      <c r="I402" s="142" t="s">
        <v>863</v>
      </c>
      <c r="J402" s="133">
        <v>10</v>
      </c>
      <c r="K402" s="129">
        <v>3</v>
      </c>
      <c r="L402" s="129">
        <v>1</v>
      </c>
      <c r="M402" s="129" t="s">
        <v>138</v>
      </c>
      <c r="N402" s="129" t="s">
        <v>139</v>
      </c>
      <c r="O402" s="139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40"/>
    </row>
    <row r="403" spans="1:26" x14ac:dyDescent="0.25">
      <c r="A403" s="203">
        <f t="shared" si="9"/>
        <v>402</v>
      </c>
      <c r="B403" s="128" t="s">
        <v>999</v>
      </c>
      <c r="C403" s="274" t="s">
        <v>999</v>
      </c>
      <c r="D403" s="262" t="s">
        <v>1000</v>
      </c>
      <c r="E403" s="128" t="s">
        <v>917</v>
      </c>
      <c r="F403" s="138" t="s">
        <v>1001</v>
      </c>
      <c r="G403" s="131" t="s">
        <v>852</v>
      </c>
      <c r="H403" s="128" t="s">
        <v>29</v>
      </c>
      <c r="I403" s="142" t="s">
        <v>863</v>
      </c>
      <c r="J403" s="133">
        <v>10</v>
      </c>
      <c r="K403" s="129">
        <v>3</v>
      </c>
      <c r="L403" s="129">
        <v>2</v>
      </c>
      <c r="M403" s="129" t="s">
        <v>138</v>
      </c>
      <c r="N403" s="129" t="s">
        <v>139</v>
      </c>
      <c r="O403" s="139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40"/>
    </row>
    <row r="404" spans="1:26" x14ac:dyDescent="0.25">
      <c r="A404" s="203">
        <f t="shared" si="9"/>
        <v>403</v>
      </c>
      <c r="B404" s="128" t="s">
        <v>999</v>
      </c>
      <c r="C404" s="274" t="s">
        <v>999</v>
      </c>
      <c r="D404" s="262" t="s">
        <v>1000</v>
      </c>
      <c r="E404" s="128" t="s">
        <v>917</v>
      </c>
      <c r="F404" s="138" t="s">
        <v>1002</v>
      </c>
      <c r="G404" s="131" t="s">
        <v>852</v>
      </c>
      <c r="H404" s="128" t="s">
        <v>29</v>
      </c>
      <c r="I404" s="142" t="s">
        <v>863</v>
      </c>
      <c r="J404" s="133">
        <v>10</v>
      </c>
      <c r="K404" s="129">
        <v>3</v>
      </c>
      <c r="L404" s="129">
        <v>3</v>
      </c>
      <c r="M404" s="129" t="s">
        <v>138</v>
      </c>
      <c r="N404" s="129" t="s">
        <v>139</v>
      </c>
      <c r="O404" s="139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40"/>
    </row>
    <row r="405" spans="1:26" x14ac:dyDescent="0.25">
      <c r="A405" s="203">
        <f t="shared" si="9"/>
        <v>404</v>
      </c>
      <c r="B405" s="128" t="s">
        <v>1003</v>
      </c>
      <c r="C405" s="274" t="s">
        <v>1003</v>
      </c>
      <c r="D405" s="262" t="s">
        <v>1004</v>
      </c>
      <c r="E405" s="128" t="s">
        <v>917</v>
      </c>
      <c r="F405" s="138" t="s">
        <v>1005</v>
      </c>
      <c r="G405" s="131" t="s">
        <v>852</v>
      </c>
      <c r="H405" s="128" t="s">
        <v>29</v>
      </c>
      <c r="I405" s="142" t="s">
        <v>863</v>
      </c>
      <c r="J405" s="133">
        <v>10</v>
      </c>
      <c r="K405" s="129">
        <v>3</v>
      </c>
      <c r="L405" s="129">
        <v>6</v>
      </c>
      <c r="M405" s="129" t="s">
        <v>138</v>
      </c>
      <c r="N405" s="129" t="s">
        <v>139</v>
      </c>
      <c r="O405" s="139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40"/>
    </row>
    <row r="406" spans="1:26" x14ac:dyDescent="0.25">
      <c r="A406" s="203">
        <f t="shared" si="9"/>
        <v>405</v>
      </c>
      <c r="B406" s="128" t="s">
        <v>1003</v>
      </c>
      <c r="C406" s="274" t="s">
        <v>1003</v>
      </c>
      <c r="D406" s="262" t="s">
        <v>1004</v>
      </c>
      <c r="E406" s="128" t="s">
        <v>917</v>
      </c>
      <c r="F406" s="138" t="s">
        <v>1006</v>
      </c>
      <c r="G406" s="131" t="s">
        <v>852</v>
      </c>
      <c r="H406" s="128" t="s">
        <v>29</v>
      </c>
      <c r="I406" s="142" t="s">
        <v>863</v>
      </c>
      <c r="J406" s="133">
        <v>10</v>
      </c>
      <c r="K406" s="129">
        <v>3</v>
      </c>
      <c r="L406" s="129">
        <v>7</v>
      </c>
      <c r="M406" s="129" t="s">
        <v>138</v>
      </c>
      <c r="N406" s="129" t="s">
        <v>139</v>
      </c>
      <c r="O406" s="139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40"/>
    </row>
    <row r="407" spans="1:26" x14ac:dyDescent="0.25">
      <c r="A407" s="203">
        <f t="shared" si="9"/>
        <v>406</v>
      </c>
      <c r="B407" s="133"/>
      <c r="C407" s="263" t="s">
        <v>883</v>
      </c>
      <c r="D407" s="264" t="s">
        <v>876</v>
      </c>
      <c r="E407" s="133" t="s">
        <v>877</v>
      </c>
      <c r="F407" s="141" t="s">
        <v>1007</v>
      </c>
      <c r="G407" s="133" t="s">
        <v>1008</v>
      </c>
      <c r="H407" s="133" t="s">
        <v>29</v>
      </c>
      <c r="I407" s="142" t="s">
        <v>863</v>
      </c>
      <c r="J407" s="133">
        <v>10</v>
      </c>
      <c r="K407" s="129">
        <v>9</v>
      </c>
      <c r="L407" s="129">
        <v>12</v>
      </c>
      <c r="M407" s="129" t="s">
        <v>82</v>
      </c>
      <c r="N407" s="129" t="s">
        <v>83</v>
      </c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3"/>
    </row>
    <row r="408" spans="1:26" x14ac:dyDescent="0.25">
      <c r="A408" s="203">
        <f t="shared" si="9"/>
        <v>407</v>
      </c>
      <c r="B408" s="133"/>
      <c r="C408" s="263" t="s">
        <v>1009</v>
      </c>
      <c r="D408" s="264" t="s">
        <v>880</v>
      </c>
      <c r="E408" s="133" t="s">
        <v>877</v>
      </c>
      <c r="F408" s="141" t="s">
        <v>1010</v>
      </c>
      <c r="G408" s="133" t="s">
        <v>1011</v>
      </c>
      <c r="H408" s="133" t="s">
        <v>29</v>
      </c>
      <c r="I408" s="142" t="s">
        <v>863</v>
      </c>
      <c r="J408" s="133">
        <v>10</v>
      </c>
      <c r="K408" s="129">
        <v>9</v>
      </c>
      <c r="L408" s="129">
        <v>13</v>
      </c>
      <c r="M408" s="129" t="s">
        <v>82</v>
      </c>
      <c r="N408" s="129" t="s">
        <v>83</v>
      </c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3"/>
    </row>
    <row r="409" spans="1:26" x14ac:dyDescent="0.25">
      <c r="A409" s="203">
        <f t="shared" si="9"/>
        <v>408</v>
      </c>
      <c r="B409" s="128" t="s">
        <v>1012</v>
      </c>
      <c r="C409" s="274" t="s">
        <v>1012</v>
      </c>
      <c r="D409" s="262"/>
      <c r="E409" s="128"/>
      <c r="F409" s="138" t="s">
        <v>1013</v>
      </c>
      <c r="G409" s="131" t="s">
        <v>1014</v>
      </c>
      <c r="H409" s="128" t="s">
        <v>678</v>
      </c>
      <c r="I409" s="131" t="s">
        <v>131</v>
      </c>
      <c r="J409" s="133">
        <v>18</v>
      </c>
      <c r="K409" s="129">
        <v>12</v>
      </c>
      <c r="L409" s="129">
        <v>2</v>
      </c>
      <c r="M409" s="129" t="s">
        <v>664</v>
      </c>
      <c r="N409" s="129" t="s">
        <v>665</v>
      </c>
      <c r="O409" s="134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40"/>
    </row>
    <row r="410" spans="1:26" x14ac:dyDescent="0.25">
      <c r="A410" s="203">
        <f t="shared" si="9"/>
        <v>409</v>
      </c>
      <c r="B410" s="128" t="s">
        <v>1015</v>
      </c>
      <c r="C410" s="274" t="s">
        <v>1015</v>
      </c>
      <c r="D410" s="262"/>
      <c r="E410" s="128"/>
      <c r="F410" s="138" t="s">
        <v>1016</v>
      </c>
      <c r="G410" s="131" t="s">
        <v>1014</v>
      </c>
      <c r="H410" s="128" t="s">
        <v>678</v>
      </c>
      <c r="I410" s="131" t="s">
        <v>131</v>
      </c>
      <c r="J410" s="133">
        <v>18</v>
      </c>
      <c r="K410" s="129">
        <v>9</v>
      </c>
      <c r="L410" s="129">
        <v>2</v>
      </c>
      <c r="M410" s="129" t="s">
        <v>658</v>
      </c>
      <c r="N410" s="129" t="s">
        <v>659</v>
      </c>
      <c r="O410" s="134" t="s">
        <v>681</v>
      </c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40"/>
    </row>
    <row r="411" spans="1:26" x14ac:dyDescent="0.25">
      <c r="A411" s="203">
        <f t="shared" si="9"/>
        <v>410</v>
      </c>
      <c r="B411" s="128" t="s">
        <v>1017</v>
      </c>
      <c r="C411" s="274" t="s">
        <v>1017</v>
      </c>
      <c r="D411" s="262"/>
      <c r="E411" s="128"/>
      <c r="F411" s="138" t="s">
        <v>1018</v>
      </c>
      <c r="G411" s="131" t="s">
        <v>1014</v>
      </c>
      <c r="H411" s="128" t="s">
        <v>678</v>
      </c>
      <c r="I411" s="131" t="s">
        <v>131</v>
      </c>
      <c r="J411" s="133">
        <v>18</v>
      </c>
      <c r="K411" s="129">
        <v>6</v>
      </c>
      <c r="L411" s="129">
        <v>4</v>
      </c>
      <c r="M411" s="129" t="s">
        <v>658</v>
      </c>
      <c r="N411" s="129" t="s">
        <v>659</v>
      </c>
      <c r="O411" s="134" t="s">
        <v>1019</v>
      </c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33" t="s">
        <v>1020</v>
      </c>
    </row>
    <row r="412" spans="1:26" x14ac:dyDescent="0.25">
      <c r="A412" s="203">
        <f t="shared" si="9"/>
        <v>411</v>
      </c>
      <c r="B412" s="128" t="s">
        <v>1021</v>
      </c>
      <c r="C412" s="274" t="s">
        <v>1021</v>
      </c>
      <c r="D412" s="262"/>
      <c r="E412" s="128"/>
      <c r="F412" s="138" t="s">
        <v>1022</v>
      </c>
      <c r="G412" s="131" t="s">
        <v>1014</v>
      </c>
      <c r="H412" s="128" t="s">
        <v>29</v>
      </c>
      <c r="I412" s="132" t="s">
        <v>1023</v>
      </c>
      <c r="J412" s="133">
        <v>12</v>
      </c>
      <c r="K412" s="129">
        <v>2</v>
      </c>
      <c r="L412" s="129">
        <v>2</v>
      </c>
      <c r="M412" s="129" t="s">
        <v>138</v>
      </c>
      <c r="N412" s="129" t="s">
        <v>139</v>
      </c>
      <c r="O412" s="139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40"/>
    </row>
    <row r="413" spans="1:26" x14ac:dyDescent="0.25">
      <c r="A413" s="203">
        <f t="shared" si="9"/>
        <v>412</v>
      </c>
      <c r="B413" s="128" t="s">
        <v>1021</v>
      </c>
      <c r="C413" s="274" t="s">
        <v>1021</v>
      </c>
      <c r="D413" s="262"/>
      <c r="E413" s="128"/>
      <c r="F413" s="138" t="s">
        <v>1024</v>
      </c>
      <c r="G413" s="131" t="s">
        <v>1014</v>
      </c>
      <c r="H413" s="128" t="s">
        <v>29</v>
      </c>
      <c r="I413" s="132" t="s">
        <v>1023</v>
      </c>
      <c r="J413" s="133">
        <v>12</v>
      </c>
      <c r="K413" s="129">
        <v>2</v>
      </c>
      <c r="L413" s="129">
        <v>3</v>
      </c>
      <c r="M413" s="129" t="s">
        <v>138</v>
      </c>
      <c r="N413" s="129" t="s">
        <v>139</v>
      </c>
      <c r="O413" s="139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40"/>
    </row>
    <row r="414" spans="1:26" x14ac:dyDescent="0.25">
      <c r="A414" s="203">
        <f t="shared" si="9"/>
        <v>413</v>
      </c>
      <c r="B414" s="128"/>
      <c r="C414" s="264" t="s">
        <v>1025</v>
      </c>
      <c r="D414" s="264" t="s">
        <v>876</v>
      </c>
      <c r="E414" s="133" t="s">
        <v>877</v>
      </c>
      <c r="F414" s="141" t="s">
        <v>1026</v>
      </c>
      <c r="G414" s="142" t="s">
        <v>1014</v>
      </c>
      <c r="H414" s="133" t="s">
        <v>29</v>
      </c>
      <c r="I414" s="142" t="s">
        <v>1023</v>
      </c>
      <c r="J414" s="133">
        <v>12</v>
      </c>
      <c r="K414" s="133">
        <v>3</v>
      </c>
      <c r="L414" s="133">
        <v>0</v>
      </c>
      <c r="M414" s="133" t="s">
        <v>138</v>
      </c>
      <c r="N414" s="133" t="s">
        <v>139</v>
      </c>
      <c r="O414" s="139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40"/>
    </row>
    <row r="415" spans="1:26" x14ac:dyDescent="0.25">
      <c r="A415" s="203">
        <f t="shared" si="9"/>
        <v>414</v>
      </c>
      <c r="B415" s="128"/>
      <c r="C415" s="264" t="s">
        <v>1027</v>
      </c>
      <c r="D415" s="264" t="s">
        <v>880</v>
      </c>
      <c r="E415" s="133" t="s">
        <v>877</v>
      </c>
      <c r="F415" s="141" t="s">
        <v>1028</v>
      </c>
      <c r="G415" s="142" t="s">
        <v>1014</v>
      </c>
      <c r="H415" s="133" t="s">
        <v>29</v>
      </c>
      <c r="I415" s="142" t="s">
        <v>1023</v>
      </c>
      <c r="J415" s="133">
        <v>12</v>
      </c>
      <c r="K415" s="133">
        <v>3</v>
      </c>
      <c r="L415" s="133">
        <v>1</v>
      </c>
      <c r="M415" s="133" t="s">
        <v>138</v>
      </c>
      <c r="N415" s="133" t="s">
        <v>139</v>
      </c>
      <c r="O415" s="139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40"/>
    </row>
    <row r="416" spans="1:26" x14ac:dyDescent="0.25">
      <c r="A416" s="203">
        <f t="shared" si="9"/>
        <v>415</v>
      </c>
      <c r="B416" s="128" t="s">
        <v>1029</v>
      </c>
      <c r="C416" s="263" t="s">
        <v>1029</v>
      </c>
      <c r="D416" s="262"/>
      <c r="E416" s="128"/>
      <c r="F416" s="138" t="s">
        <v>1030</v>
      </c>
      <c r="G416" s="131" t="s">
        <v>1014</v>
      </c>
      <c r="H416" s="128" t="s">
        <v>29</v>
      </c>
      <c r="I416" s="132" t="s">
        <v>1023</v>
      </c>
      <c r="J416" s="133">
        <v>12</v>
      </c>
      <c r="K416" s="129">
        <v>8</v>
      </c>
      <c r="L416" s="129">
        <v>4</v>
      </c>
      <c r="M416" s="129" t="s">
        <v>82</v>
      </c>
      <c r="N416" s="129" t="s">
        <v>83</v>
      </c>
      <c r="O416" s="139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40"/>
    </row>
    <row r="417" spans="1:26" s="136" customFormat="1" x14ac:dyDescent="0.25">
      <c r="A417" s="203">
        <f t="shared" si="9"/>
        <v>416</v>
      </c>
      <c r="B417" s="128"/>
      <c r="C417" s="264" t="s">
        <v>1031</v>
      </c>
      <c r="D417" s="264" t="s">
        <v>876</v>
      </c>
      <c r="E417" s="133" t="s">
        <v>877</v>
      </c>
      <c r="F417" s="141" t="s">
        <v>1032</v>
      </c>
      <c r="G417" s="142" t="s">
        <v>1014</v>
      </c>
      <c r="H417" s="133" t="s">
        <v>29</v>
      </c>
      <c r="I417" s="132" t="s">
        <v>1023</v>
      </c>
      <c r="J417" s="133">
        <v>12</v>
      </c>
      <c r="K417" s="129">
        <v>5</v>
      </c>
      <c r="L417" s="129">
        <v>7</v>
      </c>
      <c r="M417" s="129" t="s">
        <v>31</v>
      </c>
      <c r="N417" s="129" t="s">
        <v>32</v>
      </c>
      <c r="O417" s="139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40"/>
    </row>
    <row r="418" spans="1:26" x14ac:dyDescent="0.25">
      <c r="A418" s="203">
        <f t="shared" si="9"/>
        <v>417</v>
      </c>
      <c r="B418" s="128"/>
      <c r="C418" s="264" t="s">
        <v>1033</v>
      </c>
      <c r="D418" s="264" t="s">
        <v>880</v>
      </c>
      <c r="E418" s="133" t="s">
        <v>877</v>
      </c>
      <c r="F418" s="141" t="s">
        <v>1034</v>
      </c>
      <c r="G418" s="142" t="s">
        <v>1014</v>
      </c>
      <c r="H418" s="133" t="s">
        <v>29</v>
      </c>
      <c r="I418" s="132" t="s">
        <v>1023</v>
      </c>
      <c r="J418" s="133">
        <v>12</v>
      </c>
      <c r="K418" s="129">
        <v>5</v>
      </c>
      <c r="L418" s="129">
        <v>8</v>
      </c>
      <c r="M418" s="129" t="s">
        <v>31</v>
      </c>
      <c r="N418" s="129" t="s">
        <v>32</v>
      </c>
      <c r="O418" s="139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40"/>
    </row>
    <row r="419" spans="1:26" x14ac:dyDescent="0.25">
      <c r="A419" s="203">
        <f t="shared" si="9"/>
        <v>418</v>
      </c>
      <c r="B419" s="128" t="s">
        <v>1035</v>
      </c>
      <c r="C419" s="274" t="s">
        <v>1035</v>
      </c>
      <c r="D419" s="262"/>
      <c r="E419" s="128"/>
      <c r="F419" s="138" t="s">
        <v>1036</v>
      </c>
      <c r="G419" s="131" t="s">
        <v>1014</v>
      </c>
      <c r="H419" s="128" t="s">
        <v>29</v>
      </c>
      <c r="I419" s="132" t="s">
        <v>1023</v>
      </c>
      <c r="J419" s="133">
        <v>12</v>
      </c>
      <c r="K419" s="129">
        <v>8</v>
      </c>
      <c r="L419" s="129">
        <v>7</v>
      </c>
      <c r="M419" s="129" t="s">
        <v>82</v>
      </c>
      <c r="N419" s="129" t="s">
        <v>83</v>
      </c>
      <c r="O419" s="139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40"/>
    </row>
    <row r="420" spans="1:26" x14ac:dyDescent="0.25">
      <c r="A420" s="203">
        <f t="shared" si="9"/>
        <v>419</v>
      </c>
      <c r="B420" s="128" t="s">
        <v>1037</v>
      </c>
      <c r="C420" s="274" t="s">
        <v>1037</v>
      </c>
      <c r="D420" s="262"/>
      <c r="E420" s="128"/>
      <c r="F420" s="138" t="s">
        <v>1038</v>
      </c>
      <c r="G420" s="131" t="s">
        <v>1014</v>
      </c>
      <c r="H420" s="128" t="s">
        <v>29</v>
      </c>
      <c r="I420" s="132" t="s">
        <v>1023</v>
      </c>
      <c r="J420" s="133">
        <v>12</v>
      </c>
      <c r="K420" s="129">
        <v>8</v>
      </c>
      <c r="L420" s="129">
        <v>5</v>
      </c>
      <c r="M420" s="129" t="s">
        <v>82</v>
      </c>
      <c r="N420" s="129" t="s">
        <v>83</v>
      </c>
      <c r="O420" s="139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40"/>
    </row>
    <row r="421" spans="1:26" x14ac:dyDescent="0.25">
      <c r="A421" s="203">
        <f t="shared" si="9"/>
        <v>420</v>
      </c>
      <c r="B421" s="128" t="s">
        <v>1039</v>
      </c>
      <c r="C421" s="274" t="s">
        <v>1039</v>
      </c>
      <c r="D421" s="262"/>
      <c r="E421" s="128"/>
      <c r="F421" s="138" t="s">
        <v>1040</v>
      </c>
      <c r="G421" s="131" t="s">
        <v>1014</v>
      </c>
      <c r="H421" s="128" t="s">
        <v>29</v>
      </c>
      <c r="I421" s="132" t="s">
        <v>1023</v>
      </c>
      <c r="J421" s="133">
        <v>12</v>
      </c>
      <c r="K421" s="129">
        <v>8</v>
      </c>
      <c r="L421" s="129">
        <v>6</v>
      </c>
      <c r="M421" s="129" t="s">
        <v>82</v>
      </c>
      <c r="N421" s="129" t="s">
        <v>83</v>
      </c>
      <c r="O421" s="139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40"/>
    </row>
    <row r="422" spans="1:26" x14ac:dyDescent="0.25">
      <c r="A422" s="203">
        <f t="shared" si="9"/>
        <v>421</v>
      </c>
      <c r="B422" s="128" t="s">
        <v>1041</v>
      </c>
      <c r="C422" s="274" t="s">
        <v>1041</v>
      </c>
      <c r="D422" s="262" t="s">
        <v>1042</v>
      </c>
      <c r="E422" s="128" t="s">
        <v>1043</v>
      </c>
      <c r="F422" s="138" t="s">
        <v>1044</v>
      </c>
      <c r="G422" s="131" t="s">
        <v>1014</v>
      </c>
      <c r="H422" s="128" t="s">
        <v>29</v>
      </c>
      <c r="I422" s="132" t="s">
        <v>1023</v>
      </c>
      <c r="J422" s="133">
        <v>12</v>
      </c>
      <c r="K422" s="129">
        <v>5</v>
      </c>
      <c r="L422" s="129">
        <v>2</v>
      </c>
      <c r="M422" s="129" t="s">
        <v>31</v>
      </c>
      <c r="N422" s="129" t="s">
        <v>32</v>
      </c>
      <c r="O422" s="139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40"/>
    </row>
    <row r="423" spans="1:26" x14ac:dyDescent="0.25">
      <c r="A423" s="203">
        <f t="shared" si="9"/>
        <v>422</v>
      </c>
      <c r="B423" s="128" t="s">
        <v>1045</v>
      </c>
      <c r="C423" s="274" t="s">
        <v>1045</v>
      </c>
      <c r="D423" s="262"/>
      <c r="E423" s="128"/>
      <c r="F423" s="138" t="s">
        <v>1046</v>
      </c>
      <c r="G423" s="131" t="s">
        <v>1014</v>
      </c>
      <c r="H423" s="128" t="s">
        <v>29</v>
      </c>
      <c r="I423" s="132" t="s">
        <v>1023</v>
      </c>
      <c r="J423" s="133">
        <v>12</v>
      </c>
      <c r="K423" s="129">
        <v>10</v>
      </c>
      <c r="L423" s="129">
        <v>0</v>
      </c>
      <c r="M423" s="129" t="s">
        <v>658</v>
      </c>
      <c r="N423" s="129" t="s">
        <v>659</v>
      </c>
      <c r="O423" s="139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40"/>
    </row>
    <row r="424" spans="1:26" x14ac:dyDescent="0.25">
      <c r="A424" s="203">
        <f t="shared" si="9"/>
        <v>423</v>
      </c>
      <c r="B424" s="128" t="s">
        <v>1047</v>
      </c>
      <c r="C424" s="274" t="s">
        <v>1047</v>
      </c>
      <c r="D424" s="262"/>
      <c r="E424" s="128"/>
      <c r="F424" s="138" t="s">
        <v>1046</v>
      </c>
      <c r="G424" s="131" t="s">
        <v>1014</v>
      </c>
      <c r="H424" s="128" t="s">
        <v>29</v>
      </c>
      <c r="I424" s="132" t="s">
        <v>1023</v>
      </c>
      <c r="J424" s="133">
        <v>12</v>
      </c>
      <c r="K424" s="129">
        <v>10</v>
      </c>
      <c r="L424" s="129">
        <v>1</v>
      </c>
      <c r="M424" s="129" t="s">
        <v>658</v>
      </c>
      <c r="N424" s="129" t="s">
        <v>659</v>
      </c>
      <c r="O424" s="139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40"/>
    </row>
    <row r="425" spans="1:26" x14ac:dyDescent="0.25">
      <c r="A425" s="203">
        <f t="shared" ref="A425:A488" si="10">ROW()-1</f>
        <v>424</v>
      </c>
      <c r="B425" s="128" t="s">
        <v>1048</v>
      </c>
      <c r="C425" s="263" t="s">
        <v>1049</v>
      </c>
      <c r="D425" s="262" t="s">
        <v>1050</v>
      </c>
      <c r="E425" s="128" t="s">
        <v>1043</v>
      </c>
      <c r="F425" s="138" t="s">
        <v>1051</v>
      </c>
      <c r="G425" s="131" t="s">
        <v>1014</v>
      </c>
      <c r="H425" s="128" t="s">
        <v>29</v>
      </c>
      <c r="I425" s="132" t="s">
        <v>1023</v>
      </c>
      <c r="J425" s="133">
        <v>12</v>
      </c>
      <c r="K425" s="129">
        <v>9</v>
      </c>
      <c r="L425" s="129">
        <v>4</v>
      </c>
      <c r="M425" s="129" t="s">
        <v>82</v>
      </c>
      <c r="N425" s="129" t="s">
        <v>83</v>
      </c>
      <c r="O425" s="139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40"/>
    </row>
    <row r="426" spans="1:26" x14ac:dyDescent="0.25">
      <c r="A426" s="203">
        <f t="shared" si="10"/>
        <v>425</v>
      </c>
      <c r="B426" s="128" t="s">
        <v>1052</v>
      </c>
      <c r="C426" s="263" t="s">
        <v>1053</v>
      </c>
      <c r="D426" s="262" t="s">
        <v>1050</v>
      </c>
      <c r="E426" s="128" t="s">
        <v>1043</v>
      </c>
      <c r="F426" s="138" t="s">
        <v>1054</v>
      </c>
      <c r="G426" s="131" t="s">
        <v>1014</v>
      </c>
      <c r="H426" s="128" t="s">
        <v>29</v>
      </c>
      <c r="I426" s="132" t="s">
        <v>1023</v>
      </c>
      <c r="J426" s="133">
        <v>12</v>
      </c>
      <c r="K426" s="129">
        <v>9</v>
      </c>
      <c r="L426" s="129">
        <v>5</v>
      </c>
      <c r="M426" s="129" t="s">
        <v>82</v>
      </c>
      <c r="N426" s="129" t="s">
        <v>83</v>
      </c>
      <c r="O426" s="139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40"/>
    </row>
    <row r="427" spans="1:26" x14ac:dyDescent="0.25">
      <c r="A427" s="203">
        <f t="shared" si="10"/>
        <v>426</v>
      </c>
      <c r="B427" s="128" t="s">
        <v>1055</v>
      </c>
      <c r="C427" s="263" t="s">
        <v>1056</v>
      </c>
      <c r="D427" s="262" t="s">
        <v>1057</v>
      </c>
      <c r="E427" s="128" t="s">
        <v>1043</v>
      </c>
      <c r="F427" s="138" t="s">
        <v>1058</v>
      </c>
      <c r="G427" s="131" t="s">
        <v>1014</v>
      </c>
      <c r="H427" s="128" t="s">
        <v>29</v>
      </c>
      <c r="I427" s="132" t="s">
        <v>1023</v>
      </c>
      <c r="J427" s="133">
        <v>12</v>
      </c>
      <c r="K427" s="129">
        <v>9</v>
      </c>
      <c r="L427" s="129">
        <v>6</v>
      </c>
      <c r="M427" s="129" t="s">
        <v>82</v>
      </c>
      <c r="N427" s="129" t="s">
        <v>83</v>
      </c>
      <c r="O427" s="139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40"/>
    </row>
    <row r="428" spans="1:26" x14ac:dyDescent="0.25">
      <c r="A428" s="203">
        <f t="shared" si="10"/>
        <v>427</v>
      </c>
      <c r="B428" s="128" t="s">
        <v>1059</v>
      </c>
      <c r="C428" s="263" t="s">
        <v>1060</v>
      </c>
      <c r="D428" s="262" t="s">
        <v>1057</v>
      </c>
      <c r="E428" s="128" t="s">
        <v>1043</v>
      </c>
      <c r="F428" s="138" t="s">
        <v>1061</v>
      </c>
      <c r="G428" s="131" t="s">
        <v>1014</v>
      </c>
      <c r="H428" s="128" t="s">
        <v>29</v>
      </c>
      <c r="I428" s="132" t="s">
        <v>1023</v>
      </c>
      <c r="J428" s="133">
        <v>12</v>
      </c>
      <c r="K428" s="129">
        <v>9</v>
      </c>
      <c r="L428" s="129">
        <v>7</v>
      </c>
      <c r="M428" s="129" t="s">
        <v>82</v>
      </c>
      <c r="N428" s="129" t="s">
        <v>83</v>
      </c>
      <c r="O428" s="139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40"/>
    </row>
    <row r="429" spans="1:26" x14ac:dyDescent="0.25">
      <c r="A429" s="203">
        <f t="shared" si="10"/>
        <v>428</v>
      </c>
      <c r="B429" s="128" t="s">
        <v>1062</v>
      </c>
      <c r="C429" s="274" t="s">
        <v>1062</v>
      </c>
      <c r="D429" s="262"/>
      <c r="E429" s="128"/>
      <c r="F429" s="138" t="s">
        <v>1063</v>
      </c>
      <c r="G429" s="131" t="s">
        <v>1014</v>
      </c>
      <c r="H429" s="128" t="s">
        <v>678</v>
      </c>
      <c r="I429" s="131" t="s">
        <v>131</v>
      </c>
      <c r="J429" s="133">
        <v>18</v>
      </c>
      <c r="K429" s="129">
        <v>3</v>
      </c>
      <c r="L429" s="129">
        <v>2</v>
      </c>
      <c r="M429" s="129" t="s">
        <v>82</v>
      </c>
      <c r="N429" s="129" t="s">
        <v>83</v>
      </c>
      <c r="O429" s="139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40"/>
    </row>
    <row r="430" spans="1:26" x14ac:dyDescent="0.25">
      <c r="A430" s="203">
        <f t="shared" si="10"/>
        <v>429</v>
      </c>
      <c r="B430" s="128" t="s">
        <v>1064</v>
      </c>
      <c r="C430" s="274" t="s">
        <v>1064</v>
      </c>
      <c r="D430" s="262" t="s">
        <v>1065</v>
      </c>
      <c r="E430" s="128" t="s">
        <v>1043</v>
      </c>
      <c r="F430" s="138" t="s">
        <v>1066</v>
      </c>
      <c r="G430" s="131" t="s">
        <v>1014</v>
      </c>
      <c r="H430" s="128" t="s">
        <v>29</v>
      </c>
      <c r="I430" s="132" t="s">
        <v>1023</v>
      </c>
      <c r="J430" s="133">
        <v>12</v>
      </c>
      <c r="K430" s="129">
        <v>9</v>
      </c>
      <c r="L430" s="129">
        <v>2</v>
      </c>
      <c r="M430" s="129" t="s">
        <v>82</v>
      </c>
      <c r="N430" s="129" t="s">
        <v>83</v>
      </c>
      <c r="O430" s="139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40"/>
    </row>
    <row r="431" spans="1:26" x14ac:dyDescent="0.25">
      <c r="A431" s="203">
        <f t="shared" si="10"/>
        <v>430</v>
      </c>
      <c r="B431" s="128" t="s">
        <v>1067</v>
      </c>
      <c r="C431" s="274" t="s">
        <v>1067</v>
      </c>
      <c r="D431" s="262" t="s">
        <v>1065</v>
      </c>
      <c r="E431" s="128" t="s">
        <v>1043</v>
      </c>
      <c r="F431" s="138" t="s">
        <v>1068</v>
      </c>
      <c r="G431" s="131" t="s">
        <v>1014</v>
      </c>
      <c r="H431" s="128" t="s">
        <v>29</v>
      </c>
      <c r="I431" s="132" t="s">
        <v>1023</v>
      </c>
      <c r="J431" s="133">
        <v>12</v>
      </c>
      <c r="K431" s="129">
        <v>9</v>
      </c>
      <c r="L431" s="129">
        <v>3</v>
      </c>
      <c r="M431" s="129" t="s">
        <v>82</v>
      </c>
      <c r="N431" s="129" t="s">
        <v>83</v>
      </c>
      <c r="O431" s="139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40"/>
    </row>
    <row r="432" spans="1:26" x14ac:dyDescent="0.25">
      <c r="A432" s="203">
        <f t="shared" si="10"/>
        <v>431</v>
      </c>
      <c r="B432" s="128" t="s">
        <v>1069</v>
      </c>
      <c r="C432" s="274" t="s">
        <v>1069</v>
      </c>
      <c r="D432" s="264" t="s">
        <v>1070</v>
      </c>
      <c r="E432" s="128" t="s">
        <v>1043</v>
      </c>
      <c r="F432" s="138" t="s">
        <v>1071</v>
      </c>
      <c r="G432" s="131" t="s">
        <v>1014</v>
      </c>
      <c r="H432" s="128" t="s">
        <v>29</v>
      </c>
      <c r="I432" s="132" t="s">
        <v>1023</v>
      </c>
      <c r="J432" s="133">
        <v>12</v>
      </c>
      <c r="K432" s="129">
        <v>9</v>
      </c>
      <c r="L432" s="129">
        <v>0</v>
      </c>
      <c r="M432" s="129" t="s">
        <v>82</v>
      </c>
      <c r="N432" s="129" t="s">
        <v>83</v>
      </c>
      <c r="O432" s="139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40"/>
    </row>
    <row r="433" spans="1:26" x14ac:dyDescent="0.25">
      <c r="A433" s="203">
        <f t="shared" si="10"/>
        <v>432</v>
      </c>
      <c r="B433" s="128" t="s">
        <v>1072</v>
      </c>
      <c r="C433" s="274" t="s">
        <v>1072</v>
      </c>
      <c r="D433" s="264" t="s">
        <v>1070</v>
      </c>
      <c r="E433" s="128" t="s">
        <v>1043</v>
      </c>
      <c r="F433" s="138" t="s">
        <v>1073</v>
      </c>
      <c r="G433" s="131" t="s">
        <v>1014</v>
      </c>
      <c r="H433" s="128" t="s">
        <v>29</v>
      </c>
      <c r="I433" s="132" t="s">
        <v>1023</v>
      </c>
      <c r="J433" s="133">
        <v>12</v>
      </c>
      <c r="K433" s="129">
        <v>9</v>
      </c>
      <c r="L433" s="129">
        <v>1</v>
      </c>
      <c r="M433" s="129" t="s">
        <v>82</v>
      </c>
      <c r="N433" s="129" t="s">
        <v>83</v>
      </c>
      <c r="O433" s="139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40"/>
    </row>
    <row r="434" spans="1:26" x14ac:dyDescent="0.25">
      <c r="A434" s="203">
        <f t="shared" si="10"/>
        <v>433</v>
      </c>
      <c r="B434" s="128"/>
      <c r="C434" s="275" t="s">
        <v>1074</v>
      </c>
      <c r="D434" s="264"/>
      <c r="E434" s="133"/>
      <c r="F434" s="141" t="s">
        <v>1075</v>
      </c>
      <c r="G434" s="142" t="s">
        <v>1014</v>
      </c>
      <c r="H434" s="133" t="s">
        <v>29</v>
      </c>
      <c r="I434" s="132" t="s">
        <v>1023</v>
      </c>
      <c r="J434" s="133">
        <v>12</v>
      </c>
      <c r="K434" s="129">
        <v>9</v>
      </c>
      <c r="L434" s="129">
        <v>15</v>
      </c>
      <c r="M434" s="129" t="s">
        <v>82</v>
      </c>
      <c r="N434" s="129" t="s">
        <v>83</v>
      </c>
      <c r="O434" s="139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40"/>
    </row>
    <row r="435" spans="1:26" x14ac:dyDescent="0.25">
      <c r="A435" s="203">
        <f t="shared" si="10"/>
        <v>434</v>
      </c>
      <c r="B435" s="128" t="s">
        <v>1076</v>
      </c>
      <c r="C435" s="274" t="s">
        <v>1076</v>
      </c>
      <c r="D435" s="262" t="s">
        <v>1077</v>
      </c>
      <c r="E435" s="128" t="s">
        <v>1043</v>
      </c>
      <c r="F435" s="138" t="s">
        <v>1078</v>
      </c>
      <c r="G435" s="131" t="s">
        <v>1014</v>
      </c>
      <c r="H435" s="128" t="s">
        <v>29</v>
      </c>
      <c r="I435" s="132" t="s">
        <v>1023</v>
      </c>
      <c r="J435" s="133">
        <v>12</v>
      </c>
      <c r="K435" s="129">
        <v>4</v>
      </c>
      <c r="L435" s="129">
        <v>0</v>
      </c>
      <c r="M435" s="129" t="s">
        <v>944</v>
      </c>
      <c r="N435" s="129" t="s">
        <v>945</v>
      </c>
      <c r="O435" s="139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40"/>
    </row>
    <row r="436" spans="1:26" x14ac:dyDescent="0.25">
      <c r="A436" s="203">
        <f t="shared" si="10"/>
        <v>435</v>
      </c>
      <c r="B436" s="128" t="s">
        <v>1079</v>
      </c>
      <c r="C436" s="274" t="s">
        <v>1079</v>
      </c>
      <c r="D436" s="262" t="s">
        <v>1077</v>
      </c>
      <c r="E436" s="128" t="s">
        <v>1043</v>
      </c>
      <c r="F436" s="138" t="s">
        <v>1080</v>
      </c>
      <c r="G436" s="131" t="s">
        <v>1014</v>
      </c>
      <c r="H436" s="128" t="s">
        <v>29</v>
      </c>
      <c r="I436" s="132" t="s">
        <v>1023</v>
      </c>
      <c r="J436" s="133">
        <v>12</v>
      </c>
      <c r="K436" s="129">
        <v>4</v>
      </c>
      <c r="L436" s="129">
        <v>1</v>
      </c>
      <c r="M436" s="129" t="s">
        <v>944</v>
      </c>
      <c r="N436" s="129" t="s">
        <v>945</v>
      </c>
      <c r="O436" s="139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40"/>
    </row>
    <row r="437" spans="1:26" x14ac:dyDescent="0.25">
      <c r="A437" s="203">
        <f t="shared" si="10"/>
        <v>436</v>
      </c>
      <c r="B437" s="128" t="s">
        <v>1081</v>
      </c>
      <c r="C437" s="274" t="s">
        <v>1081</v>
      </c>
      <c r="D437" s="262" t="s">
        <v>1082</v>
      </c>
      <c r="E437" s="128"/>
      <c r="F437" s="138" t="s">
        <v>1083</v>
      </c>
      <c r="G437" s="131" t="s">
        <v>1014</v>
      </c>
      <c r="H437" s="128" t="s">
        <v>29</v>
      </c>
      <c r="I437" s="132" t="s">
        <v>1023</v>
      </c>
      <c r="J437" s="133">
        <v>12</v>
      </c>
      <c r="K437" s="129">
        <v>6</v>
      </c>
      <c r="L437" s="129">
        <v>7</v>
      </c>
      <c r="M437" s="129" t="s">
        <v>31</v>
      </c>
      <c r="N437" s="129" t="s">
        <v>32</v>
      </c>
      <c r="O437" s="139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40"/>
    </row>
    <row r="438" spans="1:26" x14ac:dyDescent="0.25">
      <c r="A438" s="203">
        <f t="shared" si="10"/>
        <v>437</v>
      </c>
      <c r="B438" s="128" t="s">
        <v>1084</v>
      </c>
      <c r="C438" s="274" t="s">
        <v>1084</v>
      </c>
      <c r="D438" s="262" t="s">
        <v>1085</v>
      </c>
      <c r="E438" s="128"/>
      <c r="F438" s="138" t="s">
        <v>1086</v>
      </c>
      <c r="G438" s="131" t="s">
        <v>1014</v>
      </c>
      <c r="H438" s="128" t="s">
        <v>29</v>
      </c>
      <c r="I438" s="132" t="s">
        <v>1023</v>
      </c>
      <c r="J438" s="133">
        <v>12</v>
      </c>
      <c r="K438" s="129">
        <v>6</v>
      </c>
      <c r="L438" s="129">
        <v>9</v>
      </c>
      <c r="M438" s="129" t="s">
        <v>31</v>
      </c>
      <c r="N438" s="129" t="s">
        <v>32</v>
      </c>
      <c r="O438" s="139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40"/>
    </row>
    <row r="439" spans="1:26" x14ac:dyDescent="0.25">
      <c r="A439" s="203">
        <f t="shared" si="10"/>
        <v>438</v>
      </c>
      <c r="B439" s="128" t="s">
        <v>1087</v>
      </c>
      <c r="C439" s="274" t="s">
        <v>1087</v>
      </c>
      <c r="D439" s="262" t="s">
        <v>1088</v>
      </c>
      <c r="E439" s="128"/>
      <c r="F439" s="138" t="s">
        <v>1089</v>
      </c>
      <c r="G439" s="131" t="s">
        <v>1014</v>
      </c>
      <c r="H439" s="128" t="s">
        <v>29</v>
      </c>
      <c r="I439" s="132" t="s">
        <v>1023</v>
      </c>
      <c r="J439" s="133">
        <v>12</v>
      </c>
      <c r="K439" s="129">
        <v>6</v>
      </c>
      <c r="L439" s="129">
        <v>1</v>
      </c>
      <c r="M439" s="129" t="s">
        <v>31</v>
      </c>
      <c r="N439" s="129" t="s">
        <v>32</v>
      </c>
      <c r="O439" s="139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40"/>
    </row>
    <row r="440" spans="1:26" x14ac:dyDescent="0.25">
      <c r="A440" s="203">
        <f t="shared" si="10"/>
        <v>439</v>
      </c>
      <c r="B440" s="128" t="s">
        <v>1090</v>
      </c>
      <c r="C440" s="274" t="s">
        <v>1090</v>
      </c>
      <c r="D440" s="262" t="s">
        <v>1091</v>
      </c>
      <c r="E440" s="128"/>
      <c r="F440" s="138" t="s">
        <v>1092</v>
      </c>
      <c r="G440" s="131" t="s">
        <v>1014</v>
      </c>
      <c r="H440" s="128" t="s">
        <v>29</v>
      </c>
      <c r="I440" s="132" t="s">
        <v>1023</v>
      </c>
      <c r="J440" s="133">
        <v>12</v>
      </c>
      <c r="K440" s="129">
        <v>5</v>
      </c>
      <c r="L440" s="129">
        <v>0</v>
      </c>
      <c r="M440" s="129" t="s">
        <v>31</v>
      </c>
      <c r="N440" s="129" t="s">
        <v>32</v>
      </c>
      <c r="O440" s="139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40"/>
    </row>
    <row r="441" spans="1:26" x14ac:dyDescent="0.25">
      <c r="A441" s="203">
        <f t="shared" si="10"/>
        <v>440</v>
      </c>
      <c r="B441" s="128" t="s">
        <v>1093</v>
      </c>
      <c r="C441" s="263" t="s">
        <v>1094</v>
      </c>
      <c r="D441" s="262" t="s">
        <v>1077</v>
      </c>
      <c r="E441" s="128" t="s">
        <v>1043</v>
      </c>
      <c r="F441" s="138" t="s">
        <v>1095</v>
      </c>
      <c r="G441" s="131" t="s">
        <v>1014</v>
      </c>
      <c r="H441" s="128" t="s">
        <v>29</v>
      </c>
      <c r="I441" s="132" t="s">
        <v>1023</v>
      </c>
      <c r="J441" s="133">
        <v>12</v>
      </c>
      <c r="K441" s="129">
        <v>2</v>
      </c>
      <c r="L441" s="129">
        <v>6</v>
      </c>
      <c r="M441" s="129" t="s">
        <v>138</v>
      </c>
      <c r="N441" s="129" t="s">
        <v>139</v>
      </c>
      <c r="O441" s="139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40"/>
    </row>
    <row r="442" spans="1:26" x14ac:dyDescent="0.25">
      <c r="A442" s="203">
        <f t="shared" si="10"/>
        <v>441</v>
      </c>
      <c r="B442" s="128" t="s">
        <v>1093</v>
      </c>
      <c r="C442" s="274" t="s">
        <v>1096</v>
      </c>
      <c r="D442" s="262" t="s">
        <v>1077</v>
      </c>
      <c r="E442" s="128" t="s">
        <v>1043</v>
      </c>
      <c r="F442" s="138" t="s">
        <v>1097</v>
      </c>
      <c r="G442" s="131" t="s">
        <v>1014</v>
      </c>
      <c r="H442" s="128" t="s">
        <v>29</v>
      </c>
      <c r="I442" s="132" t="s">
        <v>1023</v>
      </c>
      <c r="J442" s="133">
        <v>12</v>
      </c>
      <c r="K442" s="129">
        <v>2</v>
      </c>
      <c r="L442" s="129">
        <v>7</v>
      </c>
      <c r="M442" s="129" t="s">
        <v>138</v>
      </c>
      <c r="N442" s="129" t="s">
        <v>139</v>
      </c>
      <c r="O442" s="139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40"/>
    </row>
    <row r="443" spans="1:26" x14ac:dyDescent="0.25">
      <c r="A443" s="203">
        <f t="shared" si="10"/>
        <v>442</v>
      </c>
      <c r="B443" s="128" t="s">
        <v>1098</v>
      </c>
      <c r="C443" s="274" t="s">
        <v>1098</v>
      </c>
      <c r="D443" s="262"/>
      <c r="E443" s="128"/>
      <c r="F443" s="138" t="s">
        <v>1099</v>
      </c>
      <c r="G443" s="131" t="s">
        <v>1014</v>
      </c>
      <c r="H443" s="128" t="s">
        <v>678</v>
      </c>
      <c r="I443" s="131" t="s">
        <v>131</v>
      </c>
      <c r="J443" s="133">
        <v>18</v>
      </c>
      <c r="K443" s="129">
        <v>1</v>
      </c>
      <c r="L443" s="129">
        <v>1</v>
      </c>
      <c r="M443" s="129" t="s">
        <v>31</v>
      </c>
      <c r="N443" s="129" t="s">
        <v>32</v>
      </c>
      <c r="O443" s="139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59"/>
    </row>
    <row r="444" spans="1:26" x14ac:dyDescent="0.25">
      <c r="A444" s="203">
        <f t="shared" si="10"/>
        <v>443</v>
      </c>
      <c r="B444" s="128" t="s">
        <v>1100</v>
      </c>
      <c r="C444" s="274" t="s">
        <v>1100</v>
      </c>
      <c r="D444" s="262" t="s">
        <v>1082</v>
      </c>
      <c r="E444" s="128"/>
      <c r="F444" s="138" t="s">
        <v>1101</v>
      </c>
      <c r="G444" s="131" t="s">
        <v>1014</v>
      </c>
      <c r="H444" s="128" t="s">
        <v>29</v>
      </c>
      <c r="I444" s="132" t="s">
        <v>1023</v>
      </c>
      <c r="J444" s="133">
        <v>12</v>
      </c>
      <c r="K444" s="129">
        <v>6</v>
      </c>
      <c r="L444" s="129">
        <v>6</v>
      </c>
      <c r="M444" s="129" t="s">
        <v>31</v>
      </c>
      <c r="N444" s="129" t="s">
        <v>32</v>
      </c>
      <c r="O444" s="139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40"/>
    </row>
    <row r="445" spans="1:26" x14ac:dyDescent="0.25">
      <c r="A445" s="203">
        <f t="shared" si="10"/>
        <v>444</v>
      </c>
      <c r="B445" s="128" t="s">
        <v>1102</v>
      </c>
      <c r="C445" s="274" t="s">
        <v>1102</v>
      </c>
      <c r="D445" s="262" t="s">
        <v>1085</v>
      </c>
      <c r="E445" s="128"/>
      <c r="F445" s="138" t="s">
        <v>1103</v>
      </c>
      <c r="G445" s="131" t="s">
        <v>1014</v>
      </c>
      <c r="H445" s="128" t="s">
        <v>29</v>
      </c>
      <c r="I445" s="132" t="s">
        <v>1023</v>
      </c>
      <c r="J445" s="133">
        <v>12</v>
      </c>
      <c r="K445" s="129">
        <v>6</v>
      </c>
      <c r="L445" s="129">
        <v>8</v>
      </c>
      <c r="M445" s="129" t="s">
        <v>31</v>
      </c>
      <c r="N445" s="129" t="s">
        <v>32</v>
      </c>
      <c r="O445" s="139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40"/>
    </row>
    <row r="446" spans="1:26" x14ac:dyDescent="0.25">
      <c r="A446" s="203">
        <f t="shared" si="10"/>
        <v>445</v>
      </c>
      <c r="B446" s="128" t="s">
        <v>1104</v>
      </c>
      <c r="C446" s="274" t="s">
        <v>1104</v>
      </c>
      <c r="D446" s="262" t="s">
        <v>1088</v>
      </c>
      <c r="E446" s="128"/>
      <c r="F446" s="138" t="s">
        <v>1105</v>
      </c>
      <c r="G446" s="131" t="s">
        <v>1014</v>
      </c>
      <c r="H446" s="128" t="s">
        <v>29</v>
      </c>
      <c r="I446" s="132" t="s">
        <v>1023</v>
      </c>
      <c r="J446" s="133">
        <v>12</v>
      </c>
      <c r="K446" s="129">
        <v>6</v>
      </c>
      <c r="L446" s="129">
        <v>0</v>
      </c>
      <c r="M446" s="129" t="s">
        <v>31</v>
      </c>
      <c r="N446" s="129" t="s">
        <v>32</v>
      </c>
      <c r="O446" s="139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40"/>
    </row>
    <row r="447" spans="1:26" x14ac:dyDescent="0.25">
      <c r="A447" s="203">
        <f t="shared" si="10"/>
        <v>446</v>
      </c>
      <c r="B447" s="128" t="s">
        <v>1106</v>
      </c>
      <c r="C447" s="274" t="s">
        <v>1106</v>
      </c>
      <c r="D447" s="262" t="s">
        <v>1107</v>
      </c>
      <c r="E447" s="128"/>
      <c r="F447" s="138" t="s">
        <v>1108</v>
      </c>
      <c r="G447" s="131" t="s">
        <v>1014</v>
      </c>
      <c r="H447" s="128" t="s">
        <v>29</v>
      </c>
      <c r="I447" s="132" t="s">
        <v>1023</v>
      </c>
      <c r="J447" s="133">
        <v>12</v>
      </c>
      <c r="K447" s="129">
        <v>5</v>
      </c>
      <c r="L447" s="129">
        <v>1</v>
      </c>
      <c r="M447" s="129" t="s">
        <v>31</v>
      </c>
      <c r="N447" s="129" t="s">
        <v>32</v>
      </c>
      <c r="O447" s="139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40"/>
    </row>
    <row r="448" spans="1:26" x14ac:dyDescent="0.25">
      <c r="A448" s="203">
        <f t="shared" si="10"/>
        <v>447</v>
      </c>
      <c r="B448" s="128" t="s">
        <v>1109</v>
      </c>
      <c r="C448" s="263" t="s">
        <v>1109</v>
      </c>
      <c r="D448" s="264" t="s">
        <v>1110</v>
      </c>
      <c r="E448" s="128"/>
      <c r="F448" s="138" t="s">
        <v>1111</v>
      </c>
      <c r="G448" s="131" t="s">
        <v>1014</v>
      </c>
      <c r="H448" s="128" t="s">
        <v>29</v>
      </c>
      <c r="I448" s="132" t="s">
        <v>1023</v>
      </c>
      <c r="J448" s="133">
        <v>12</v>
      </c>
      <c r="K448" s="129">
        <v>5</v>
      </c>
      <c r="L448" s="129">
        <v>6</v>
      </c>
      <c r="M448" s="129" t="s">
        <v>31</v>
      </c>
      <c r="N448" s="129" t="s">
        <v>32</v>
      </c>
      <c r="O448" s="139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40"/>
    </row>
    <row r="449" spans="1:26" x14ac:dyDescent="0.25">
      <c r="A449" s="203">
        <f t="shared" si="10"/>
        <v>448</v>
      </c>
      <c r="B449" s="128" t="s">
        <v>1112</v>
      </c>
      <c r="C449" s="274" t="s">
        <v>1112</v>
      </c>
      <c r="D449" s="262"/>
      <c r="E449" s="128"/>
      <c r="F449" s="138" t="s">
        <v>1113</v>
      </c>
      <c r="G449" s="131" t="s">
        <v>1014</v>
      </c>
      <c r="H449" s="128" t="s">
        <v>678</v>
      </c>
      <c r="I449" s="131" t="s">
        <v>131</v>
      </c>
      <c r="J449" s="133">
        <v>18</v>
      </c>
      <c r="K449" s="129">
        <v>1</v>
      </c>
      <c r="L449" s="129">
        <v>0</v>
      </c>
      <c r="M449" s="129" t="s">
        <v>31</v>
      </c>
      <c r="N449" s="129" t="s">
        <v>32</v>
      </c>
      <c r="O449" s="139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59"/>
    </row>
    <row r="450" spans="1:26" x14ac:dyDescent="0.25">
      <c r="A450" s="203">
        <f t="shared" si="10"/>
        <v>449</v>
      </c>
      <c r="B450" s="128" t="s">
        <v>1114</v>
      </c>
      <c r="C450" s="274" t="s">
        <v>1114</v>
      </c>
      <c r="D450" s="262" t="s">
        <v>1115</v>
      </c>
      <c r="E450" s="128"/>
      <c r="F450" s="138" t="s">
        <v>1116</v>
      </c>
      <c r="G450" s="131" t="s">
        <v>1014</v>
      </c>
      <c r="H450" s="128" t="s">
        <v>29</v>
      </c>
      <c r="I450" s="132" t="s">
        <v>1023</v>
      </c>
      <c r="J450" s="133">
        <v>12</v>
      </c>
      <c r="K450" s="129">
        <v>2</v>
      </c>
      <c r="L450" s="129">
        <v>4</v>
      </c>
      <c r="M450" s="129" t="s">
        <v>138</v>
      </c>
      <c r="N450" s="129" t="s">
        <v>139</v>
      </c>
      <c r="O450" s="139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40"/>
    </row>
    <row r="451" spans="1:26" x14ac:dyDescent="0.25">
      <c r="A451" s="203">
        <f t="shared" si="10"/>
        <v>450</v>
      </c>
      <c r="B451" s="128" t="s">
        <v>1114</v>
      </c>
      <c r="C451" s="274" t="s">
        <v>1114</v>
      </c>
      <c r="D451" s="262" t="s">
        <v>1115</v>
      </c>
      <c r="E451" s="128"/>
      <c r="F451" s="138" t="s">
        <v>1117</v>
      </c>
      <c r="G451" s="131" t="s">
        <v>1014</v>
      </c>
      <c r="H451" s="128" t="s">
        <v>29</v>
      </c>
      <c r="I451" s="132" t="s">
        <v>1023</v>
      </c>
      <c r="J451" s="133">
        <v>12</v>
      </c>
      <c r="K451" s="129">
        <v>2</v>
      </c>
      <c r="L451" s="129">
        <v>5</v>
      </c>
      <c r="M451" s="129" t="s">
        <v>138</v>
      </c>
      <c r="N451" s="129" t="s">
        <v>139</v>
      </c>
      <c r="O451" s="139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40"/>
    </row>
    <row r="452" spans="1:26" x14ac:dyDescent="0.25">
      <c r="A452" s="203">
        <f t="shared" si="10"/>
        <v>451</v>
      </c>
      <c r="B452" s="128" t="s">
        <v>1118</v>
      </c>
      <c r="C452" s="274" t="s">
        <v>1118</v>
      </c>
      <c r="D452" s="262" t="s">
        <v>895</v>
      </c>
      <c r="E452" s="128"/>
      <c r="F452" s="138" t="s">
        <v>1119</v>
      </c>
      <c r="G452" s="131" t="s">
        <v>1014</v>
      </c>
      <c r="H452" s="128" t="s">
        <v>29</v>
      </c>
      <c r="I452" s="132" t="s">
        <v>1023</v>
      </c>
      <c r="J452" s="133">
        <v>12</v>
      </c>
      <c r="K452" s="129">
        <v>2</v>
      </c>
      <c r="L452" s="129">
        <v>0</v>
      </c>
      <c r="M452" s="129" t="s">
        <v>138</v>
      </c>
      <c r="N452" s="129" t="s">
        <v>139</v>
      </c>
      <c r="O452" s="139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40"/>
    </row>
    <row r="453" spans="1:26" x14ac:dyDescent="0.25">
      <c r="A453" s="203">
        <f t="shared" si="10"/>
        <v>452</v>
      </c>
      <c r="B453" s="128" t="s">
        <v>1118</v>
      </c>
      <c r="C453" s="274" t="s">
        <v>1118</v>
      </c>
      <c r="D453" s="262" t="s">
        <v>895</v>
      </c>
      <c r="E453" s="128"/>
      <c r="F453" s="138" t="s">
        <v>1120</v>
      </c>
      <c r="G453" s="131" t="s">
        <v>1014</v>
      </c>
      <c r="H453" s="128" t="s">
        <v>29</v>
      </c>
      <c r="I453" s="132" t="s">
        <v>1023</v>
      </c>
      <c r="J453" s="133">
        <v>12</v>
      </c>
      <c r="K453" s="129">
        <v>2</v>
      </c>
      <c r="L453" s="129">
        <v>1</v>
      </c>
      <c r="M453" s="129" t="s">
        <v>138</v>
      </c>
      <c r="N453" s="129" t="s">
        <v>139</v>
      </c>
      <c r="O453" s="139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40"/>
    </row>
    <row r="454" spans="1:26" x14ac:dyDescent="0.25">
      <c r="A454" s="203">
        <f t="shared" si="10"/>
        <v>453</v>
      </c>
      <c r="B454" s="128" t="s">
        <v>1121</v>
      </c>
      <c r="C454" s="274" t="s">
        <v>1121</v>
      </c>
      <c r="D454" s="262" t="s">
        <v>1122</v>
      </c>
      <c r="E454" s="128"/>
      <c r="F454" s="138" t="s">
        <v>1123</v>
      </c>
      <c r="G454" s="131" t="s">
        <v>1014</v>
      </c>
      <c r="H454" s="128" t="s">
        <v>29</v>
      </c>
      <c r="I454" s="132" t="s">
        <v>1023</v>
      </c>
      <c r="J454" s="133">
        <v>12</v>
      </c>
      <c r="K454" s="129">
        <v>1</v>
      </c>
      <c r="L454" s="129">
        <v>4</v>
      </c>
      <c r="M454" s="129" t="s">
        <v>138</v>
      </c>
      <c r="N454" s="129" t="s">
        <v>139</v>
      </c>
      <c r="O454" s="139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40"/>
    </row>
    <row r="455" spans="1:26" x14ac:dyDescent="0.25">
      <c r="A455" s="203">
        <f t="shared" si="10"/>
        <v>454</v>
      </c>
      <c r="B455" s="128" t="s">
        <v>1121</v>
      </c>
      <c r="C455" s="274" t="s">
        <v>1121</v>
      </c>
      <c r="D455" s="262" t="s">
        <v>1122</v>
      </c>
      <c r="E455" s="128"/>
      <c r="F455" s="138" t="s">
        <v>1124</v>
      </c>
      <c r="G455" s="131" t="s">
        <v>1014</v>
      </c>
      <c r="H455" s="128" t="s">
        <v>29</v>
      </c>
      <c r="I455" s="132" t="s">
        <v>1023</v>
      </c>
      <c r="J455" s="133">
        <v>12</v>
      </c>
      <c r="K455" s="129">
        <v>1</v>
      </c>
      <c r="L455" s="129">
        <v>5</v>
      </c>
      <c r="M455" s="129" t="s">
        <v>138</v>
      </c>
      <c r="N455" s="129" t="s">
        <v>139</v>
      </c>
      <c r="O455" s="139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40"/>
    </row>
    <row r="456" spans="1:26" x14ac:dyDescent="0.25">
      <c r="A456" s="203">
        <f t="shared" si="10"/>
        <v>455</v>
      </c>
      <c r="B456" s="128"/>
      <c r="C456" s="264" t="s">
        <v>1125</v>
      </c>
      <c r="D456" s="264" t="s">
        <v>895</v>
      </c>
      <c r="E456" s="133" t="s">
        <v>1126</v>
      </c>
      <c r="F456" s="141" t="s">
        <v>1127</v>
      </c>
      <c r="G456" s="142" t="s">
        <v>1014</v>
      </c>
      <c r="H456" s="133" t="s">
        <v>29</v>
      </c>
      <c r="I456" s="142" t="s">
        <v>1023</v>
      </c>
      <c r="J456" s="133">
        <v>12</v>
      </c>
      <c r="K456" s="133">
        <v>3</v>
      </c>
      <c r="L456" s="133">
        <v>2</v>
      </c>
      <c r="M456" s="133" t="s">
        <v>138</v>
      </c>
      <c r="N456" s="133" t="s">
        <v>139</v>
      </c>
      <c r="O456" s="139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40"/>
    </row>
    <row r="457" spans="1:26" x14ac:dyDescent="0.25">
      <c r="A457" s="203">
        <f t="shared" si="10"/>
        <v>456</v>
      </c>
      <c r="B457" s="128"/>
      <c r="C457" s="264" t="s">
        <v>1125</v>
      </c>
      <c r="D457" s="264" t="s">
        <v>895</v>
      </c>
      <c r="E457" s="133" t="s">
        <v>1126</v>
      </c>
      <c r="F457" s="141" t="s">
        <v>1128</v>
      </c>
      <c r="G457" s="142" t="s">
        <v>1014</v>
      </c>
      <c r="H457" s="133" t="s">
        <v>29</v>
      </c>
      <c r="I457" s="142" t="s">
        <v>1023</v>
      </c>
      <c r="J457" s="133">
        <v>12</v>
      </c>
      <c r="K457" s="133">
        <v>3</v>
      </c>
      <c r="L457" s="133">
        <v>3</v>
      </c>
      <c r="M457" s="133" t="s">
        <v>138</v>
      </c>
      <c r="N457" s="133" t="s">
        <v>139</v>
      </c>
      <c r="O457" s="139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40"/>
    </row>
    <row r="458" spans="1:26" x14ac:dyDescent="0.25">
      <c r="A458" s="203">
        <f t="shared" si="10"/>
        <v>457</v>
      </c>
      <c r="B458" s="128"/>
      <c r="C458" s="264" t="s">
        <v>1129</v>
      </c>
      <c r="D458" s="264" t="s">
        <v>895</v>
      </c>
      <c r="E458" s="133" t="s">
        <v>1126</v>
      </c>
      <c r="F458" s="141" t="s">
        <v>1130</v>
      </c>
      <c r="G458" s="142" t="s">
        <v>1014</v>
      </c>
      <c r="H458" s="133" t="s">
        <v>29</v>
      </c>
      <c r="I458" s="142" t="s">
        <v>1023</v>
      </c>
      <c r="J458" s="133">
        <v>12</v>
      </c>
      <c r="K458" s="133">
        <v>3</v>
      </c>
      <c r="L458" s="133">
        <v>4</v>
      </c>
      <c r="M458" s="133" t="s">
        <v>138</v>
      </c>
      <c r="N458" s="133" t="s">
        <v>139</v>
      </c>
      <c r="O458" s="139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40"/>
    </row>
    <row r="459" spans="1:26" x14ac:dyDescent="0.25">
      <c r="A459" s="203">
        <f t="shared" si="10"/>
        <v>458</v>
      </c>
      <c r="B459" s="128"/>
      <c r="C459" s="264" t="s">
        <v>1129</v>
      </c>
      <c r="D459" s="264" t="s">
        <v>895</v>
      </c>
      <c r="E459" s="133" t="s">
        <v>1126</v>
      </c>
      <c r="F459" s="141" t="s">
        <v>1131</v>
      </c>
      <c r="G459" s="142" t="s">
        <v>1014</v>
      </c>
      <c r="H459" s="133" t="s">
        <v>29</v>
      </c>
      <c r="I459" s="142" t="s">
        <v>1023</v>
      </c>
      <c r="J459" s="133">
        <v>12</v>
      </c>
      <c r="K459" s="133">
        <v>3</v>
      </c>
      <c r="L459" s="133">
        <v>5</v>
      </c>
      <c r="M459" s="133" t="s">
        <v>138</v>
      </c>
      <c r="N459" s="133" t="s">
        <v>139</v>
      </c>
      <c r="O459" s="139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40"/>
    </row>
    <row r="460" spans="1:26" x14ac:dyDescent="0.25">
      <c r="A460" s="203">
        <f t="shared" si="10"/>
        <v>459</v>
      </c>
      <c r="B460" s="128"/>
      <c r="C460" s="274" t="s">
        <v>1132</v>
      </c>
      <c r="D460" s="264"/>
      <c r="E460" s="133"/>
      <c r="F460" s="141" t="s">
        <v>1133</v>
      </c>
      <c r="G460" s="142" t="s">
        <v>1014</v>
      </c>
      <c r="H460" s="133" t="s">
        <v>130</v>
      </c>
      <c r="I460" s="131" t="s">
        <v>131</v>
      </c>
      <c r="J460" s="133">
        <v>18</v>
      </c>
      <c r="K460" s="129">
        <v>14</v>
      </c>
      <c r="L460" s="129">
        <v>0</v>
      </c>
      <c r="M460" s="129" t="s">
        <v>82</v>
      </c>
      <c r="N460" s="129" t="s">
        <v>83</v>
      </c>
      <c r="O460" s="139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40"/>
    </row>
    <row r="461" spans="1:26" x14ac:dyDescent="0.25">
      <c r="A461" s="203">
        <f t="shared" si="10"/>
        <v>460</v>
      </c>
      <c r="B461" s="128" t="s">
        <v>1134</v>
      </c>
      <c r="C461" s="274" t="s">
        <v>1135</v>
      </c>
      <c r="D461" s="262" t="s">
        <v>1136</v>
      </c>
      <c r="E461" s="128" t="s">
        <v>1137</v>
      </c>
      <c r="F461" s="138" t="s">
        <v>1138</v>
      </c>
      <c r="G461" s="131" t="s">
        <v>1014</v>
      </c>
      <c r="H461" s="128" t="s">
        <v>29</v>
      </c>
      <c r="I461" s="132" t="s">
        <v>1023</v>
      </c>
      <c r="J461" s="133">
        <v>12</v>
      </c>
      <c r="K461" s="129">
        <v>1</v>
      </c>
      <c r="L461" s="129">
        <v>0</v>
      </c>
      <c r="M461" s="129" t="s">
        <v>138</v>
      </c>
      <c r="N461" s="129" t="s">
        <v>139</v>
      </c>
      <c r="O461" s="139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40"/>
    </row>
    <row r="462" spans="1:26" x14ac:dyDescent="0.25">
      <c r="A462" s="203">
        <f t="shared" si="10"/>
        <v>461</v>
      </c>
      <c r="B462" s="128" t="s">
        <v>1134</v>
      </c>
      <c r="C462" s="274" t="s">
        <v>1135</v>
      </c>
      <c r="D462" s="262" t="s">
        <v>1136</v>
      </c>
      <c r="E462" s="128" t="s">
        <v>1137</v>
      </c>
      <c r="F462" s="138" t="s">
        <v>1139</v>
      </c>
      <c r="G462" s="131" t="s">
        <v>1014</v>
      </c>
      <c r="H462" s="128" t="s">
        <v>29</v>
      </c>
      <c r="I462" s="132" t="s">
        <v>1023</v>
      </c>
      <c r="J462" s="133">
        <v>12</v>
      </c>
      <c r="K462" s="129">
        <v>1</v>
      </c>
      <c r="L462" s="129">
        <v>1</v>
      </c>
      <c r="M462" s="129" t="s">
        <v>138</v>
      </c>
      <c r="N462" s="129" t="s">
        <v>139</v>
      </c>
      <c r="O462" s="139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40"/>
    </row>
    <row r="463" spans="1:26" x14ac:dyDescent="0.25">
      <c r="A463" s="203">
        <f t="shared" si="10"/>
        <v>462</v>
      </c>
      <c r="B463" s="128" t="s">
        <v>1140</v>
      </c>
      <c r="C463" s="274" t="s">
        <v>1140</v>
      </c>
      <c r="D463" s="262" t="s">
        <v>1141</v>
      </c>
      <c r="E463" s="128" t="s">
        <v>1137</v>
      </c>
      <c r="F463" s="138" t="s">
        <v>1142</v>
      </c>
      <c r="G463" s="131" t="s">
        <v>1014</v>
      </c>
      <c r="H463" s="128" t="s">
        <v>29</v>
      </c>
      <c r="I463" s="132" t="s">
        <v>1023</v>
      </c>
      <c r="J463" s="133">
        <v>12</v>
      </c>
      <c r="K463" s="129">
        <v>6</v>
      </c>
      <c r="L463" s="129">
        <v>2</v>
      </c>
      <c r="M463" s="129" t="s">
        <v>31</v>
      </c>
      <c r="N463" s="129" t="s">
        <v>32</v>
      </c>
      <c r="O463" s="139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40"/>
    </row>
    <row r="464" spans="1:26" x14ac:dyDescent="0.25">
      <c r="A464" s="203">
        <f t="shared" si="10"/>
        <v>463</v>
      </c>
      <c r="B464" s="128" t="s">
        <v>1143</v>
      </c>
      <c r="C464" s="274" t="s">
        <v>1143</v>
      </c>
      <c r="D464" s="262" t="s">
        <v>1144</v>
      </c>
      <c r="E464" s="128" t="s">
        <v>1137</v>
      </c>
      <c r="F464" s="138" t="s">
        <v>1145</v>
      </c>
      <c r="G464" s="131" t="s">
        <v>1014</v>
      </c>
      <c r="H464" s="128" t="s">
        <v>29</v>
      </c>
      <c r="I464" s="132" t="s">
        <v>1023</v>
      </c>
      <c r="J464" s="133">
        <v>12</v>
      </c>
      <c r="K464" s="129">
        <v>6</v>
      </c>
      <c r="L464" s="129">
        <v>3</v>
      </c>
      <c r="M464" s="129" t="s">
        <v>31</v>
      </c>
      <c r="N464" s="129" t="s">
        <v>32</v>
      </c>
      <c r="O464" s="139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40"/>
    </row>
    <row r="465" spans="1:26" x14ac:dyDescent="0.25">
      <c r="A465" s="203">
        <f t="shared" si="10"/>
        <v>464</v>
      </c>
      <c r="B465" s="128" t="s">
        <v>1146</v>
      </c>
      <c r="C465" s="274" t="s">
        <v>1146</v>
      </c>
      <c r="D465" s="262" t="s">
        <v>1147</v>
      </c>
      <c r="E465" s="128" t="s">
        <v>1137</v>
      </c>
      <c r="F465" s="138" t="s">
        <v>1148</v>
      </c>
      <c r="G465" s="131" t="s">
        <v>1014</v>
      </c>
      <c r="H465" s="128" t="s">
        <v>29</v>
      </c>
      <c r="I465" s="132" t="s">
        <v>1023</v>
      </c>
      <c r="J465" s="133">
        <v>12</v>
      </c>
      <c r="K465" s="129">
        <v>6</v>
      </c>
      <c r="L465" s="129">
        <v>4</v>
      </c>
      <c r="M465" s="129" t="s">
        <v>31</v>
      </c>
      <c r="N465" s="129" t="s">
        <v>32</v>
      </c>
      <c r="O465" s="139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40"/>
    </row>
    <row r="466" spans="1:26" x14ac:dyDescent="0.25">
      <c r="A466" s="203">
        <f t="shared" si="10"/>
        <v>465</v>
      </c>
      <c r="B466" s="128" t="s">
        <v>1149</v>
      </c>
      <c r="C466" s="263" t="s">
        <v>1150</v>
      </c>
      <c r="D466" s="262" t="s">
        <v>1136</v>
      </c>
      <c r="E466" s="128" t="s">
        <v>1137</v>
      </c>
      <c r="F466" s="138" t="s">
        <v>1151</v>
      </c>
      <c r="G466" s="131" t="s">
        <v>1014</v>
      </c>
      <c r="H466" s="128" t="s">
        <v>29</v>
      </c>
      <c r="I466" s="132" t="s">
        <v>1023</v>
      </c>
      <c r="J466" s="133">
        <v>12</v>
      </c>
      <c r="K466" s="129">
        <v>8</v>
      </c>
      <c r="L466" s="129">
        <v>0</v>
      </c>
      <c r="M466" s="129" t="s">
        <v>82</v>
      </c>
      <c r="N466" s="129" t="s">
        <v>83</v>
      </c>
      <c r="O466" s="139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40"/>
    </row>
    <row r="467" spans="1:26" x14ac:dyDescent="0.25">
      <c r="A467" s="203">
        <f t="shared" si="10"/>
        <v>466</v>
      </c>
      <c r="B467" s="128"/>
      <c r="C467" s="274" t="s">
        <v>1152</v>
      </c>
      <c r="D467" s="262"/>
      <c r="E467" s="128"/>
      <c r="F467" s="141" t="s">
        <v>1153</v>
      </c>
      <c r="G467" s="142" t="s">
        <v>1014</v>
      </c>
      <c r="H467" s="133" t="s">
        <v>29</v>
      </c>
      <c r="I467" s="132" t="s">
        <v>1023</v>
      </c>
      <c r="J467" s="133">
        <v>12</v>
      </c>
      <c r="K467" s="128">
        <v>8</v>
      </c>
      <c r="L467" s="128">
        <v>3</v>
      </c>
      <c r="M467" s="128" t="s">
        <v>82</v>
      </c>
      <c r="N467" s="128" t="s">
        <v>83</v>
      </c>
      <c r="O467" s="139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40"/>
    </row>
    <row r="468" spans="1:26" x14ac:dyDescent="0.25">
      <c r="A468" s="203">
        <f t="shared" si="10"/>
        <v>467</v>
      </c>
      <c r="B468" s="128"/>
      <c r="C468" s="274" t="s">
        <v>1154</v>
      </c>
      <c r="D468" s="262"/>
      <c r="E468" s="128"/>
      <c r="F468" s="141" t="s">
        <v>1155</v>
      </c>
      <c r="G468" s="142" t="s">
        <v>1014</v>
      </c>
      <c r="H468" s="133" t="s">
        <v>29</v>
      </c>
      <c r="I468" s="132" t="s">
        <v>1023</v>
      </c>
      <c r="J468" s="133">
        <v>12</v>
      </c>
      <c r="K468" s="128">
        <v>8</v>
      </c>
      <c r="L468" s="128">
        <v>1</v>
      </c>
      <c r="M468" s="128" t="s">
        <v>82</v>
      </c>
      <c r="N468" s="128" t="s">
        <v>83</v>
      </c>
      <c r="O468" s="139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40"/>
    </row>
    <row r="469" spans="1:26" x14ac:dyDescent="0.25">
      <c r="A469" s="203">
        <f t="shared" si="10"/>
        <v>468</v>
      </c>
      <c r="B469" s="128"/>
      <c r="C469" s="274" t="s">
        <v>1156</v>
      </c>
      <c r="D469" s="262"/>
      <c r="E469" s="128"/>
      <c r="F469" s="141" t="s">
        <v>1157</v>
      </c>
      <c r="G469" s="142" t="s">
        <v>1014</v>
      </c>
      <c r="H469" s="133" t="s">
        <v>29</v>
      </c>
      <c r="I469" s="132" t="s">
        <v>1023</v>
      </c>
      <c r="J469" s="133">
        <v>12</v>
      </c>
      <c r="K469" s="128">
        <v>8</v>
      </c>
      <c r="L469" s="128">
        <v>2</v>
      </c>
      <c r="M469" s="128" t="s">
        <v>82</v>
      </c>
      <c r="N469" s="128" t="s">
        <v>83</v>
      </c>
      <c r="O469" s="139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40"/>
    </row>
    <row r="470" spans="1:26" x14ac:dyDescent="0.25">
      <c r="A470" s="203">
        <f t="shared" si="10"/>
        <v>469</v>
      </c>
      <c r="B470" s="128" t="s">
        <v>1158</v>
      </c>
      <c r="C470" s="274" t="s">
        <v>1158</v>
      </c>
      <c r="D470" s="262" t="s">
        <v>1159</v>
      </c>
      <c r="E470" s="128" t="s">
        <v>1137</v>
      </c>
      <c r="F470" s="138" t="s">
        <v>1160</v>
      </c>
      <c r="G470" s="131" t="s">
        <v>1014</v>
      </c>
      <c r="H470" s="128" t="s">
        <v>29</v>
      </c>
      <c r="I470" s="132" t="s">
        <v>1023</v>
      </c>
      <c r="J470" s="133">
        <v>12</v>
      </c>
      <c r="K470" s="129">
        <v>5</v>
      </c>
      <c r="L470" s="129">
        <v>5</v>
      </c>
      <c r="M470" s="129" t="s">
        <v>31</v>
      </c>
      <c r="N470" s="129" t="s">
        <v>32</v>
      </c>
      <c r="O470" s="139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40"/>
    </row>
    <row r="471" spans="1:26" x14ac:dyDescent="0.25">
      <c r="A471" s="203">
        <f t="shared" si="10"/>
        <v>470</v>
      </c>
      <c r="B471" s="128" t="s">
        <v>1161</v>
      </c>
      <c r="C471" s="274" t="s">
        <v>1161</v>
      </c>
      <c r="D471" s="262" t="s">
        <v>1162</v>
      </c>
      <c r="E471" s="128" t="s">
        <v>1137</v>
      </c>
      <c r="F471" s="138" t="s">
        <v>1163</v>
      </c>
      <c r="G471" s="131" t="s">
        <v>1014</v>
      </c>
      <c r="H471" s="128" t="s">
        <v>29</v>
      </c>
      <c r="I471" s="132" t="s">
        <v>1023</v>
      </c>
      <c r="J471" s="133">
        <v>12</v>
      </c>
      <c r="K471" s="129">
        <v>5</v>
      </c>
      <c r="L471" s="129">
        <v>4</v>
      </c>
      <c r="M471" s="129" t="s">
        <v>31</v>
      </c>
      <c r="N471" s="129" t="s">
        <v>32</v>
      </c>
      <c r="O471" s="139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40"/>
    </row>
    <row r="472" spans="1:26" x14ac:dyDescent="0.25">
      <c r="A472" s="203">
        <f t="shared" si="10"/>
        <v>471</v>
      </c>
      <c r="B472" s="128" t="s">
        <v>1164</v>
      </c>
      <c r="C472" s="274" t="s">
        <v>1164</v>
      </c>
      <c r="D472" s="262" t="s">
        <v>1165</v>
      </c>
      <c r="E472" s="128" t="s">
        <v>1137</v>
      </c>
      <c r="F472" s="138" t="s">
        <v>1166</v>
      </c>
      <c r="G472" s="131" t="s">
        <v>1014</v>
      </c>
      <c r="H472" s="128" t="s">
        <v>29</v>
      </c>
      <c r="I472" s="132" t="s">
        <v>1023</v>
      </c>
      <c r="J472" s="133">
        <v>12</v>
      </c>
      <c r="K472" s="129">
        <v>5</v>
      </c>
      <c r="L472" s="129">
        <v>3</v>
      </c>
      <c r="M472" s="129" t="s">
        <v>31</v>
      </c>
      <c r="N472" s="129" t="s">
        <v>32</v>
      </c>
      <c r="O472" s="139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40"/>
    </row>
    <row r="473" spans="1:26" x14ac:dyDescent="0.25">
      <c r="A473" s="203">
        <f t="shared" si="10"/>
        <v>472</v>
      </c>
      <c r="B473" s="128" t="s">
        <v>1167</v>
      </c>
      <c r="C473" s="274" t="s">
        <v>1167</v>
      </c>
      <c r="D473" s="262"/>
      <c r="E473" s="128"/>
      <c r="F473" s="138" t="s">
        <v>1168</v>
      </c>
      <c r="G473" s="142" t="s">
        <v>1014</v>
      </c>
      <c r="H473" s="128" t="s">
        <v>678</v>
      </c>
      <c r="I473" s="142" t="s">
        <v>1169</v>
      </c>
      <c r="J473" s="133">
        <v>19</v>
      </c>
      <c r="K473" s="129">
        <v>11</v>
      </c>
      <c r="L473" s="129">
        <v>0</v>
      </c>
      <c r="M473" s="129" t="s">
        <v>658</v>
      </c>
      <c r="N473" s="129" t="s">
        <v>659</v>
      </c>
      <c r="O473" s="134" t="s">
        <v>1170</v>
      </c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40"/>
    </row>
    <row r="474" spans="1:26" s="136" customFormat="1" x14ac:dyDescent="0.25">
      <c r="A474" s="203">
        <f t="shared" si="10"/>
        <v>473</v>
      </c>
      <c r="B474" s="128" t="s">
        <v>1171</v>
      </c>
      <c r="C474" s="263" t="s">
        <v>1171</v>
      </c>
      <c r="D474" s="262"/>
      <c r="E474" s="128"/>
      <c r="F474" s="138" t="s">
        <v>1172</v>
      </c>
      <c r="G474" s="142" t="s">
        <v>1014</v>
      </c>
      <c r="H474" s="128" t="s">
        <v>678</v>
      </c>
      <c r="I474" s="142" t="s">
        <v>1169</v>
      </c>
      <c r="J474" s="133">
        <v>19</v>
      </c>
      <c r="K474" s="129">
        <v>11</v>
      </c>
      <c r="L474" s="129">
        <v>1</v>
      </c>
      <c r="M474" s="129" t="s">
        <v>658</v>
      </c>
      <c r="N474" s="129" t="s">
        <v>659</v>
      </c>
      <c r="O474" s="134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40"/>
    </row>
    <row r="475" spans="1:26" x14ac:dyDescent="0.25">
      <c r="A475" s="203">
        <f t="shared" si="10"/>
        <v>474</v>
      </c>
      <c r="B475" s="128" t="s">
        <v>1173</v>
      </c>
      <c r="C475" s="274" t="s">
        <v>1173</v>
      </c>
      <c r="D475" s="262"/>
      <c r="E475" s="128"/>
      <c r="F475" s="138" t="s">
        <v>1174</v>
      </c>
      <c r="G475" s="142" t="s">
        <v>1014</v>
      </c>
      <c r="H475" s="128" t="s">
        <v>678</v>
      </c>
      <c r="I475" s="142" t="s">
        <v>1169</v>
      </c>
      <c r="J475" s="133">
        <v>19</v>
      </c>
      <c r="K475" s="129">
        <v>7</v>
      </c>
      <c r="L475" s="129">
        <v>0</v>
      </c>
      <c r="M475" s="129" t="s">
        <v>82</v>
      </c>
      <c r="N475" s="129" t="s">
        <v>83</v>
      </c>
      <c r="O475" s="139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40"/>
    </row>
    <row r="476" spans="1:26" x14ac:dyDescent="0.25">
      <c r="A476" s="203">
        <f t="shared" si="10"/>
        <v>475</v>
      </c>
      <c r="B476" s="128" t="s">
        <v>1175</v>
      </c>
      <c r="C476" s="263" t="s">
        <v>1175</v>
      </c>
      <c r="D476" s="262"/>
      <c r="E476" s="128"/>
      <c r="F476" s="138" t="s">
        <v>1176</v>
      </c>
      <c r="G476" s="142" t="s">
        <v>1014</v>
      </c>
      <c r="H476" s="128" t="s">
        <v>678</v>
      </c>
      <c r="I476" s="142" t="s">
        <v>1169</v>
      </c>
      <c r="J476" s="133">
        <v>19</v>
      </c>
      <c r="K476" s="129">
        <v>7</v>
      </c>
      <c r="L476" s="129">
        <v>1</v>
      </c>
      <c r="M476" s="129" t="s">
        <v>82</v>
      </c>
      <c r="N476" s="129" t="s">
        <v>83</v>
      </c>
      <c r="O476" s="139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40"/>
    </row>
    <row r="477" spans="1:26" x14ac:dyDescent="0.25">
      <c r="A477" s="203">
        <f t="shared" si="10"/>
        <v>476</v>
      </c>
      <c r="B477" s="128" t="s">
        <v>1177</v>
      </c>
      <c r="C477" s="274" t="s">
        <v>1177</v>
      </c>
      <c r="D477" s="262"/>
      <c r="E477" s="128"/>
      <c r="F477" s="138" t="s">
        <v>1178</v>
      </c>
      <c r="G477" s="142" t="s">
        <v>1014</v>
      </c>
      <c r="H477" s="128" t="s">
        <v>678</v>
      </c>
      <c r="I477" s="142" t="s">
        <v>1169</v>
      </c>
      <c r="J477" s="133">
        <v>19</v>
      </c>
      <c r="K477" s="129">
        <v>3</v>
      </c>
      <c r="L477" s="129">
        <v>5</v>
      </c>
      <c r="M477" s="129" t="s">
        <v>31</v>
      </c>
      <c r="N477" s="129" t="s">
        <v>32</v>
      </c>
      <c r="O477" s="139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40"/>
    </row>
    <row r="478" spans="1:26" x14ac:dyDescent="0.25">
      <c r="A478" s="203">
        <f t="shared" si="10"/>
        <v>477</v>
      </c>
      <c r="B478" s="128" t="s">
        <v>1179</v>
      </c>
      <c r="C478" s="263" t="s">
        <v>1179</v>
      </c>
      <c r="D478" s="262"/>
      <c r="E478" s="128"/>
      <c r="F478" s="138" t="s">
        <v>1180</v>
      </c>
      <c r="G478" s="142" t="s">
        <v>1014</v>
      </c>
      <c r="H478" s="128" t="s">
        <v>678</v>
      </c>
      <c r="I478" s="142" t="s">
        <v>1169</v>
      </c>
      <c r="J478" s="133">
        <v>19</v>
      </c>
      <c r="K478" s="129">
        <v>3</v>
      </c>
      <c r="L478" s="129">
        <v>7</v>
      </c>
      <c r="M478" s="129" t="s">
        <v>31</v>
      </c>
      <c r="N478" s="129" t="s">
        <v>32</v>
      </c>
      <c r="O478" s="139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40"/>
    </row>
    <row r="479" spans="1:26" x14ac:dyDescent="0.25">
      <c r="A479" s="203">
        <f t="shared" si="10"/>
        <v>478</v>
      </c>
      <c r="B479" s="128" t="s">
        <v>1181</v>
      </c>
      <c r="C479" s="274" t="s">
        <v>1181</v>
      </c>
      <c r="D479" s="262"/>
      <c r="E479" s="128"/>
      <c r="F479" s="138" t="s">
        <v>1182</v>
      </c>
      <c r="G479" s="142" t="s">
        <v>1014</v>
      </c>
      <c r="H479" s="128" t="s">
        <v>678</v>
      </c>
      <c r="I479" s="142" t="s">
        <v>1169</v>
      </c>
      <c r="J479" s="133">
        <v>19</v>
      </c>
      <c r="K479" s="129">
        <v>3</v>
      </c>
      <c r="L479" s="129">
        <v>4</v>
      </c>
      <c r="M479" s="129" t="s">
        <v>31</v>
      </c>
      <c r="N479" s="129" t="s">
        <v>32</v>
      </c>
      <c r="O479" s="139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40"/>
    </row>
    <row r="480" spans="1:26" x14ac:dyDescent="0.25">
      <c r="A480" s="203">
        <f t="shared" si="10"/>
        <v>479</v>
      </c>
      <c r="B480" s="128" t="s">
        <v>1183</v>
      </c>
      <c r="C480" s="263" t="s">
        <v>1183</v>
      </c>
      <c r="D480" s="262"/>
      <c r="E480" s="128"/>
      <c r="F480" s="138" t="s">
        <v>1184</v>
      </c>
      <c r="G480" s="142" t="s">
        <v>1014</v>
      </c>
      <c r="H480" s="128" t="s">
        <v>678</v>
      </c>
      <c r="I480" s="142" t="s">
        <v>1169</v>
      </c>
      <c r="J480" s="133">
        <v>19</v>
      </c>
      <c r="K480" s="129">
        <v>3</v>
      </c>
      <c r="L480" s="129">
        <v>6</v>
      </c>
      <c r="M480" s="129" t="s">
        <v>31</v>
      </c>
      <c r="N480" s="129" t="s">
        <v>32</v>
      </c>
      <c r="O480" s="139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40"/>
    </row>
    <row r="481" spans="1:26" x14ac:dyDescent="0.25">
      <c r="A481" s="203">
        <f t="shared" si="10"/>
        <v>480</v>
      </c>
      <c r="B481" s="128" t="s">
        <v>1185</v>
      </c>
      <c r="C481" s="274" t="s">
        <v>1186</v>
      </c>
      <c r="D481" s="262" t="s">
        <v>1187</v>
      </c>
      <c r="E481" s="128" t="s">
        <v>1188</v>
      </c>
      <c r="F481" s="138" t="s">
        <v>1189</v>
      </c>
      <c r="G481" s="131" t="s">
        <v>1190</v>
      </c>
      <c r="H481" s="128" t="s">
        <v>29</v>
      </c>
      <c r="I481" s="132" t="s">
        <v>127</v>
      </c>
      <c r="J481" s="133">
        <v>13</v>
      </c>
      <c r="K481" s="129">
        <v>1</v>
      </c>
      <c r="L481" s="129">
        <v>0</v>
      </c>
      <c r="M481" s="129" t="s">
        <v>138</v>
      </c>
      <c r="N481" s="129" t="s">
        <v>139</v>
      </c>
      <c r="O481" s="139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40"/>
    </row>
    <row r="482" spans="1:26" x14ac:dyDescent="0.25">
      <c r="A482" s="203">
        <f t="shared" si="10"/>
        <v>481</v>
      </c>
      <c r="B482" s="128" t="s">
        <v>1185</v>
      </c>
      <c r="C482" s="274" t="s">
        <v>1186</v>
      </c>
      <c r="D482" s="262" t="s">
        <v>1187</v>
      </c>
      <c r="E482" s="128" t="s">
        <v>1188</v>
      </c>
      <c r="F482" s="138" t="s">
        <v>1191</v>
      </c>
      <c r="G482" s="131" t="s">
        <v>1190</v>
      </c>
      <c r="H482" s="128" t="s">
        <v>29</v>
      </c>
      <c r="I482" s="132" t="s">
        <v>127</v>
      </c>
      <c r="J482" s="133">
        <v>13</v>
      </c>
      <c r="K482" s="129">
        <v>1</v>
      </c>
      <c r="L482" s="129">
        <v>1</v>
      </c>
      <c r="M482" s="129" t="s">
        <v>138</v>
      </c>
      <c r="N482" s="129" t="s">
        <v>139</v>
      </c>
      <c r="O482" s="139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40"/>
    </row>
    <row r="483" spans="1:26" x14ac:dyDescent="0.25">
      <c r="A483" s="203">
        <f t="shared" si="10"/>
        <v>482</v>
      </c>
      <c r="B483" s="128"/>
      <c r="C483" s="274" t="s">
        <v>1192</v>
      </c>
      <c r="D483" s="262"/>
      <c r="E483" s="128"/>
      <c r="F483" s="141" t="s">
        <v>1193</v>
      </c>
      <c r="G483" s="142" t="s">
        <v>1190</v>
      </c>
      <c r="H483" s="133" t="s">
        <v>29</v>
      </c>
      <c r="I483" s="132" t="s">
        <v>127</v>
      </c>
      <c r="J483" s="133">
        <v>13</v>
      </c>
      <c r="K483" s="128">
        <v>1</v>
      </c>
      <c r="L483" s="128">
        <v>2</v>
      </c>
      <c r="M483" s="128" t="s">
        <v>138</v>
      </c>
      <c r="N483" s="128" t="s">
        <v>139</v>
      </c>
      <c r="O483" s="139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40"/>
    </row>
    <row r="484" spans="1:26" x14ac:dyDescent="0.25">
      <c r="A484" s="203">
        <f t="shared" si="10"/>
        <v>483</v>
      </c>
      <c r="B484" s="128"/>
      <c r="C484" s="274" t="s">
        <v>1192</v>
      </c>
      <c r="D484" s="262"/>
      <c r="E484" s="128"/>
      <c r="F484" s="141" t="s">
        <v>1194</v>
      </c>
      <c r="G484" s="142" t="s">
        <v>1190</v>
      </c>
      <c r="H484" s="133" t="s">
        <v>29</v>
      </c>
      <c r="I484" s="132" t="s">
        <v>127</v>
      </c>
      <c r="J484" s="133">
        <v>13</v>
      </c>
      <c r="K484" s="128">
        <v>1</v>
      </c>
      <c r="L484" s="128">
        <v>3</v>
      </c>
      <c r="M484" s="128" t="s">
        <v>138</v>
      </c>
      <c r="N484" s="128" t="s">
        <v>139</v>
      </c>
      <c r="O484" s="139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40"/>
    </row>
    <row r="485" spans="1:26" x14ac:dyDescent="0.25">
      <c r="A485" s="203">
        <f t="shared" si="10"/>
        <v>484</v>
      </c>
      <c r="B485" s="128" t="s">
        <v>1195</v>
      </c>
      <c r="C485" s="274" t="s">
        <v>1195</v>
      </c>
      <c r="D485" s="262" t="s">
        <v>1196</v>
      </c>
      <c r="E485" s="128"/>
      <c r="F485" s="138" t="s">
        <v>1197</v>
      </c>
      <c r="G485" s="131" t="s">
        <v>1190</v>
      </c>
      <c r="H485" s="128" t="s">
        <v>29</v>
      </c>
      <c r="I485" s="132" t="s">
        <v>127</v>
      </c>
      <c r="J485" s="133">
        <v>13</v>
      </c>
      <c r="K485" s="129">
        <v>1</v>
      </c>
      <c r="L485" s="129">
        <v>4</v>
      </c>
      <c r="M485" s="129" t="s">
        <v>138</v>
      </c>
      <c r="N485" s="129" t="s">
        <v>139</v>
      </c>
      <c r="O485" s="139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40"/>
    </row>
    <row r="486" spans="1:26" x14ac:dyDescent="0.25">
      <c r="A486" s="203">
        <f t="shared" si="10"/>
        <v>485</v>
      </c>
      <c r="B486" s="128" t="s">
        <v>1195</v>
      </c>
      <c r="C486" s="274" t="s">
        <v>1195</v>
      </c>
      <c r="D486" s="262" t="s">
        <v>1196</v>
      </c>
      <c r="E486" s="128"/>
      <c r="F486" s="138" t="s">
        <v>1198</v>
      </c>
      <c r="G486" s="131" t="s">
        <v>1190</v>
      </c>
      <c r="H486" s="128" t="s">
        <v>29</v>
      </c>
      <c r="I486" s="132" t="s">
        <v>127</v>
      </c>
      <c r="J486" s="133">
        <v>13</v>
      </c>
      <c r="K486" s="129">
        <v>1</v>
      </c>
      <c r="L486" s="129">
        <v>5</v>
      </c>
      <c r="M486" s="129" t="s">
        <v>138</v>
      </c>
      <c r="N486" s="129" t="s">
        <v>139</v>
      </c>
      <c r="O486" s="139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40"/>
    </row>
    <row r="487" spans="1:26" x14ac:dyDescent="0.25">
      <c r="A487" s="203">
        <f t="shared" si="10"/>
        <v>486</v>
      </c>
      <c r="B487" s="128" t="s">
        <v>1199</v>
      </c>
      <c r="C487" s="274" t="s">
        <v>1199</v>
      </c>
      <c r="D487" s="262" t="s">
        <v>1200</v>
      </c>
      <c r="E487" s="128"/>
      <c r="F487" s="138" t="s">
        <v>1201</v>
      </c>
      <c r="G487" s="131" t="s">
        <v>1190</v>
      </c>
      <c r="H487" s="128" t="s">
        <v>29</v>
      </c>
      <c r="I487" s="132" t="s">
        <v>127</v>
      </c>
      <c r="J487" s="133">
        <v>13</v>
      </c>
      <c r="K487" s="129">
        <v>2</v>
      </c>
      <c r="L487" s="129">
        <v>0</v>
      </c>
      <c r="M487" s="129" t="s">
        <v>138</v>
      </c>
      <c r="N487" s="129" t="s">
        <v>139</v>
      </c>
      <c r="O487" s="139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40"/>
    </row>
    <row r="488" spans="1:26" x14ac:dyDescent="0.25">
      <c r="A488" s="203">
        <f t="shared" si="10"/>
        <v>487</v>
      </c>
      <c r="B488" s="128" t="s">
        <v>1199</v>
      </c>
      <c r="C488" s="274" t="s">
        <v>1199</v>
      </c>
      <c r="D488" s="262" t="s">
        <v>1200</v>
      </c>
      <c r="E488" s="128"/>
      <c r="F488" s="138" t="s">
        <v>1202</v>
      </c>
      <c r="G488" s="131" t="s">
        <v>1190</v>
      </c>
      <c r="H488" s="128" t="s">
        <v>29</v>
      </c>
      <c r="I488" s="132" t="s">
        <v>127</v>
      </c>
      <c r="J488" s="133">
        <v>13</v>
      </c>
      <c r="K488" s="129">
        <v>2</v>
      </c>
      <c r="L488" s="129">
        <v>1</v>
      </c>
      <c r="M488" s="129" t="s">
        <v>138</v>
      </c>
      <c r="N488" s="129" t="s">
        <v>139</v>
      </c>
      <c r="O488" s="139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40"/>
    </row>
    <row r="489" spans="1:26" x14ac:dyDescent="0.25">
      <c r="A489" s="203">
        <f t="shared" ref="A489:A552" si="11">ROW()-1</f>
        <v>488</v>
      </c>
      <c r="B489" s="128" t="s">
        <v>1203</v>
      </c>
      <c r="C489" s="274" t="s">
        <v>1203</v>
      </c>
      <c r="D489" s="262"/>
      <c r="E489" s="128"/>
      <c r="F489" s="138" t="s">
        <v>1204</v>
      </c>
      <c r="G489" s="131" t="s">
        <v>1190</v>
      </c>
      <c r="H489" s="128" t="s">
        <v>29</v>
      </c>
      <c r="I489" s="132" t="s">
        <v>127</v>
      </c>
      <c r="J489" s="133">
        <v>13</v>
      </c>
      <c r="K489" s="129">
        <v>2</v>
      </c>
      <c r="L489" s="129">
        <v>2</v>
      </c>
      <c r="M489" s="129" t="s">
        <v>138</v>
      </c>
      <c r="N489" s="129" t="s">
        <v>139</v>
      </c>
      <c r="O489" s="139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40"/>
    </row>
    <row r="490" spans="1:26" x14ac:dyDescent="0.25">
      <c r="A490" s="203">
        <f t="shared" si="11"/>
        <v>489</v>
      </c>
      <c r="B490" s="128" t="s">
        <v>1203</v>
      </c>
      <c r="C490" s="274" t="s">
        <v>1203</v>
      </c>
      <c r="D490" s="262"/>
      <c r="E490" s="128"/>
      <c r="F490" s="138" t="s">
        <v>1205</v>
      </c>
      <c r="G490" s="131" t="s">
        <v>1190</v>
      </c>
      <c r="H490" s="128" t="s">
        <v>29</v>
      </c>
      <c r="I490" s="132" t="s">
        <v>127</v>
      </c>
      <c r="J490" s="133">
        <v>13</v>
      </c>
      <c r="K490" s="129">
        <v>2</v>
      </c>
      <c r="L490" s="129">
        <v>3</v>
      </c>
      <c r="M490" s="129" t="s">
        <v>138</v>
      </c>
      <c r="N490" s="129" t="s">
        <v>139</v>
      </c>
      <c r="O490" s="139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40"/>
    </row>
    <row r="491" spans="1:26" x14ac:dyDescent="0.25">
      <c r="A491" s="203">
        <f t="shared" si="11"/>
        <v>490</v>
      </c>
      <c r="B491" s="128" t="s">
        <v>1206</v>
      </c>
      <c r="C491" s="274" t="s">
        <v>1206</v>
      </c>
      <c r="D491" s="262" t="s">
        <v>1207</v>
      </c>
      <c r="E491" s="128"/>
      <c r="F491" s="138" t="s">
        <v>1208</v>
      </c>
      <c r="G491" s="131" t="s">
        <v>1190</v>
      </c>
      <c r="H491" s="128" t="s">
        <v>29</v>
      </c>
      <c r="I491" s="132" t="s">
        <v>127</v>
      </c>
      <c r="J491" s="133">
        <v>13</v>
      </c>
      <c r="K491" s="129">
        <v>2</v>
      </c>
      <c r="L491" s="129">
        <v>4</v>
      </c>
      <c r="M491" s="129" t="s">
        <v>138</v>
      </c>
      <c r="N491" s="129" t="s">
        <v>139</v>
      </c>
      <c r="O491" s="139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40"/>
    </row>
    <row r="492" spans="1:26" x14ac:dyDescent="0.25">
      <c r="A492" s="203">
        <f t="shared" si="11"/>
        <v>491</v>
      </c>
      <c r="B492" s="128" t="s">
        <v>1206</v>
      </c>
      <c r="C492" s="274" t="s">
        <v>1206</v>
      </c>
      <c r="D492" s="262" t="s">
        <v>1207</v>
      </c>
      <c r="E492" s="128"/>
      <c r="F492" s="138" t="s">
        <v>1209</v>
      </c>
      <c r="G492" s="131" t="s">
        <v>1190</v>
      </c>
      <c r="H492" s="128" t="s">
        <v>29</v>
      </c>
      <c r="I492" s="132" t="s">
        <v>127</v>
      </c>
      <c r="J492" s="133">
        <v>13</v>
      </c>
      <c r="K492" s="129">
        <v>2</v>
      </c>
      <c r="L492" s="129">
        <v>5</v>
      </c>
      <c r="M492" s="129" t="s">
        <v>138</v>
      </c>
      <c r="N492" s="129" t="s">
        <v>139</v>
      </c>
      <c r="O492" s="139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40"/>
    </row>
    <row r="493" spans="1:26" x14ac:dyDescent="0.25">
      <c r="A493" s="203">
        <f t="shared" si="11"/>
        <v>492</v>
      </c>
      <c r="B493" s="128" t="s">
        <v>1210</v>
      </c>
      <c r="C493" s="263" t="s">
        <v>1211</v>
      </c>
      <c r="D493" s="262" t="s">
        <v>1212</v>
      </c>
      <c r="E493" s="128" t="s">
        <v>1213</v>
      </c>
      <c r="F493" s="138" t="s">
        <v>1214</v>
      </c>
      <c r="G493" s="131" t="s">
        <v>1190</v>
      </c>
      <c r="H493" s="128" t="s">
        <v>29</v>
      </c>
      <c r="I493" s="132" t="s">
        <v>127</v>
      </c>
      <c r="J493" s="133">
        <v>13</v>
      </c>
      <c r="K493" s="129">
        <v>2</v>
      </c>
      <c r="L493" s="129">
        <v>6</v>
      </c>
      <c r="M493" s="129" t="s">
        <v>138</v>
      </c>
      <c r="N493" s="129" t="s">
        <v>139</v>
      </c>
      <c r="O493" s="139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40"/>
    </row>
    <row r="494" spans="1:26" x14ac:dyDescent="0.25">
      <c r="A494" s="203">
        <f t="shared" si="11"/>
        <v>493</v>
      </c>
      <c r="B494" s="128" t="s">
        <v>1210</v>
      </c>
      <c r="C494" s="274" t="s">
        <v>1215</v>
      </c>
      <c r="D494" s="262" t="s">
        <v>1212</v>
      </c>
      <c r="E494" s="128" t="s">
        <v>1213</v>
      </c>
      <c r="F494" s="138" t="s">
        <v>1216</v>
      </c>
      <c r="G494" s="131" t="s">
        <v>1190</v>
      </c>
      <c r="H494" s="128" t="s">
        <v>29</v>
      </c>
      <c r="I494" s="132" t="s">
        <v>127</v>
      </c>
      <c r="J494" s="133">
        <v>13</v>
      </c>
      <c r="K494" s="129">
        <v>2</v>
      </c>
      <c r="L494" s="129">
        <v>7</v>
      </c>
      <c r="M494" s="129" t="s">
        <v>138</v>
      </c>
      <c r="N494" s="129" t="s">
        <v>139</v>
      </c>
      <c r="O494" s="139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40"/>
    </row>
    <row r="495" spans="1:26" x14ac:dyDescent="0.25">
      <c r="A495" s="203">
        <f t="shared" si="11"/>
        <v>494</v>
      </c>
      <c r="B495" s="128" t="s">
        <v>1185</v>
      </c>
      <c r="C495" s="263" t="s">
        <v>1217</v>
      </c>
      <c r="D495" s="264" t="s">
        <v>876</v>
      </c>
      <c r="E495" s="133" t="s">
        <v>877</v>
      </c>
      <c r="F495" s="141" t="s">
        <v>1218</v>
      </c>
      <c r="G495" s="142" t="s">
        <v>1190</v>
      </c>
      <c r="H495" s="133" t="s">
        <v>29</v>
      </c>
      <c r="I495" s="142" t="s">
        <v>127</v>
      </c>
      <c r="J495" s="133">
        <v>13</v>
      </c>
      <c r="K495" s="133">
        <v>3</v>
      </c>
      <c r="L495" s="133">
        <v>0</v>
      </c>
      <c r="M495" s="133" t="s">
        <v>138</v>
      </c>
      <c r="N495" s="129" t="s">
        <v>139</v>
      </c>
      <c r="O495" s="139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40"/>
    </row>
    <row r="496" spans="1:26" x14ac:dyDescent="0.25">
      <c r="A496" s="203">
        <f t="shared" si="11"/>
        <v>495</v>
      </c>
      <c r="B496" s="128" t="s">
        <v>1185</v>
      </c>
      <c r="C496" s="263" t="s">
        <v>1219</v>
      </c>
      <c r="D496" s="264" t="s">
        <v>880</v>
      </c>
      <c r="E496" s="133" t="s">
        <v>877</v>
      </c>
      <c r="F496" s="141" t="s">
        <v>1220</v>
      </c>
      <c r="G496" s="142" t="s">
        <v>1190</v>
      </c>
      <c r="H496" s="133" t="s">
        <v>29</v>
      </c>
      <c r="I496" s="142" t="s">
        <v>127</v>
      </c>
      <c r="J496" s="133">
        <v>13</v>
      </c>
      <c r="K496" s="133">
        <v>3</v>
      </c>
      <c r="L496" s="133">
        <v>1</v>
      </c>
      <c r="M496" s="133" t="s">
        <v>138</v>
      </c>
      <c r="N496" s="129" t="s">
        <v>139</v>
      </c>
      <c r="O496" s="139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40"/>
    </row>
    <row r="497" spans="1:26" s="149" customFormat="1" x14ac:dyDescent="0.25">
      <c r="A497" s="203">
        <f t="shared" si="11"/>
        <v>496</v>
      </c>
      <c r="B497" s="128"/>
      <c r="C497" s="263" t="s">
        <v>1221</v>
      </c>
      <c r="D497" s="264" t="s">
        <v>895</v>
      </c>
      <c r="E497" s="133" t="s">
        <v>896</v>
      </c>
      <c r="F497" s="141" t="s">
        <v>1222</v>
      </c>
      <c r="G497" s="142" t="s">
        <v>1190</v>
      </c>
      <c r="H497" s="133" t="s">
        <v>29</v>
      </c>
      <c r="I497" s="142" t="s">
        <v>127</v>
      </c>
      <c r="J497" s="133">
        <v>13</v>
      </c>
      <c r="K497" s="133">
        <v>3</v>
      </c>
      <c r="L497" s="133">
        <v>2</v>
      </c>
      <c r="M497" s="133" t="s">
        <v>138</v>
      </c>
      <c r="N497" s="128" t="s">
        <v>139</v>
      </c>
      <c r="O497" s="139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40"/>
    </row>
    <row r="498" spans="1:26" s="149" customFormat="1" x14ac:dyDescent="0.25">
      <c r="A498" s="203">
        <f t="shared" si="11"/>
        <v>497</v>
      </c>
      <c r="B498" s="128"/>
      <c r="C498" s="263" t="s">
        <v>1221</v>
      </c>
      <c r="D498" s="264" t="s">
        <v>895</v>
      </c>
      <c r="E498" s="133" t="s">
        <v>896</v>
      </c>
      <c r="F498" s="141" t="s">
        <v>1223</v>
      </c>
      <c r="G498" s="142" t="s">
        <v>1190</v>
      </c>
      <c r="H498" s="133" t="s">
        <v>29</v>
      </c>
      <c r="I498" s="142" t="s">
        <v>127</v>
      </c>
      <c r="J498" s="133">
        <v>13</v>
      </c>
      <c r="K498" s="133">
        <v>3</v>
      </c>
      <c r="L498" s="133">
        <v>3</v>
      </c>
      <c r="M498" s="133" t="s">
        <v>138</v>
      </c>
      <c r="N498" s="128" t="s">
        <v>139</v>
      </c>
      <c r="O498" s="139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40"/>
    </row>
    <row r="499" spans="1:26" x14ac:dyDescent="0.25">
      <c r="A499" s="203">
        <f t="shared" si="11"/>
        <v>498</v>
      </c>
      <c r="B499" s="128" t="s">
        <v>1195</v>
      </c>
      <c r="C499" s="263" t="s">
        <v>1224</v>
      </c>
      <c r="D499" s="264" t="s">
        <v>895</v>
      </c>
      <c r="E499" s="133" t="s">
        <v>896</v>
      </c>
      <c r="F499" s="141" t="s">
        <v>1225</v>
      </c>
      <c r="G499" s="142" t="s">
        <v>1190</v>
      </c>
      <c r="H499" s="133" t="s">
        <v>29</v>
      </c>
      <c r="I499" s="142" t="s">
        <v>127</v>
      </c>
      <c r="J499" s="133">
        <v>13</v>
      </c>
      <c r="K499" s="133">
        <v>3</v>
      </c>
      <c r="L499" s="133">
        <v>4</v>
      </c>
      <c r="M499" s="133" t="s">
        <v>138</v>
      </c>
      <c r="N499" s="129" t="s">
        <v>139</v>
      </c>
      <c r="O499" s="139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40"/>
    </row>
    <row r="500" spans="1:26" x14ac:dyDescent="0.25">
      <c r="A500" s="203">
        <f t="shared" si="11"/>
        <v>499</v>
      </c>
      <c r="B500" s="128" t="s">
        <v>1195</v>
      </c>
      <c r="C500" s="263" t="s">
        <v>1224</v>
      </c>
      <c r="D500" s="264" t="s">
        <v>895</v>
      </c>
      <c r="E500" s="133" t="s">
        <v>896</v>
      </c>
      <c r="F500" s="141" t="s">
        <v>1226</v>
      </c>
      <c r="G500" s="142" t="s">
        <v>1190</v>
      </c>
      <c r="H500" s="133" t="s">
        <v>29</v>
      </c>
      <c r="I500" s="142" t="s">
        <v>127</v>
      </c>
      <c r="J500" s="133">
        <v>13</v>
      </c>
      <c r="K500" s="133">
        <v>3</v>
      </c>
      <c r="L500" s="133">
        <v>5</v>
      </c>
      <c r="M500" s="133" t="s">
        <v>138</v>
      </c>
      <c r="N500" s="129" t="s">
        <v>139</v>
      </c>
      <c r="O500" s="139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40"/>
    </row>
    <row r="501" spans="1:26" x14ac:dyDescent="0.25">
      <c r="A501" s="203">
        <f t="shared" si="11"/>
        <v>500</v>
      </c>
      <c r="B501" s="128" t="s">
        <v>1227</v>
      </c>
      <c r="C501" s="274" t="s">
        <v>1227</v>
      </c>
      <c r="D501" s="262" t="s">
        <v>1212</v>
      </c>
      <c r="E501" s="128" t="s">
        <v>1213</v>
      </c>
      <c r="F501" s="138" t="s">
        <v>1228</v>
      </c>
      <c r="G501" s="131" t="s">
        <v>1190</v>
      </c>
      <c r="H501" s="128" t="s">
        <v>29</v>
      </c>
      <c r="I501" s="132" t="s">
        <v>127</v>
      </c>
      <c r="J501" s="133">
        <v>13</v>
      </c>
      <c r="K501" s="129">
        <v>4</v>
      </c>
      <c r="L501" s="129">
        <v>0</v>
      </c>
      <c r="M501" s="129" t="s">
        <v>944</v>
      </c>
      <c r="N501" s="129" t="s">
        <v>945</v>
      </c>
      <c r="O501" s="139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40"/>
    </row>
    <row r="502" spans="1:26" x14ac:dyDescent="0.25">
      <c r="A502" s="203">
        <f t="shared" si="11"/>
        <v>501</v>
      </c>
      <c r="B502" s="128" t="s">
        <v>1229</v>
      </c>
      <c r="C502" s="274" t="s">
        <v>1229</v>
      </c>
      <c r="D502" s="262" t="s">
        <v>1212</v>
      </c>
      <c r="E502" s="128" t="s">
        <v>1213</v>
      </c>
      <c r="F502" s="138" t="s">
        <v>1230</v>
      </c>
      <c r="G502" s="131" t="s">
        <v>1190</v>
      </c>
      <c r="H502" s="128" t="s">
        <v>29</v>
      </c>
      <c r="I502" s="132" t="s">
        <v>127</v>
      </c>
      <c r="J502" s="133">
        <v>13</v>
      </c>
      <c r="K502" s="129">
        <v>4</v>
      </c>
      <c r="L502" s="129">
        <v>1</v>
      </c>
      <c r="M502" s="129" t="s">
        <v>944</v>
      </c>
      <c r="N502" s="129" t="s">
        <v>945</v>
      </c>
      <c r="O502" s="139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40"/>
    </row>
    <row r="503" spans="1:26" x14ac:dyDescent="0.25">
      <c r="A503" s="203">
        <f t="shared" si="11"/>
        <v>502</v>
      </c>
      <c r="B503" s="128" t="s">
        <v>1231</v>
      </c>
      <c r="C503" s="274" t="s">
        <v>1231</v>
      </c>
      <c r="D503" s="262" t="s">
        <v>1232</v>
      </c>
      <c r="E503" s="128"/>
      <c r="F503" s="138" t="s">
        <v>1233</v>
      </c>
      <c r="G503" s="131" t="s">
        <v>1190</v>
      </c>
      <c r="H503" s="128" t="s">
        <v>29</v>
      </c>
      <c r="I503" s="132" t="s">
        <v>127</v>
      </c>
      <c r="J503" s="133">
        <v>13</v>
      </c>
      <c r="K503" s="129">
        <v>5</v>
      </c>
      <c r="L503" s="129">
        <v>0</v>
      </c>
      <c r="M503" s="129" t="s">
        <v>31</v>
      </c>
      <c r="N503" s="129" t="s">
        <v>32</v>
      </c>
      <c r="O503" s="139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40"/>
    </row>
    <row r="504" spans="1:26" x14ac:dyDescent="0.25">
      <c r="A504" s="203">
        <f t="shared" si="11"/>
        <v>503</v>
      </c>
      <c r="B504" s="128" t="s">
        <v>1234</v>
      </c>
      <c r="C504" s="274" t="s">
        <v>1234</v>
      </c>
      <c r="D504" s="262" t="s">
        <v>1235</v>
      </c>
      <c r="E504" s="128"/>
      <c r="F504" s="138" t="s">
        <v>1236</v>
      </c>
      <c r="G504" s="131" t="s">
        <v>1190</v>
      </c>
      <c r="H504" s="128" t="s">
        <v>29</v>
      </c>
      <c r="I504" s="132" t="s">
        <v>127</v>
      </c>
      <c r="J504" s="133">
        <v>13</v>
      </c>
      <c r="K504" s="129">
        <v>5</v>
      </c>
      <c r="L504" s="129">
        <v>1</v>
      </c>
      <c r="M504" s="129" t="s">
        <v>31</v>
      </c>
      <c r="N504" s="129" t="s">
        <v>32</v>
      </c>
      <c r="O504" s="139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40"/>
    </row>
    <row r="505" spans="1:26" x14ac:dyDescent="0.25">
      <c r="A505" s="203">
        <f t="shared" si="11"/>
        <v>504</v>
      </c>
      <c r="B505" s="128" t="s">
        <v>1237</v>
      </c>
      <c r="C505" s="274" t="s">
        <v>1237</v>
      </c>
      <c r="D505" s="262" t="s">
        <v>1238</v>
      </c>
      <c r="E505" s="128" t="s">
        <v>1239</v>
      </c>
      <c r="F505" s="138" t="s">
        <v>1240</v>
      </c>
      <c r="G505" s="131" t="s">
        <v>1190</v>
      </c>
      <c r="H505" s="128" t="s">
        <v>29</v>
      </c>
      <c r="I505" s="132" t="s">
        <v>127</v>
      </c>
      <c r="J505" s="133">
        <v>13</v>
      </c>
      <c r="K505" s="129">
        <v>5</v>
      </c>
      <c r="L505" s="129">
        <v>2</v>
      </c>
      <c r="M505" s="129" t="s">
        <v>31</v>
      </c>
      <c r="N505" s="129" t="s">
        <v>32</v>
      </c>
      <c r="O505" s="139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40"/>
    </row>
    <row r="506" spans="1:26" x14ac:dyDescent="0.25">
      <c r="A506" s="203">
        <f t="shared" si="11"/>
        <v>505</v>
      </c>
      <c r="B506" s="128" t="s">
        <v>1241</v>
      </c>
      <c r="C506" s="274" t="s">
        <v>1241</v>
      </c>
      <c r="D506" s="262" t="s">
        <v>1242</v>
      </c>
      <c r="E506" s="128" t="s">
        <v>1243</v>
      </c>
      <c r="F506" s="138" t="s">
        <v>1244</v>
      </c>
      <c r="G506" s="131" t="s">
        <v>1190</v>
      </c>
      <c r="H506" s="128" t="s">
        <v>29</v>
      </c>
      <c r="I506" s="132" t="s">
        <v>127</v>
      </c>
      <c r="J506" s="133">
        <v>13</v>
      </c>
      <c r="K506" s="129">
        <v>5</v>
      </c>
      <c r="L506" s="129">
        <v>3</v>
      </c>
      <c r="M506" s="129" t="s">
        <v>31</v>
      </c>
      <c r="N506" s="129" t="s">
        <v>32</v>
      </c>
      <c r="O506" s="139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40"/>
    </row>
    <row r="507" spans="1:26" s="149" customFormat="1" x14ac:dyDescent="0.25">
      <c r="A507" s="203">
        <f t="shared" si="11"/>
        <v>506</v>
      </c>
      <c r="B507" s="128" t="s">
        <v>1245</v>
      </c>
      <c r="C507" s="274" t="s">
        <v>1245</v>
      </c>
      <c r="D507" s="262" t="s">
        <v>1246</v>
      </c>
      <c r="E507" s="128" t="s">
        <v>1243</v>
      </c>
      <c r="F507" s="138" t="s">
        <v>1247</v>
      </c>
      <c r="G507" s="131" t="s">
        <v>1190</v>
      </c>
      <c r="H507" s="128" t="s">
        <v>29</v>
      </c>
      <c r="I507" s="132" t="s">
        <v>127</v>
      </c>
      <c r="J507" s="133">
        <v>13</v>
      </c>
      <c r="K507" s="129">
        <v>5</v>
      </c>
      <c r="L507" s="129">
        <v>4</v>
      </c>
      <c r="M507" s="129" t="s">
        <v>31</v>
      </c>
      <c r="N507" s="129" t="s">
        <v>32</v>
      </c>
      <c r="O507" s="139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40"/>
    </row>
    <row r="508" spans="1:26" s="149" customFormat="1" x14ac:dyDescent="0.25">
      <c r="A508" s="203">
        <f t="shared" si="11"/>
        <v>507</v>
      </c>
      <c r="B508" s="128" t="s">
        <v>1248</v>
      </c>
      <c r="C508" s="274" t="s">
        <v>1248</v>
      </c>
      <c r="D508" s="262" t="s">
        <v>1249</v>
      </c>
      <c r="E508" s="128" t="s">
        <v>1243</v>
      </c>
      <c r="F508" s="138" t="s">
        <v>1250</v>
      </c>
      <c r="G508" s="131" t="s">
        <v>1190</v>
      </c>
      <c r="H508" s="128" t="s">
        <v>29</v>
      </c>
      <c r="I508" s="132" t="s">
        <v>127</v>
      </c>
      <c r="J508" s="133">
        <v>13</v>
      </c>
      <c r="K508" s="129">
        <v>5</v>
      </c>
      <c r="L508" s="129">
        <v>5</v>
      </c>
      <c r="M508" s="129" t="s">
        <v>31</v>
      </c>
      <c r="N508" s="129" t="s">
        <v>32</v>
      </c>
      <c r="O508" s="139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40"/>
    </row>
    <row r="509" spans="1:26" s="149" customFormat="1" x14ac:dyDescent="0.25">
      <c r="A509" s="203">
        <f t="shared" si="11"/>
        <v>508</v>
      </c>
      <c r="B509" s="128" t="s">
        <v>1251</v>
      </c>
      <c r="C509" s="263" t="s">
        <v>1251</v>
      </c>
      <c r="D509" s="262" t="s">
        <v>1252</v>
      </c>
      <c r="E509" s="128" t="s">
        <v>1243</v>
      </c>
      <c r="F509" s="138" t="s">
        <v>1253</v>
      </c>
      <c r="G509" s="131" t="s">
        <v>1190</v>
      </c>
      <c r="H509" s="128" t="s">
        <v>29</v>
      </c>
      <c r="I509" s="132" t="s">
        <v>127</v>
      </c>
      <c r="J509" s="133">
        <v>13</v>
      </c>
      <c r="K509" s="129">
        <v>5</v>
      </c>
      <c r="L509" s="129">
        <v>6</v>
      </c>
      <c r="M509" s="129" t="s">
        <v>31</v>
      </c>
      <c r="N509" s="129" t="s">
        <v>32</v>
      </c>
      <c r="O509" s="139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40"/>
    </row>
    <row r="510" spans="1:26" s="149" customFormat="1" x14ac:dyDescent="0.25">
      <c r="A510" s="203">
        <f t="shared" si="11"/>
        <v>509</v>
      </c>
      <c r="B510" s="128"/>
      <c r="C510" s="263" t="s">
        <v>1254</v>
      </c>
      <c r="D510" s="264" t="s">
        <v>876</v>
      </c>
      <c r="E510" s="133" t="s">
        <v>877</v>
      </c>
      <c r="F510" s="141" t="s">
        <v>1255</v>
      </c>
      <c r="G510" s="142" t="s">
        <v>1190</v>
      </c>
      <c r="H510" s="133" t="s">
        <v>29</v>
      </c>
      <c r="I510" s="132" t="s">
        <v>127</v>
      </c>
      <c r="J510" s="133">
        <v>13</v>
      </c>
      <c r="K510" s="129">
        <v>5</v>
      </c>
      <c r="L510" s="129">
        <v>7</v>
      </c>
      <c r="M510" s="129" t="s">
        <v>31</v>
      </c>
      <c r="N510" s="129" t="s">
        <v>32</v>
      </c>
      <c r="O510" s="139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40"/>
    </row>
    <row r="511" spans="1:26" s="149" customFormat="1" x14ac:dyDescent="0.25">
      <c r="A511" s="203">
        <f t="shared" si="11"/>
        <v>510</v>
      </c>
      <c r="B511" s="128"/>
      <c r="C511" s="263" t="s">
        <v>1256</v>
      </c>
      <c r="D511" s="264" t="s">
        <v>880</v>
      </c>
      <c r="E511" s="133" t="s">
        <v>877</v>
      </c>
      <c r="F511" s="141" t="s">
        <v>1257</v>
      </c>
      <c r="G511" s="142" t="s">
        <v>1190</v>
      </c>
      <c r="H511" s="133" t="s">
        <v>29</v>
      </c>
      <c r="I511" s="132" t="s">
        <v>127</v>
      </c>
      <c r="J511" s="133">
        <v>13</v>
      </c>
      <c r="K511" s="129">
        <v>5</v>
      </c>
      <c r="L511" s="129">
        <v>8</v>
      </c>
      <c r="M511" s="129" t="s">
        <v>31</v>
      </c>
      <c r="N511" s="129" t="s">
        <v>32</v>
      </c>
      <c r="O511" s="139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40"/>
    </row>
    <row r="512" spans="1:26" s="149" customFormat="1" x14ac:dyDescent="0.25">
      <c r="A512" s="203">
        <f t="shared" si="11"/>
        <v>511</v>
      </c>
      <c r="B512" s="128" t="s">
        <v>1258</v>
      </c>
      <c r="C512" s="274" t="s">
        <v>1258</v>
      </c>
      <c r="D512" s="262" t="s">
        <v>1088</v>
      </c>
      <c r="E512" s="128"/>
      <c r="F512" s="138" t="s">
        <v>1259</v>
      </c>
      <c r="G512" s="131" t="s">
        <v>1190</v>
      </c>
      <c r="H512" s="128" t="s">
        <v>29</v>
      </c>
      <c r="I512" s="132" t="s">
        <v>127</v>
      </c>
      <c r="J512" s="133">
        <v>13</v>
      </c>
      <c r="K512" s="129">
        <v>6</v>
      </c>
      <c r="L512" s="129">
        <v>0</v>
      </c>
      <c r="M512" s="129" t="s">
        <v>31</v>
      </c>
      <c r="N512" s="129" t="s">
        <v>32</v>
      </c>
      <c r="O512" s="139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40"/>
    </row>
    <row r="513" spans="1:26" s="149" customFormat="1" x14ac:dyDescent="0.25">
      <c r="A513" s="203">
        <f t="shared" si="11"/>
        <v>512</v>
      </c>
      <c r="B513" s="128" t="s">
        <v>1260</v>
      </c>
      <c r="C513" s="274" t="s">
        <v>1260</v>
      </c>
      <c r="D513" s="262" t="s">
        <v>1088</v>
      </c>
      <c r="E513" s="128"/>
      <c r="F513" s="138" t="s">
        <v>1261</v>
      </c>
      <c r="G513" s="131" t="s">
        <v>1190</v>
      </c>
      <c r="H513" s="128" t="s">
        <v>29</v>
      </c>
      <c r="I513" s="132" t="s">
        <v>127</v>
      </c>
      <c r="J513" s="133">
        <v>13</v>
      </c>
      <c r="K513" s="129">
        <v>6</v>
      </c>
      <c r="L513" s="129">
        <v>1</v>
      </c>
      <c r="M513" s="129" t="s">
        <v>31</v>
      </c>
      <c r="N513" s="129" t="s">
        <v>32</v>
      </c>
      <c r="O513" s="139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40"/>
    </row>
    <row r="514" spans="1:26" s="149" customFormat="1" x14ac:dyDescent="0.25">
      <c r="A514" s="203">
        <f t="shared" si="11"/>
        <v>513</v>
      </c>
      <c r="B514" s="128" t="s">
        <v>1262</v>
      </c>
      <c r="C514" s="274" t="s">
        <v>1262</v>
      </c>
      <c r="D514" s="262" t="s">
        <v>1263</v>
      </c>
      <c r="E514" s="128" t="s">
        <v>1188</v>
      </c>
      <c r="F514" s="138" t="s">
        <v>1264</v>
      </c>
      <c r="G514" s="131" t="s">
        <v>1190</v>
      </c>
      <c r="H514" s="128" t="s">
        <v>29</v>
      </c>
      <c r="I514" s="132" t="s">
        <v>127</v>
      </c>
      <c r="J514" s="133">
        <v>13</v>
      </c>
      <c r="K514" s="129">
        <v>6</v>
      </c>
      <c r="L514" s="129">
        <v>2</v>
      </c>
      <c r="M514" s="129" t="s">
        <v>31</v>
      </c>
      <c r="N514" s="129" t="s">
        <v>32</v>
      </c>
      <c r="O514" s="139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40"/>
    </row>
    <row r="515" spans="1:26" s="149" customFormat="1" x14ac:dyDescent="0.25">
      <c r="A515" s="203">
        <f t="shared" si="11"/>
        <v>514</v>
      </c>
      <c r="B515" s="128" t="s">
        <v>1265</v>
      </c>
      <c r="C515" s="274" t="s">
        <v>1265</v>
      </c>
      <c r="D515" s="262" t="s">
        <v>1266</v>
      </c>
      <c r="E515" s="128" t="s">
        <v>1188</v>
      </c>
      <c r="F515" s="138" t="s">
        <v>1267</v>
      </c>
      <c r="G515" s="131" t="s">
        <v>1190</v>
      </c>
      <c r="H515" s="128" t="s">
        <v>29</v>
      </c>
      <c r="I515" s="132" t="s">
        <v>127</v>
      </c>
      <c r="J515" s="133">
        <v>13</v>
      </c>
      <c r="K515" s="129">
        <v>6</v>
      </c>
      <c r="L515" s="129">
        <v>3</v>
      </c>
      <c r="M515" s="129" t="s">
        <v>31</v>
      </c>
      <c r="N515" s="129" t="s">
        <v>32</v>
      </c>
      <c r="O515" s="139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40"/>
    </row>
    <row r="516" spans="1:26" s="149" customFormat="1" x14ac:dyDescent="0.25">
      <c r="A516" s="203">
        <f t="shared" si="11"/>
        <v>515</v>
      </c>
      <c r="B516" s="128" t="s">
        <v>1268</v>
      </c>
      <c r="C516" s="274" t="s">
        <v>1268</v>
      </c>
      <c r="D516" s="262" t="s">
        <v>1269</v>
      </c>
      <c r="E516" s="128" t="s">
        <v>1188</v>
      </c>
      <c r="F516" s="138" t="s">
        <v>1270</v>
      </c>
      <c r="G516" s="131" t="s">
        <v>1190</v>
      </c>
      <c r="H516" s="128" t="s">
        <v>29</v>
      </c>
      <c r="I516" s="132" t="s">
        <v>127</v>
      </c>
      <c r="J516" s="133">
        <v>13</v>
      </c>
      <c r="K516" s="129">
        <v>6</v>
      </c>
      <c r="L516" s="129">
        <v>4</v>
      </c>
      <c r="M516" s="129" t="s">
        <v>31</v>
      </c>
      <c r="N516" s="129" t="s">
        <v>32</v>
      </c>
      <c r="O516" s="139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40"/>
    </row>
    <row r="517" spans="1:26" s="149" customFormat="1" x14ac:dyDescent="0.25">
      <c r="A517" s="203">
        <f t="shared" si="11"/>
        <v>516</v>
      </c>
      <c r="B517" s="128" t="s">
        <v>1271</v>
      </c>
      <c r="C517" s="274" t="s">
        <v>1271</v>
      </c>
      <c r="D517" s="262" t="s">
        <v>1272</v>
      </c>
      <c r="E517" s="128"/>
      <c r="F517" s="138" t="s">
        <v>1273</v>
      </c>
      <c r="G517" s="131" t="s">
        <v>1190</v>
      </c>
      <c r="H517" s="128" t="s">
        <v>29</v>
      </c>
      <c r="I517" s="132" t="s">
        <v>127</v>
      </c>
      <c r="J517" s="133">
        <v>13</v>
      </c>
      <c r="K517" s="129">
        <v>6</v>
      </c>
      <c r="L517" s="129">
        <v>6</v>
      </c>
      <c r="M517" s="129" t="s">
        <v>31</v>
      </c>
      <c r="N517" s="129" t="s">
        <v>32</v>
      </c>
      <c r="O517" s="139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55"/>
    </row>
    <row r="518" spans="1:26" s="149" customFormat="1" x14ac:dyDescent="0.25">
      <c r="A518" s="203">
        <f t="shared" si="11"/>
        <v>517</v>
      </c>
      <c r="B518" s="128" t="s">
        <v>1274</v>
      </c>
      <c r="C518" s="274" t="s">
        <v>1274</v>
      </c>
      <c r="D518" s="262" t="s">
        <v>1272</v>
      </c>
      <c r="E518" s="128"/>
      <c r="F518" s="138" t="s">
        <v>1275</v>
      </c>
      <c r="G518" s="131" t="s">
        <v>1190</v>
      </c>
      <c r="H518" s="128" t="s">
        <v>29</v>
      </c>
      <c r="I518" s="132" t="s">
        <v>127</v>
      </c>
      <c r="J518" s="133">
        <v>13</v>
      </c>
      <c r="K518" s="129">
        <v>6</v>
      </c>
      <c r="L518" s="129">
        <v>7</v>
      </c>
      <c r="M518" s="129" t="s">
        <v>31</v>
      </c>
      <c r="N518" s="129" t="s">
        <v>32</v>
      </c>
      <c r="O518" s="139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55"/>
    </row>
    <row r="519" spans="1:26" s="149" customFormat="1" x14ac:dyDescent="0.25">
      <c r="A519" s="203">
        <f t="shared" si="11"/>
        <v>518</v>
      </c>
      <c r="B519" s="128" t="s">
        <v>1276</v>
      </c>
      <c r="C519" s="274" t="s">
        <v>1276</v>
      </c>
      <c r="D519" s="262" t="s">
        <v>1277</v>
      </c>
      <c r="E519" s="128"/>
      <c r="F519" s="138" t="s">
        <v>1278</v>
      </c>
      <c r="G519" s="131" t="s">
        <v>1190</v>
      </c>
      <c r="H519" s="128" t="s">
        <v>29</v>
      </c>
      <c r="I519" s="132" t="s">
        <v>127</v>
      </c>
      <c r="J519" s="133">
        <v>13</v>
      </c>
      <c r="K519" s="129">
        <v>6</v>
      </c>
      <c r="L519" s="129">
        <v>8</v>
      </c>
      <c r="M519" s="129" t="s">
        <v>31</v>
      </c>
      <c r="N519" s="129" t="s">
        <v>32</v>
      </c>
      <c r="O519" s="139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55"/>
    </row>
    <row r="520" spans="1:26" s="149" customFormat="1" x14ac:dyDescent="0.25">
      <c r="A520" s="203">
        <f t="shared" si="11"/>
        <v>519</v>
      </c>
      <c r="B520" s="128" t="s">
        <v>1279</v>
      </c>
      <c r="C520" s="274" t="s">
        <v>1279</v>
      </c>
      <c r="D520" s="262" t="s">
        <v>1277</v>
      </c>
      <c r="E520" s="128"/>
      <c r="F520" s="138" t="s">
        <v>1280</v>
      </c>
      <c r="G520" s="131" t="s">
        <v>1190</v>
      </c>
      <c r="H520" s="128" t="s">
        <v>29</v>
      </c>
      <c r="I520" s="132" t="s">
        <v>127</v>
      </c>
      <c r="J520" s="133">
        <v>13</v>
      </c>
      <c r="K520" s="129">
        <v>6</v>
      </c>
      <c r="L520" s="129">
        <v>9</v>
      </c>
      <c r="M520" s="129" t="s">
        <v>31</v>
      </c>
      <c r="N520" s="129" t="s">
        <v>32</v>
      </c>
      <c r="O520" s="139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55"/>
    </row>
    <row r="521" spans="1:26" s="149" customFormat="1" x14ac:dyDescent="0.25">
      <c r="A521" s="203">
        <f t="shared" si="11"/>
        <v>520</v>
      </c>
      <c r="B521" s="128" t="s">
        <v>1281</v>
      </c>
      <c r="C521" s="263" t="s">
        <v>1282</v>
      </c>
      <c r="D521" s="262" t="s">
        <v>1187</v>
      </c>
      <c r="E521" s="128" t="s">
        <v>1188</v>
      </c>
      <c r="F521" s="138" t="s">
        <v>1283</v>
      </c>
      <c r="G521" s="131" t="s">
        <v>1190</v>
      </c>
      <c r="H521" s="128" t="s">
        <v>29</v>
      </c>
      <c r="I521" s="132" t="s">
        <v>127</v>
      </c>
      <c r="J521" s="133">
        <v>13</v>
      </c>
      <c r="K521" s="129">
        <v>8</v>
      </c>
      <c r="L521" s="129">
        <v>0</v>
      </c>
      <c r="M521" s="129" t="s">
        <v>82</v>
      </c>
      <c r="N521" s="129" t="s">
        <v>83</v>
      </c>
      <c r="O521" s="139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40"/>
    </row>
    <row r="522" spans="1:26" s="149" customFormat="1" x14ac:dyDescent="0.25">
      <c r="A522" s="203">
        <f t="shared" si="11"/>
        <v>521</v>
      </c>
      <c r="B522" s="128"/>
      <c r="C522" s="274" t="s">
        <v>1284</v>
      </c>
      <c r="D522" s="262"/>
      <c r="E522" s="128"/>
      <c r="F522" s="141" t="s">
        <v>1285</v>
      </c>
      <c r="G522" s="142" t="s">
        <v>1190</v>
      </c>
      <c r="H522" s="133" t="s">
        <v>29</v>
      </c>
      <c r="I522" s="132" t="s">
        <v>127</v>
      </c>
      <c r="J522" s="133">
        <v>13</v>
      </c>
      <c r="K522" s="128">
        <v>8</v>
      </c>
      <c r="L522" s="128">
        <v>1</v>
      </c>
      <c r="M522" s="128" t="s">
        <v>82</v>
      </c>
      <c r="N522" s="128" t="s">
        <v>83</v>
      </c>
      <c r="O522" s="139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40"/>
    </row>
    <row r="523" spans="1:26" s="149" customFormat="1" x14ac:dyDescent="0.25">
      <c r="A523" s="203">
        <f t="shared" si="11"/>
        <v>522</v>
      </c>
      <c r="B523" s="128"/>
      <c r="C523" s="274" t="s">
        <v>1286</v>
      </c>
      <c r="D523" s="262"/>
      <c r="E523" s="128"/>
      <c r="F523" s="141" t="s">
        <v>1287</v>
      </c>
      <c r="G523" s="142" t="s">
        <v>1190</v>
      </c>
      <c r="H523" s="133" t="s">
        <v>29</v>
      </c>
      <c r="I523" s="132" t="s">
        <v>127</v>
      </c>
      <c r="J523" s="133">
        <v>13</v>
      </c>
      <c r="K523" s="128">
        <v>8</v>
      </c>
      <c r="L523" s="128">
        <v>2</v>
      </c>
      <c r="M523" s="128" t="s">
        <v>82</v>
      </c>
      <c r="N523" s="128" t="s">
        <v>83</v>
      </c>
      <c r="O523" s="139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40"/>
    </row>
    <row r="524" spans="1:26" s="149" customFormat="1" x14ac:dyDescent="0.25">
      <c r="A524" s="203">
        <f t="shared" si="11"/>
        <v>523</v>
      </c>
      <c r="B524" s="128"/>
      <c r="C524" s="274" t="s">
        <v>1288</v>
      </c>
      <c r="D524" s="262"/>
      <c r="E524" s="128"/>
      <c r="F524" s="141" t="s">
        <v>1289</v>
      </c>
      <c r="G524" s="142" t="s">
        <v>1190</v>
      </c>
      <c r="H524" s="133" t="s">
        <v>29</v>
      </c>
      <c r="I524" s="132" t="s">
        <v>127</v>
      </c>
      <c r="J524" s="133">
        <v>13</v>
      </c>
      <c r="K524" s="128">
        <v>8</v>
      </c>
      <c r="L524" s="128">
        <v>3</v>
      </c>
      <c r="M524" s="128" t="s">
        <v>82</v>
      </c>
      <c r="N524" s="128" t="s">
        <v>83</v>
      </c>
      <c r="O524" s="139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40"/>
    </row>
    <row r="525" spans="1:26" s="149" customFormat="1" x14ac:dyDescent="0.25">
      <c r="A525" s="203">
        <f t="shared" si="11"/>
        <v>524</v>
      </c>
      <c r="B525" s="128" t="s">
        <v>1290</v>
      </c>
      <c r="C525" s="263" t="s">
        <v>1291</v>
      </c>
      <c r="D525" s="262"/>
      <c r="E525" s="128"/>
      <c r="F525" s="138" t="s">
        <v>1292</v>
      </c>
      <c r="G525" s="131" t="s">
        <v>1190</v>
      </c>
      <c r="H525" s="128" t="s">
        <v>29</v>
      </c>
      <c r="I525" s="132" t="s">
        <v>127</v>
      </c>
      <c r="J525" s="133">
        <v>13</v>
      </c>
      <c r="K525" s="129">
        <v>8</v>
      </c>
      <c r="L525" s="129">
        <v>4</v>
      </c>
      <c r="M525" s="129" t="s">
        <v>82</v>
      </c>
      <c r="N525" s="129" t="s">
        <v>83</v>
      </c>
      <c r="O525" s="139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40"/>
    </row>
    <row r="526" spans="1:26" s="149" customFormat="1" x14ac:dyDescent="0.25">
      <c r="A526" s="203">
        <f t="shared" si="11"/>
        <v>525</v>
      </c>
      <c r="B526" s="128" t="s">
        <v>1293</v>
      </c>
      <c r="C526" s="274" t="s">
        <v>1293</v>
      </c>
      <c r="D526" s="262"/>
      <c r="E526" s="128"/>
      <c r="F526" s="138" t="s">
        <v>1294</v>
      </c>
      <c r="G526" s="131" t="s">
        <v>1190</v>
      </c>
      <c r="H526" s="128" t="s">
        <v>29</v>
      </c>
      <c r="I526" s="132" t="s">
        <v>127</v>
      </c>
      <c r="J526" s="133">
        <v>13</v>
      </c>
      <c r="K526" s="129">
        <v>8</v>
      </c>
      <c r="L526" s="129">
        <v>5</v>
      </c>
      <c r="M526" s="129" t="s">
        <v>82</v>
      </c>
      <c r="N526" s="129" t="s">
        <v>83</v>
      </c>
      <c r="O526" s="139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40"/>
    </row>
    <row r="527" spans="1:26" s="149" customFormat="1" x14ac:dyDescent="0.25">
      <c r="A527" s="203">
        <f t="shared" si="11"/>
        <v>526</v>
      </c>
      <c r="B527" s="128" t="s">
        <v>1295</v>
      </c>
      <c r="C527" s="274" t="s">
        <v>1295</v>
      </c>
      <c r="D527" s="262"/>
      <c r="E527" s="128"/>
      <c r="F527" s="138" t="s">
        <v>1296</v>
      </c>
      <c r="G527" s="131" t="s">
        <v>1190</v>
      </c>
      <c r="H527" s="128" t="s">
        <v>29</v>
      </c>
      <c r="I527" s="132" t="s">
        <v>127</v>
      </c>
      <c r="J527" s="133">
        <v>13</v>
      </c>
      <c r="K527" s="129">
        <v>8</v>
      </c>
      <c r="L527" s="129">
        <v>6</v>
      </c>
      <c r="M527" s="129" t="s">
        <v>82</v>
      </c>
      <c r="N527" s="129" t="s">
        <v>83</v>
      </c>
      <c r="O527" s="139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40"/>
    </row>
    <row r="528" spans="1:26" s="149" customFormat="1" x14ac:dyDescent="0.25">
      <c r="A528" s="203">
        <f t="shared" si="11"/>
        <v>527</v>
      </c>
      <c r="B528" s="128" t="s">
        <v>1297</v>
      </c>
      <c r="C528" s="274" t="s">
        <v>1297</v>
      </c>
      <c r="D528" s="262"/>
      <c r="E528" s="128"/>
      <c r="F528" s="138" t="s">
        <v>1298</v>
      </c>
      <c r="G528" s="131" t="s">
        <v>1190</v>
      </c>
      <c r="H528" s="128" t="s">
        <v>29</v>
      </c>
      <c r="I528" s="132" t="s">
        <v>127</v>
      </c>
      <c r="J528" s="133">
        <v>13</v>
      </c>
      <c r="K528" s="129">
        <v>8</v>
      </c>
      <c r="L528" s="129">
        <v>7</v>
      </c>
      <c r="M528" s="129" t="s">
        <v>82</v>
      </c>
      <c r="N528" s="129" t="s">
        <v>83</v>
      </c>
      <c r="O528" s="139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40"/>
    </row>
    <row r="529" spans="1:26" s="149" customFormat="1" x14ac:dyDescent="0.25">
      <c r="A529" s="203">
        <f t="shared" si="11"/>
        <v>528</v>
      </c>
      <c r="B529" s="128"/>
      <c r="C529" s="263" t="s">
        <v>1291</v>
      </c>
      <c r="D529" s="262"/>
      <c r="E529" s="128"/>
      <c r="F529" s="141" t="s">
        <v>1299</v>
      </c>
      <c r="G529" s="142" t="s">
        <v>1190</v>
      </c>
      <c r="H529" s="133" t="s">
        <v>29</v>
      </c>
      <c r="I529" s="132" t="s">
        <v>127</v>
      </c>
      <c r="J529" s="133">
        <v>13</v>
      </c>
      <c r="K529" s="129">
        <v>8</v>
      </c>
      <c r="L529" s="129">
        <v>14</v>
      </c>
      <c r="M529" s="129" t="s">
        <v>82</v>
      </c>
      <c r="N529" s="129" t="s">
        <v>83</v>
      </c>
      <c r="O529" s="139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40"/>
    </row>
    <row r="530" spans="1:26" x14ac:dyDescent="0.25">
      <c r="A530" s="203">
        <f t="shared" si="11"/>
        <v>529</v>
      </c>
      <c r="B530" s="128" t="s">
        <v>1300</v>
      </c>
      <c r="C530" s="274" t="s">
        <v>1300</v>
      </c>
      <c r="D530" s="262" t="s">
        <v>1301</v>
      </c>
      <c r="E530" s="128" t="s">
        <v>1213</v>
      </c>
      <c r="F530" s="138" t="s">
        <v>1302</v>
      </c>
      <c r="G530" s="131" t="s">
        <v>1190</v>
      </c>
      <c r="H530" s="128" t="s">
        <v>29</v>
      </c>
      <c r="I530" s="132" t="s">
        <v>127</v>
      </c>
      <c r="J530" s="133">
        <v>13</v>
      </c>
      <c r="K530" s="129">
        <v>9</v>
      </c>
      <c r="L530" s="129">
        <v>0</v>
      </c>
      <c r="M530" s="129" t="s">
        <v>82</v>
      </c>
      <c r="N530" s="129" t="s">
        <v>83</v>
      </c>
      <c r="O530" s="139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40"/>
    </row>
    <row r="531" spans="1:26" x14ac:dyDescent="0.25">
      <c r="A531" s="203">
        <f t="shared" si="11"/>
        <v>530</v>
      </c>
      <c r="B531" s="128" t="s">
        <v>1303</v>
      </c>
      <c r="C531" s="274" t="s">
        <v>1303</v>
      </c>
      <c r="D531" s="262" t="s">
        <v>1301</v>
      </c>
      <c r="E531" s="128" t="s">
        <v>1213</v>
      </c>
      <c r="F531" s="138" t="s">
        <v>1304</v>
      </c>
      <c r="G531" s="131" t="s">
        <v>1190</v>
      </c>
      <c r="H531" s="128" t="s">
        <v>29</v>
      </c>
      <c r="I531" s="132" t="s">
        <v>127</v>
      </c>
      <c r="J531" s="133">
        <v>13</v>
      </c>
      <c r="K531" s="129">
        <v>9</v>
      </c>
      <c r="L531" s="129">
        <v>1</v>
      </c>
      <c r="M531" s="129" t="s">
        <v>82</v>
      </c>
      <c r="N531" s="129" t="s">
        <v>83</v>
      </c>
      <c r="O531" s="139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40"/>
    </row>
    <row r="532" spans="1:26" x14ac:dyDescent="0.25">
      <c r="A532" s="203">
        <f t="shared" si="11"/>
        <v>531</v>
      </c>
      <c r="B532" s="128" t="s">
        <v>1305</v>
      </c>
      <c r="C532" s="274" t="s">
        <v>1305</v>
      </c>
      <c r="D532" s="262" t="s">
        <v>1306</v>
      </c>
      <c r="E532" s="128" t="s">
        <v>1213</v>
      </c>
      <c r="F532" s="138" t="s">
        <v>1307</v>
      </c>
      <c r="G532" s="131" t="s">
        <v>1190</v>
      </c>
      <c r="H532" s="128" t="s">
        <v>29</v>
      </c>
      <c r="I532" s="132" t="s">
        <v>127</v>
      </c>
      <c r="J532" s="133">
        <v>13</v>
      </c>
      <c r="K532" s="129">
        <v>9</v>
      </c>
      <c r="L532" s="129">
        <v>2</v>
      </c>
      <c r="M532" s="129" t="s">
        <v>82</v>
      </c>
      <c r="N532" s="129" t="s">
        <v>83</v>
      </c>
      <c r="O532" s="139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40"/>
    </row>
    <row r="533" spans="1:26" x14ac:dyDescent="0.25">
      <c r="A533" s="203">
        <f t="shared" si="11"/>
        <v>532</v>
      </c>
      <c r="B533" s="128" t="s">
        <v>1308</v>
      </c>
      <c r="C533" s="274" t="s">
        <v>1308</v>
      </c>
      <c r="D533" s="262" t="s">
        <v>1306</v>
      </c>
      <c r="E533" s="128" t="s">
        <v>1213</v>
      </c>
      <c r="F533" s="138" t="s">
        <v>1309</v>
      </c>
      <c r="G533" s="131" t="s">
        <v>1190</v>
      </c>
      <c r="H533" s="128" t="s">
        <v>29</v>
      </c>
      <c r="I533" s="132" t="s">
        <v>127</v>
      </c>
      <c r="J533" s="133">
        <v>13</v>
      </c>
      <c r="K533" s="129">
        <v>9</v>
      </c>
      <c r="L533" s="129">
        <v>3</v>
      </c>
      <c r="M533" s="129" t="s">
        <v>82</v>
      </c>
      <c r="N533" s="129" t="s">
        <v>83</v>
      </c>
      <c r="O533" s="139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40"/>
    </row>
    <row r="534" spans="1:26" x14ac:dyDescent="0.25">
      <c r="A534" s="203">
        <f t="shared" si="11"/>
        <v>533</v>
      </c>
      <c r="B534" s="128" t="s">
        <v>1310</v>
      </c>
      <c r="C534" s="263" t="s">
        <v>1310</v>
      </c>
      <c r="D534" s="262" t="s">
        <v>1311</v>
      </c>
      <c r="E534" s="128" t="s">
        <v>1213</v>
      </c>
      <c r="F534" s="138" t="s">
        <v>1312</v>
      </c>
      <c r="G534" s="131" t="s">
        <v>1190</v>
      </c>
      <c r="H534" s="128" t="s">
        <v>29</v>
      </c>
      <c r="I534" s="132" t="s">
        <v>127</v>
      </c>
      <c r="J534" s="133">
        <v>13</v>
      </c>
      <c r="K534" s="128">
        <v>9</v>
      </c>
      <c r="L534" s="128">
        <v>4</v>
      </c>
      <c r="M534" s="128" t="s">
        <v>82</v>
      </c>
      <c r="N534" s="128" t="s">
        <v>83</v>
      </c>
      <c r="O534" s="139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40"/>
    </row>
    <row r="535" spans="1:26" x14ac:dyDescent="0.25">
      <c r="A535" s="203">
        <f t="shared" si="11"/>
        <v>534</v>
      </c>
      <c r="B535" s="128" t="s">
        <v>1313</v>
      </c>
      <c r="C535" s="263" t="s">
        <v>1313</v>
      </c>
      <c r="D535" s="262" t="s">
        <v>1311</v>
      </c>
      <c r="E535" s="128" t="s">
        <v>1213</v>
      </c>
      <c r="F535" s="138" t="s">
        <v>1314</v>
      </c>
      <c r="G535" s="131" t="s">
        <v>1190</v>
      </c>
      <c r="H535" s="128" t="s">
        <v>29</v>
      </c>
      <c r="I535" s="132" t="s">
        <v>127</v>
      </c>
      <c r="J535" s="133">
        <v>13</v>
      </c>
      <c r="K535" s="128">
        <v>9</v>
      </c>
      <c r="L535" s="128">
        <v>5</v>
      </c>
      <c r="M535" s="128" t="s">
        <v>82</v>
      </c>
      <c r="N535" s="128" t="s">
        <v>83</v>
      </c>
      <c r="O535" s="139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40"/>
    </row>
    <row r="536" spans="1:26" x14ac:dyDescent="0.25">
      <c r="A536" s="203">
        <f t="shared" si="11"/>
        <v>535</v>
      </c>
      <c r="B536" s="128" t="s">
        <v>1315</v>
      </c>
      <c r="C536" s="274" t="s">
        <v>1315</v>
      </c>
      <c r="D536" s="262" t="s">
        <v>1316</v>
      </c>
      <c r="E536" s="128" t="s">
        <v>1213</v>
      </c>
      <c r="F536" s="138" t="s">
        <v>1317</v>
      </c>
      <c r="G536" s="131" t="s">
        <v>1190</v>
      </c>
      <c r="H536" s="128" t="s">
        <v>29</v>
      </c>
      <c r="I536" s="132" t="s">
        <v>127</v>
      </c>
      <c r="J536" s="133">
        <v>13</v>
      </c>
      <c r="K536" s="128">
        <v>9</v>
      </c>
      <c r="L536" s="128">
        <v>6</v>
      </c>
      <c r="M536" s="128" t="s">
        <v>82</v>
      </c>
      <c r="N536" s="128" t="s">
        <v>83</v>
      </c>
      <c r="O536" s="139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40"/>
    </row>
    <row r="537" spans="1:26" x14ac:dyDescent="0.25">
      <c r="A537" s="203">
        <f t="shared" si="11"/>
        <v>536</v>
      </c>
      <c r="B537" s="128" t="s">
        <v>1318</v>
      </c>
      <c r="C537" s="274" t="s">
        <v>1318</v>
      </c>
      <c r="D537" s="262" t="s">
        <v>1316</v>
      </c>
      <c r="E537" s="128" t="s">
        <v>1213</v>
      </c>
      <c r="F537" s="138" t="s">
        <v>1319</v>
      </c>
      <c r="G537" s="131" t="s">
        <v>1190</v>
      </c>
      <c r="H537" s="128" t="s">
        <v>29</v>
      </c>
      <c r="I537" s="132" t="s">
        <v>127</v>
      </c>
      <c r="J537" s="133">
        <v>13</v>
      </c>
      <c r="K537" s="128">
        <v>9</v>
      </c>
      <c r="L537" s="128">
        <v>7</v>
      </c>
      <c r="M537" s="128" t="s">
        <v>82</v>
      </c>
      <c r="N537" s="128" t="s">
        <v>83</v>
      </c>
      <c r="O537" s="139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40"/>
    </row>
    <row r="538" spans="1:26" s="149" customFormat="1" x14ac:dyDescent="0.25">
      <c r="A538" s="203">
        <f t="shared" si="11"/>
        <v>537</v>
      </c>
      <c r="B538" s="128" t="s">
        <v>1320</v>
      </c>
      <c r="C538" s="274" t="s">
        <v>1321</v>
      </c>
      <c r="D538" s="264"/>
      <c r="E538" s="133"/>
      <c r="F538" s="141" t="s">
        <v>1322</v>
      </c>
      <c r="G538" s="142" t="s">
        <v>1190</v>
      </c>
      <c r="H538" s="133" t="s">
        <v>29</v>
      </c>
      <c r="I538" s="132" t="s">
        <v>127</v>
      </c>
      <c r="J538" s="133">
        <v>13</v>
      </c>
      <c r="K538" s="129">
        <v>9</v>
      </c>
      <c r="L538" s="129">
        <v>10</v>
      </c>
      <c r="M538" s="129" t="s">
        <v>82</v>
      </c>
      <c r="N538" s="129" t="s">
        <v>83</v>
      </c>
      <c r="O538" s="139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40"/>
    </row>
    <row r="539" spans="1:26" s="149" customFormat="1" x14ac:dyDescent="0.25">
      <c r="A539" s="203">
        <f t="shared" si="11"/>
        <v>538</v>
      </c>
      <c r="B539" s="128" t="s">
        <v>1323</v>
      </c>
      <c r="C539" s="274" t="s">
        <v>1323</v>
      </c>
      <c r="D539" s="262"/>
      <c r="E539" s="128"/>
      <c r="F539" s="138" t="s">
        <v>1324</v>
      </c>
      <c r="G539" s="131" t="s">
        <v>1190</v>
      </c>
      <c r="H539" s="128" t="s">
        <v>29</v>
      </c>
      <c r="I539" s="132" t="s">
        <v>127</v>
      </c>
      <c r="J539" s="133">
        <v>13</v>
      </c>
      <c r="K539" s="129">
        <v>10</v>
      </c>
      <c r="L539" s="129">
        <v>0</v>
      </c>
      <c r="M539" s="129" t="s">
        <v>658</v>
      </c>
      <c r="N539" s="129" t="s">
        <v>659</v>
      </c>
      <c r="O539" s="139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40"/>
    </row>
    <row r="540" spans="1:26" s="149" customFormat="1" x14ac:dyDescent="0.25">
      <c r="A540" s="203">
        <f t="shared" si="11"/>
        <v>539</v>
      </c>
      <c r="B540" s="128" t="s">
        <v>1325</v>
      </c>
      <c r="C540" s="274" t="s">
        <v>1325</v>
      </c>
      <c r="D540" s="262"/>
      <c r="E540" s="128"/>
      <c r="F540" s="138" t="s">
        <v>1324</v>
      </c>
      <c r="G540" s="131" t="s">
        <v>1190</v>
      </c>
      <c r="H540" s="128" t="s">
        <v>29</v>
      </c>
      <c r="I540" s="132" t="s">
        <v>127</v>
      </c>
      <c r="J540" s="133">
        <v>13</v>
      </c>
      <c r="K540" s="129">
        <v>10</v>
      </c>
      <c r="L540" s="129">
        <v>1</v>
      </c>
      <c r="M540" s="129" t="s">
        <v>658</v>
      </c>
      <c r="N540" s="129" t="s">
        <v>659</v>
      </c>
      <c r="O540" s="139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40"/>
    </row>
    <row r="541" spans="1:26" s="149" customFormat="1" x14ac:dyDescent="0.25">
      <c r="A541" s="203">
        <f t="shared" si="11"/>
        <v>540</v>
      </c>
      <c r="B541" s="128" t="s">
        <v>1326</v>
      </c>
      <c r="C541" s="274" t="s">
        <v>1326</v>
      </c>
      <c r="D541" s="262"/>
      <c r="E541" s="128"/>
      <c r="F541" s="138" t="s">
        <v>1327</v>
      </c>
      <c r="G541" s="131" t="s">
        <v>1190</v>
      </c>
      <c r="H541" s="128" t="s">
        <v>678</v>
      </c>
      <c r="I541" s="131" t="s">
        <v>131</v>
      </c>
      <c r="J541" s="133">
        <v>18</v>
      </c>
      <c r="K541" s="129">
        <v>2</v>
      </c>
      <c r="L541" s="129">
        <v>0</v>
      </c>
      <c r="M541" s="129" t="s">
        <v>31</v>
      </c>
      <c r="N541" s="129" t="s">
        <v>32</v>
      </c>
      <c r="O541" s="139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40"/>
    </row>
    <row r="542" spans="1:26" s="149" customFormat="1" x14ac:dyDescent="0.25">
      <c r="A542" s="203">
        <f t="shared" si="11"/>
        <v>541</v>
      </c>
      <c r="B542" s="128" t="s">
        <v>1328</v>
      </c>
      <c r="C542" s="274" t="s">
        <v>1328</v>
      </c>
      <c r="D542" s="262"/>
      <c r="E542" s="128"/>
      <c r="F542" s="138" t="s">
        <v>1329</v>
      </c>
      <c r="G542" s="131" t="s">
        <v>1190</v>
      </c>
      <c r="H542" s="128" t="s">
        <v>678</v>
      </c>
      <c r="I542" s="131" t="s">
        <v>131</v>
      </c>
      <c r="J542" s="133">
        <v>18</v>
      </c>
      <c r="K542" s="129">
        <v>2</v>
      </c>
      <c r="L542" s="129">
        <v>1</v>
      </c>
      <c r="M542" s="129" t="s">
        <v>31</v>
      </c>
      <c r="N542" s="129" t="s">
        <v>32</v>
      </c>
      <c r="O542" s="139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40"/>
    </row>
    <row r="543" spans="1:26" s="149" customFormat="1" x14ac:dyDescent="0.25">
      <c r="A543" s="203">
        <f t="shared" si="11"/>
        <v>542</v>
      </c>
      <c r="B543" s="128" t="s">
        <v>1330</v>
      </c>
      <c r="C543" s="274" t="s">
        <v>1330</v>
      </c>
      <c r="D543" s="262"/>
      <c r="E543" s="128"/>
      <c r="F543" s="138" t="s">
        <v>1331</v>
      </c>
      <c r="G543" s="131" t="s">
        <v>1190</v>
      </c>
      <c r="H543" s="128" t="s">
        <v>678</v>
      </c>
      <c r="I543" s="131" t="s">
        <v>131</v>
      </c>
      <c r="J543" s="133">
        <v>18</v>
      </c>
      <c r="K543" s="129">
        <v>4</v>
      </c>
      <c r="L543" s="129">
        <v>2</v>
      </c>
      <c r="M543" s="129" t="s">
        <v>82</v>
      </c>
      <c r="N543" s="129" t="s">
        <v>83</v>
      </c>
      <c r="O543" s="139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40"/>
    </row>
    <row r="544" spans="1:26" s="149" customFormat="1" x14ac:dyDescent="0.25">
      <c r="A544" s="203">
        <f t="shared" si="11"/>
        <v>543</v>
      </c>
      <c r="B544" s="128" t="s">
        <v>1332</v>
      </c>
      <c r="C544" s="274" t="s">
        <v>1332</v>
      </c>
      <c r="D544" s="262"/>
      <c r="E544" s="128"/>
      <c r="F544" s="138" t="s">
        <v>1333</v>
      </c>
      <c r="G544" s="131" t="s">
        <v>1190</v>
      </c>
      <c r="H544" s="128" t="s">
        <v>678</v>
      </c>
      <c r="I544" s="131" t="s">
        <v>131</v>
      </c>
      <c r="J544" s="133">
        <v>18</v>
      </c>
      <c r="K544" s="129">
        <v>7</v>
      </c>
      <c r="L544" s="129">
        <v>4</v>
      </c>
      <c r="M544" s="129" t="s">
        <v>658</v>
      </c>
      <c r="N544" s="129" t="s">
        <v>659</v>
      </c>
      <c r="O544" s="134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40"/>
    </row>
    <row r="545" spans="1:26" s="149" customFormat="1" x14ac:dyDescent="0.25">
      <c r="A545" s="203">
        <f t="shared" si="11"/>
        <v>544</v>
      </c>
      <c r="B545" s="128" t="s">
        <v>1334</v>
      </c>
      <c r="C545" s="274" t="s">
        <v>1334</v>
      </c>
      <c r="D545" s="262"/>
      <c r="E545" s="128"/>
      <c r="F545" s="138" t="s">
        <v>1335</v>
      </c>
      <c r="G545" s="131" t="s">
        <v>1190</v>
      </c>
      <c r="H545" s="128" t="s">
        <v>678</v>
      </c>
      <c r="I545" s="131" t="s">
        <v>131</v>
      </c>
      <c r="J545" s="133">
        <v>18</v>
      </c>
      <c r="K545" s="129">
        <v>10</v>
      </c>
      <c r="L545" s="129">
        <v>2</v>
      </c>
      <c r="M545" s="129" t="s">
        <v>658</v>
      </c>
      <c r="N545" s="129" t="s">
        <v>659</v>
      </c>
      <c r="O545" s="134" t="s">
        <v>681</v>
      </c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40"/>
    </row>
    <row r="546" spans="1:26" x14ac:dyDescent="0.25">
      <c r="A546" s="203">
        <f t="shared" si="11"/>
        <v>545</v>
      </c>
      <c r="B546" s="128" t="s">
        <v>1336</v>
      </c>
      <c r="C546" s="274" t="s">
        <v>1336</v>
      </c>
      <c r="D546" s="262"/>
      <c r="E546" s="128"/>
      <c r="F546" s="138" t="s">
        <v>1337</v>
      </c>
      <c r="G546" s="131" t="s">
        <v>1190</v>
      </c>
      <c r="H546" s="128" t="s">
        <v>678</v>
      </c>
      <c r="I546" s="131" t="s">
        <v>131</v>
      </c>
      <c r="J546" s="133">
        <v>18</v>
      </c>
      <c r="K546" s="129">
        <v>13</v>
      </c>
      <c r="L546" s="129">
        <v>2</v>
      </c>
      <c r="M546" s="129" t="s">
        <v>664</v>
      </c>
      <c r="N546" s="129" t="s">
        <v>665</v>
      </c>
      <c r="O546" s="134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40"/>
    </row>
    <row r="547" spans="1:26" x14ac:dyDescent="0.25">
      <c r="A547" s="203">
        <f t="shared" si="11"/>
        <v>546</v>
      </c>
      <c r="B547" s="128"/>
      <c r="C547" s="274" t="s">
        <v>1338</v>
      </c>
      <c r="D547" s="264"/>
      <c r="E547" s="133"/>
      <c r="F547" s="141" t="s">
        <v>1339</v>
      </c>
      <c r="G547" s="142" t="s">
        <v>1190</v>
      </c>
      <c r="H547" s="133" t="s">
        <v>130</v>
      </c>
      <c r="I547" s="131" t="s">
        <v>131</v>
      </c>
      <c r="J547" s="133">
        <v>18</v>
      </c>
      <c r="K547" s="129">
        <v>14</v>
      </c>
      <c r="L547" s="129">
        <v>1</v>
      </c>
      <c r="M547" s="129" t="s">
        <v>82</v>
      </c>
      <c r="N547" s="129" t="s">
        <v>83</v>
      </c>
      <c r="O547" s="139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40"/>
    </row>
    <row r="548" spans="1:26" x14ac:dyDescent="0.25">
      <c r="A548" s="203">
        <f t="shared" si="11"/>
        <v>547</v>
      </c>
      <c r="B548" s="128" t="s">
        <v>1340</v>
      </c>
      <c r="C548" s="274" t="s">
        <v>1341</v>
      </c>
      <c r="D548" s="262" t="s">
        <v>1342</v>
      </c>
      <c r="E548" s="128" t="s">
        <v>1043</v>
      </c>
      <c r="F548" s="138" t="s">
        <v>1343</v>
      </c>
      <c r="G548" s="131" t="s">
        <v>1344</v>
      </c>
      <c r="H548" s="128" t="s">
        <v>29</v>
      </c>
      <c r="I548" s="132" t="s">
        <v>1023</v>
      </c>
      <c r="J548" s="133">
        <v>12</v>
      </c>
      <c r="K548" s="129">
        <v>9</v>
      </c>
      <c r="L548" s="129">
        <v>8</v>
      </c>
      <c r="M548" s="129" t="s">
        <v>82</v>
      </c>
      <c r="N548" s="129" t="s">
        <v>83</v>
      </c>
      <c r="O548" s="139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40"/>
    </row>
    <row r="549" spans="1:26" x14ac:dyDescent="0.25">
      <c r="A549" s="203">
        <f t="shared" si="11"/>
        <v>548</v>
      </c>
      <c r="B549" s="128" t="s">
        <v>1345</v>
      </c>
      <c r="C549" s="274" t="s">
        <v>1346</v>
      </c>
      <c r="D549" s="262" t="s">
        <v>1347</v>
      </c>
      <c r="E549" s="128" t="s">
        <v>1043</v>
      </c>
      <c r="F549" s="138" t="s">
        <v>1348</v>
      </c>
      <c r="G549" s="131" t="s">
        <v>1344</v>
      </c>
      <c r="H549" s="128" t="s">
        <v>29</v>
      </c>
      <c r="I549" s="132" t="s">
        <v>1023</v>
      </c>
      <c r="J549" s="133">
        <v>12</v>
      </c>
      <c r="K549" s="129">
        <v>9</v>
      </c>
      <c r="L549" s="129">
        <v>9</v>
      </c>
      <c r="M549" s="129" t="s">
        <v>82</v>
      </c>
      <c r="N549" s="129" t="s">
        <v>83</v>
      </c>
      <c r="O549" s="139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40"/>
    </row>
    <row r="550" spans="1:26" s="149" customFormat="1" x14ac:dyDescent="0.25">
      <c r="A550" s="203">
        <f t="shared" si="11"/>
        <v>549</v>
      </c>
      <c r="B550" s="128" t="s">
        <v>1349</v>
      </c>
      <c r="C550" s="274" t="s">
        <v>1350</v>
      </c>
      <c r="D550" s="262" t="s">
        <v>1351</v>
      </c>
      <c r="E550" s="128" t="s">
        <v>1213</v>
      </c>
      <c r="F550" s="138" t="s">
        <v>1352</v>
      </c>
      <c r="G550" s="131" t="s">
        <v>1344</v>
      </c>
      <c r="H550" s="128" t="s">
        <v>29</v>
      </c>
      <c r="I550" s="132" t="s">
        <v>127</v>
      </c>
      <c r="J550" s="133">
        <v>13</v>
      </c>
      <c r="K550" s="129">
        <v>9</v>
      </c>
      <c r="L550" s="129">
        <v>8</v>
      </c>
      <c r="M550" s="129" t="s">
        <v>82</v>
      </c>
      <c r="N550" s="129" t="s">
        <v>83</v>
      </c>
      <c r="O550" s="139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40"/>
    </row>
    <row r="551" spans="1:26" s="149" customFormat="1" x14ac:dyDescent="0.25">
      <c r="A551" s="203">
        <f t="shared" si="11"/>
        <v>550</v>
      </c>
      <c r="B551" s="128" t="s">
        <v>1353</v>
      </c>
      <c r="C551" s="274" t="s">
        <v>1354</v>
      </c>
      <c r="D551" s="262" t="s">
        <v>1355</v>
      </c>
      <c r="E551" s="128" t="s">
        <v>1213</v>
      </c>
      <c r="F551" s="138" t="s">
        <v>1356</v>
      </c>
      <c r="G551" s="131" t="s">
        <v>1344</v>
      </c>
      <c r="H551" s="128" t="s">
        <v>29</v>
      </c>
      <c r="I551" s="132" t="s">
        <v>127</v>
      </c>
      <c r="J551" s="133">
        <v>13</v>
      </c>
      <c r="K551" s="129">
        <v>9</v>
      </c>
      <c r="L551" s="129">
        <v>9</v>
      </c>
      <c r="M551" s="129" t="s">
        <v>82</v>
      </c>
      <c r="N551" s="129" t="s">
        <v>83</v>
      </c>
      <c r="O551" s="139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40"/>
    </row>
    <row r="552" spans="1:26" s="149" customFormat="1" x14ac:dyDescent="0.25">
      <c r="A552" s="203">
        <f t="shared" si="11"/>
        <v>551</v>
      </c>
      <c r="B552" s="128" t="s">
        <v>1357</v>
      </c>
      <c r="C552" s="274" t="s">
        <v>1357</v>
      </c>
      <c r="D552" s="262"/>
      <c r="E552" s="128"/>
      <c r="F552" s="141" t="s">
        <v>1358</v>
      </c>
      <c r="G552" s="131" t="s">
        <v>1359</v>
      </c>
      <c r="H552" s="128" t="s">
        <v>678</v>
      </c>
      <c r="I552" s="131" t="s">
        <v>131</v>
      </c>
      <c r="J552" s="133">
        <v>18</v>
      </c>
      <c r="K552" s="129">
        <v>1</v>
      </c>
      <c r="L552" s="129">
        <v>6</v>
      </c>
      <c r="M552" s="129" t="s">
        <v>31</v>
      </c>
      <c r="N552" s="129" t="s">
        <v>32</v>
      </c>
      <c r="O552" s="139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40"/>
    </row>
    <row r="553" spans="1:26" s="149" customFormat="1" x14ac:dyDescent="0.25">
      <c r="A553" s="203">
        <f t="shared" ref="A553:A616" si="12">ROW()-1</f>
        <v>552</v>
      </c>
      <c r="B553" s="128" t="s">
        <v>1360</v>
      </c>
      <c r="C553" s="274" t="s">
        <v>1360</v>
      </c>
      <c r="D553" s="262"/>
      <c r="E553" s="128"/>
      <c r="F553" s="141" t="s">
        <v>1361</v>
      </c>
      <c r="G553" s="131" t="s">
        <v>1359</v>
      </c>
      <c r="H553" s="128" t="s">
        <v>678</v>
      </c>
      <c r="I553" s="131" t="s">
        <v>131</v>
      </c>
      <c r="J553" s="133">
        <v>18</v>
      </c>
      <c r="K553" s="129">
        <v>1</v>
      </c>
      <c r="L553" s="129">
        <v>7</v>
      </c>
      <c r="M553" s="129" t="s">
        <v>31</v>
      </c>
      <c r="N553" s="129" t="s">
        <v>32</v>
      </c>
      <c r="O553" s="139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40"/>
    </row>
    <row r="554" spans="1:26" x14ac:dyDescent="0.25">
      <c r="A554" s="203">
        <f t="shared" si="12"/>
        <v>553</v>
      </c>
      <c r="B554" s="128" t="s">
        <v>1362</v>
      </c>
      <c r="C554" s="274" t="s">
        <v>1362</v>
      </c>
      <c r="D554" s="262"/>
      <c r="E554" s="128"/>
      <c r="F554" s="138" t="s">
        <v>1363</v>
      </c>
      <c r="G554" s="131" t="s">
        <v>1359</v>
      </c>
      <c r="H554" s="128" t="s">
        <v>678</v>
      </c>
      <c r="I554" s="131" t="s">
        <v>131</v>
      </c>
      <c r="J554" s="133">
        <v>18</v>
      </c>
      <c r="K554" s="129">
        <v>1</v>
      </c>
      <c r="L554" s="129">
        <v>8</v>
      </c>
      <c r="M554" s="129" t="s">
        <v>31</v>
      </c>
      <c r="N554" s="129" t="s">
        <v>32</v>
      </c>
      <c r="O554" s="139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40"/>
    </row>
    <row r="555" spans="1:26" x14ac:dyDescent="0.25">
      <c r="A555" s="203">
        <f t="shared" si="12"/>
        <v>554</v>
      </c>
      <c r="B555" s="128" t="s">
        <v>1364</v>
      </c>
      <c r="C555" s="274" t="s">
        <v>1364</v>
      </c>
      <c r="D555" s="262"/>
      <c r="E555" s="128"/>
      <c r="F555" s="138" t="s">
        <v>1365</v>
      </c>
      <c r="G555" s="131" t="s">
        <v>1359</v>
      </c>
      <c r="H555" s="128" t="s">
        <v>678</v>
      </c>
      <c r="I555" s="131" t="s">
        <v>131</v>
      </c>
      <c r="J555" s="133">
        <v>18</v>
      </c>
      <c r="K555" s="129">
        <v>1</v>
      </c>
      <c r="L555" s="129">
        <v>9</v>
      </c>
      <c r="M555" s="129" t="s">
        <v>31</v>
      </c>
      <c r="N555" s="129" t="s">
        <v>32</v>
      </c>
      <c r="O555" s="139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40"/>
    </row>
    <row r="556" spans="1:26" x14ac:dyDescent="0.25">
      <c r="A556" s="203">
        <f t="shared" si="12"/>
        <v>555</v>
      </c>
      <c r="B556" s="128" t="s">
        <v>1366</v>
      </c>
      <c r="C556" s="274" t="s">
        <v>1366</v>
      </c>
      <c r="D556" s="262"/>
      <c r="E556" s="128"/>
      <c r="F556" s="138" t="s">
        <v>1367</v>
      </c>
      <c r="G556" s="131" t="s">
        <v>1359</v>
      </c>
      <c r="H556" s="128" t="s">
        <v>678</v>
      </c>
      <c r="I556" s="131" t="s">
        <v>131</v>
      </c>
      <c r="J556" s="133">
        <v>18</v>
      </c>
      <c r="K556" s="129">
        <v>2</v>
      </c>
      <c r="L556" s="129">
        <v>6</v>
      </c>
      <c r="M556" s="129" t="s">
        <v>31</v>
      </c>
      <c r="N556" s="129" t="s">
        <v>32</v>
      </c>
      <c r="O556" s="139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40"/>
    </row>
    <row r="557" spans="1:26" x14ac:dyDescent="0.25">
      <c r="A557" s="203">
        <f t="shared" si="12"/>
        <v>556</v>
      </c>
      <c r="B557" s="128" t="s">
        <v>1368</v>
      </c>
      <c r="C557" s="274" t="s">
        <v>1368</v>
      </c>
      <c r="D557" s="262"/>
      <c r="E557" s="128"/>
      <c r="F557" s="138" t="s">
        <v>1369</v>
      </c>
      <c r="G557" s="131" t="s">
        <v>1359</v>
      </c>
      <c r="H557" s="128" t="s">
        <v>678</v>
      </c>
      <c r="I557" s="131" t="s">
        <v>131</v>
      </c>
      <c r="J557" s="133">
        <v>18</v>
      </c>
      <c r="K557" s="129">
        <v>2</v>
      </c>
      <c r="L557" s="129">
        <v>7</v>
      </c>
      <c r="M557" s="129" t="s">
        <v>31</v>
      </c>
      <c r="N557" s="129" t="s">
        <v>32</v>
      </c>
      <c r="O557" s="139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40"/>
    </row>
    <row r="558" spans="1:26" x14ac:dyDescent="0.25">
      <c r="A558" s="203">
        <f t="shared" si="12"/>
        <v>557</v>
      </c>
      <c r="B558" s="128" t="s">
        <v>1370</v>
      </c>
      <c r="C558" s="274" t="s">
        <v>1370</v>
      </c>
      <c r="D558" s="262"/>
      <c r="E558" s="128"/>
      <c r="F558" s="138" t="s">
        <v>1371</v>
      </c>
      <c r="G558" s="131" t="s">
        <v>1359</v>
      </c>
      <c r="H558" s="128" t="s">
        <v>678</v>
      </c>
      <c r="I558" s="131" t="s">
        <v>131</v>
      </c>
      <c r="J558" s="133">
        <v>18</v>
      </c>
      <c r="K558" s="129">
        <v>3</v>
      </c>
      <c r="L558" s="129">
        <v>3</v>
      </c>
      <c r="M558" s="129" t="s">
        <v>82</v>
      </c>
      <c r="N558" s="129" t="s">
        <v>83</v>
      </c>
      <c r="O558" s="139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40"/>
    </row>
    <row r="559" spans="1:26" x14ac:dyDescent="0.25">
      <c r="A559" s="203">
        <f t="shared" si="12"/>
        <v>558</v>
      </c>
      <c r="B559" s="128" t="s">
        <v>1372</v>
      </c>
      <c r="C559" s="274" t="s">
        <v>1372</v>
      </c>
      <c r="D559" s="262"/>
      <c r="E559" s="128"/>
      <c r="F559" s="138" t="s">
        <v>1373</v>
      </c>
      <c r="G559" s="131" t="s">
        <v>1359</v>
      </c>
      <c r="H559" s="128" t="s">
        <v>678</v>
      </c>
      <c r="I559" s="131" t="s">
        <v>131</v>
      </c>
      <c r="J559" s="133">
        <v>18</v>
      </c>
      <c r="K559" s="129">
        <v>4</v>
      </c>
      <c r="L559" s="129">
        <v>3</v>
      </c>
      <c r="M559" s="129" t="s">
        <v>82</v>
      </c>
      <c r="N559" s="129" t="s">
        <v>83</v>
      </c>
      <c r="O559" s="139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40"/>
    </row>
    <row r="560" spans="1:26" x14ac:dyDescent="0.25">
      <c r="A560" s="203">
        <f t="shared" si="12"/>
        <v>559</v>
      </c>
      <c r="B560" s="128" t="s">
        <v>1374</v>
      </c>
      <c r="C560" s="274" t="s">
        <v>1374</v>
      </c>
      <c r="D560" s="262" t="s">
        <v>1375</v>
      </c>
      <c r="E560" s="128"/>
      <c r="F560" s="138" t="s">
        <v>1376</v>
      </c>
      <c r="G560" s="131" t="s">
        <v>1377</v>
      </c>
      <c r="H560" s="128" t="s">
        <v>136</v>
      </c>
      <c r="I560" s="132" t="s">
        <v>137</v>
      </c>
      <c r="J560" s="133">
        <v>14</v>
      </c>
      <c r="K560" s="129">
        <v>1</v>
      </c>
      <c r="L560" s="129">
        <v>0</v>
      </c>
      <c r="M560" s="129" t="s">
        <v>138</v>
      </c>
      <c r="N560" s="129" t="s">
        <v>139</v>
      </c>
      <c r="O560" s="139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40"/>
    </row>
    <row r="561" spans="1:26" x14ac:dyDescent="0.25">
      <c r="A561" s="203">
        <f t="shared" si="12"/>
        <v>560</v>
      </c>
      <c r="B561" s="128" t="s">
        <v>1374</v>
      </c>
      <c r="C561" s="274" t="s">
        <v>1374</v>
      </c>
      <c r="D561" s="262" t="s">
        <v>1375</v>
      </c>
      <c r="E561" s="128"/>
      <c r="F561" s="138" t="s">
        <v>1378</v>
      </c>
      <c r="G561" s="131" t="s">
        <v>1377</v>
      </c>
      <c r="H561" s="128" t="s">
        <v>136</v>
      </c>
      <c r="I561" s="132" t="s">
        <v>137</v>
      </c>
      <c r="J561" s="133">
        <v>14</v>
      </c>
      <c r="K561" s="129">
        <v>1</v>
      </c>
      <c r="L561" s="129">
        <v>1</v>
      </c>
      <c r="M561" s="129" t="s">
        <v>138</v>
      </c>
      <c r="N561" s="129" t="s">
        <v>139</v>
      </c>
      <c r="O561" s="139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40"/>
    </row>
    <row r="562" spans="1:26" x14ac:dyDescent="0.25">
      <c r="A562" s="203">
        <f t="shared" si="12"/>
        <v>561</v>
      </c>
      <c r="B562" s="128" t="s">
        <v>1379</v>
      </c>
      <c r="C562" s="274" t="s">
        <v>1379</v>
      </c>
      <c r="D562" s="262" t="s">
        <v>1380</v>
      </c>
      <c r="E562" s="128"/>
      <c r="F562" s="138" t="s">
        <v>1381</v>
      </c>
      <c r="G562" s="131" t="s">
        <v>1377</v>
      </c>
      <c r="H562" s="128" t="s">
        <v>136</v>
      </c>
      <c r="I562" s="132" t="s">
        <v>137</v>
      </c>
      <c r="J562" s="133">
        <v>14</v>
      </c>
      <c r="K562" s="129">
        <v>1</v>
      </c>
      <c r="L562" s="129">
        <v>2</v>
      </c>
      <c r="M562" s="129" t="s">
        <v>138</v>
      </c>
      <c r="N562" s="129" t="s">
        <v>139</v>
      </c>
      <c r="O562" s="139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40"/>
    </row>
    <row r="563" spans="1:26" x14ac:dyDescent="0.25">
      <c r="A563" s="203">
        <f t="shared" si="12"/>
        <v>562</v>
      </c>
      <c r="B563" s="128" t="s">
        <v>1379</v>
      </c>
      <c r="C563" s="274" t="s">
        <v>1379</v>
      </c>
      <c r="D563" s="262" t="s">
        <v>1380</v>
      </c>
      <c r="E563" s="128"/>
      <c r="F563" s="138" t="s">
        <v>1382</v>
      </c>
      <c r="G563" s="131" t="s">
        <v>1377</v>
      </c>
      <c r="H563" s="128" t="s">
        <v>136</v>
      </c>
      <c r="I563" s="132" t="s">
        <v>137</v>
      </c>
      <c r="J563" s="133">
        <v>14</v>
      </c>
      <c r="K563" s="129">
        <v>1</v>
      </c>
      <c r="L563" s="129">
        <v>3</v>
      </c>
      <c r="M563" s="129" t="s">
        <v>138</v>
      </c>
      <c r="N563" s="129" t="s">
        <v>139</v>
      </c>
      <c r="O563" s="139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40"/>
    </row>
    <row r="564" spans="1:26" x14ac:dyDescent="0.25">
      <c r="A564" s="203">
        <f t="shared" si="12"/>
        <v>563</v>
      </c>
      <c r="B564" s="128" t="s">
        <v>1383</v>
      </c>
      <c r="C564" s="274" t="s">
        <v>1383</v>
      </c>
      <c r="D564" s="262" t="s">
        <v>1384</v>
      </c>
      <c r="E564" s="128" t="s">
        <v>1385</v>
      </c>
      <c r="F564" s="138" t="s">
        <v>1386</v>
      </c>
      <c r="G564" s="131" t="s">
        <v>1377</v>
      </c>
      <c r="H564" s="128" t="s">
        <v>136</v>
      </c>
      <c r="I564" s="132" t="s">
        <v>137</v>
      </c>
      <c r="J564" s="133">
        <v>14</v>
      </c>
      <c r="K564" s="129">
        <v>1</v>
      </c>
      <c r="L564" s="129">
        <v>4</v>
      </c>
      <c r="M564" s="129" t="s">
        <v>138</v>
      </c>
      <c r="N564" s="129" t="s">
        <v>139</v>
      </c>
      <c r="O564" s="139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40"/>
    </row>
    <row r="565" spans="1:26" x14ac:dyDescent="0.25">
      <c r="A565" s="203">
        <f t="shared" si="12"/>
        <v>564</v>
      </c>
      <c r="B565" s="128" t="s">
        <v>1383</v>
      </c>
      <c r="C565" s="274" t="s">
        <v>1383</v>
      </c>
      <c r="D565" s="262" t="s">
        <v>1384</v>
      </c>
      <c r="E565" s="128" t="s">
        <v>1385</v>
      </c>
      <c r="F565" s="138" t="s">
        <v>1386</v>
      </c>
      <c r="G565" s="131" t="s">
        <v>1377</v>
      </c>
      <c r="H565" s="128" t="s">
        <v>136</v>
      </c>
      <c r="I565" s="132" t="s">
        <v>137</v>
      </c>
      <c r="J565" s="133">
        <v>14</v>
      </c>
      <c r="K565" s="129">
        <v>1</v>
      </c>
      <c r="L565" s="129">
        <v>5</v>
      </c>
      <c r="M565" s="129" t="s">
        <v>138</v>
      </c>
      <c r="N565" s="129" t="s">
        <v>139</v>
      </c>
      <c r="O565" s="139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40"/>
    </row>
    <row r="566" spans="1:26" x14ac:dyDescent="0.25">
      <c r="A566" s="203">
        <f t="shared" si="12"/>
        <v>565</v>
      </c>
      <c r="B566" s="128" t="s">
        <v>1387</v>
      </c>
      <c r="C566" s="274" t="s">
        <v>1387</v>
      </c>
      <c r="D566" s="262" t="s">
        <v>1388</v>
      </c>
      <c r="E566" s="128" t="s">
        <v>143</v>
      </c>
      <c r="F566" s="138" t="s">
        <v>1389</v>
      </c>
      <c r="G566" s="131" t="s">
        <v>1377</v>
      </c>
      <c r="H566" s="128" t="s">
        <v>136</v>
      </c>
      <c r="I566" s="132" t="s">
        <v>137</v>
      </c>
      <c r="J566" s="133">
        <v>14</v>
      </c>
      <c r="K566" s="129">
        <v>2</v>
      </c>
      <c r="L566" s="129">
        <v>2</v>
      </c>
      <c r="M566" s="129" t="s">
        <v>138</v>
      </c>
      <c r="N566" s="129" t="s">
        <v>139</v>
      </c>
      <c r="O566" s="139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40"/>
    </row>
    <row r="567" spans="1:26" x14ac:dyDescent="0.25">
      <c r="A567" s="203">
        <f t="shared" si="12"/>
        <v>566</v>
      </c>
      <c r="B567" s="128" t="s">
        <v>1390</v>
      </c>
      <c r="C567" s="274" t="s">
        <v>1390</v>
      </c>
      <c r="D567" s="262" t="s">
        <v>1388</v>
      </c>
      <c r="E567" s="128" t="s">
        <v>143</v>
      </c>
      <c r="F567" s="138" t="s">
        <v>1391</v>
      </c>
      <c r="G567" s="131" t="s">
        <v>1377</v>
      </c>
      <c r="H567" s="128" t="s">
        <v>136</v>
      </c>
      <c r="I567" s="132" t="s">
        <v>137</v>
      </c>
      <c r="J567" s="133">
        <v>14</v>
      </c>
      <c r="K567" s="129">
        <v>2</v>
      </c>
      <c r="L567" s="129">
        <v>3</v>
      </c>
      <c r="M567" s="129" t="s">
        <v>138</v>
      </c>
      <c r="N567" s="129" t="s">
        <v>139</v>
      </c>
      <c r="O567" s="139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40"/>
    </row>
    <row r="568" spans="1:26" s="149" customFormat="1" x14ac:dyDescent="0.25">
      <c r="A568" s="203">
        <f t="shared" si="12"/>
        <v>567</v>
      </c>
      <c r="B568" s="128" t="s">
        <v>1392</v>
      </c>
      <c r="C568" s="274" t="s">
        <v>1392</v>
      </c>
      <c r="D568" s="262" t="s">
        <v>1393</v>
      </c>
      <c r="E568" s="128" t="s">
        <v>143</v>
      </c>
      <c r="F568" s="138" t="s">
        <v>1394</v>
      </c>
      <c r="G568" s="131" t="s">
        <v>1377</v>
      </c>
      <c r="H568" s="128" t="s">
        <v>136</v>
      </c>
      <c r="I568" s="132" t="s">
        <v>137</v>
      </c>
      <c r="J568" s="133">
        <v>14</v>
      </c>
      <c r="K568" s="129">
        <v>3</v>
      </c>
      <c r="L568" s="129">
        <v>0</v>
      </c>
      <c r="M568" s="129" t="s">
        <v>944</v>
      </c>
      <c r="N568" s="129" t="s">
        <v>945</v>
      </c>
      <c r="O568" s="139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40"/>
    </row>
    <row r="569" spans="1:26" s="149" customFormat="1" x14ac:dyDescent="0.25">
      <c r="A569" s="203">
        <f t="shared" si="12"/>
        <v>568</v>
      </c>
      <c r="B569" s="128" t="s">
        <v>1395</v>
      </c>
      <c r="C569" s="274" t="s">
        <v>1395</v>
      </c>
      <c r="D569" s="262" t="s">
        <v>1396</v>
      </c>
      <c r="E569" s="128" t="s">
        <v>143</v>
      </c>
      <c r="F569" s="138" t="s">
        <v>1397</v>
      </c>
      <c r="G569" s="131" t="s">
        <v>1377</v>
      </c>
      <c r="H569" s="128" t="s">
        <v>136</v>
      </c>
      <c r="I569" s="132" t="s">
        <v>137</v>
      </c>
      <c r="J569" s="133">
        <v>14</v>
      </c>
      <c r="K569" s="129">
        <v>3</v>
      </c>
      <c r="L569" s="129">
        <v>1</v>
      </c>
      <c r="M569" s="129" t="s">
        <v>944</v>
      </c>
      <c r="N569" s="129" t="s">
        <v>945</v>
      </c>
      <c r="O569" s="139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40"/>
    </row>
    <row r="570" spans="1:26" x14ac:dyDescent="0.25">
      <c r="A570" s="203">
        <f t="shared" si="12"/>
        <v>569</v>
      </c>
      <c r="B570" s="128" t="s">
        <v>1398</v>
      </c>
      <c r="C570" s="274" t="s">
        <v>1398</v>
      </c>
      <c r="D570" s="262" t="s">
        <v>1399</v>
      </c>
      <c r="E570" s="128"/>
      <c r="F570" s="138" t="s">
        <v>1400</v>
      </c>
      <c r="G570" s="131" t="s">
        <v>1377</v>
      </c>
      <c r="H570" s="128" t="s">
        <v>136</v>
      </c>
      <c r="I570" s="132" t="s">
        <v>137</v>
      </c>
      <c r="J570" s="133">
        <v>14</v>
      </c>
      <c r="K570" s="129">
        <v>4</v>
      </c>
      <c r="L570" s="129">
        <v>0</v>
      </c>
      <c r="M570" s="129" t="s">
        <v>31</v>
      </c>
      <c r="N570" s="129" t="s">
        <v>32</v>
      </c>
      <c r="O570" s="139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40"/>
    </row>
    <row r="571" spans="1:26" x14ac:dyDescent="0.25">
      <c r="A571" s="203">
        <f t="shared" si="12"/>
        <v>570</v>
      </c>
      <c r="B571" s="128" t="s">
        <v>1401</v>
      </c>
      <c r="C571" s="274" t="s">
        <v>1401</v>
      </c>
      <c r="D571" s="262" t="s">
        <v>1402</v>
      </c>
      <c r="E571" s="128"/>
      <c r="F571" s="138" t="s">
        <v>1403</v>
      </c>
      <c r="G571" s="131" t="s">
        <v>1377</v>
      </c>
      <c r="H571" s="128" t="s">
        <v>136</v>
      </c>
      <c r="I571" s="132" t="s">
        <v>137</v>
      </c>
      <c r="J571" s="133">
        <v>14</v>
      </c>
      <c r="K571" s="129">
        <v>4</v>
      </c>
      <c r="L571" s="129">
        <v>1</v>
      </c>
      <c r="M571" s="129" t="s">
        <v>31</v>
      </c>
      <c r="N571" s="129" t="s">
        <v>32</v>
      </c>
      <c r="O571" s="139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40"/>
    </row>
    <row r="572" spans="1:26" x14ac:dyDescent="0.25">
      <c r="A572" s="203">
        <f t="shared" si="12"/>
        <v>571</v>
      </c>
      <c r="B572" s="128"/>
      <c r="C572" s="263" t="s">
        <v>1404</v>
      </c>
      <c r="D572" s="264" t="s">
        <v>1405</v>
      </c>
      <c r="E572" s="133" t="s">
        <v>1385</v>
      </c>
      <c r="F572" s="141" t="s">
        <v>1406</v>
      </c>
      <c r="G572" s="142" t="s">
        <v>1377</v>
      </c>
      <c r="H572" s="133" t="s">
        <v>136</v>
      </c>
      <c r="I572" s="132" t="s">
        <v>137</v>
      </c>
      <c r="J572" s="133">
        <v>14</v>
      </c>
      <c r="K572" s="129">
        <v>4</v>
      </c>
      <c r="L572" s="129">
        <v>6</v>
      </c>
      <c r="M572" s="129" t="s">
        <v>31</v>
      </c>
      <c r="N572" s="129" t="s">
        <v>32</v>
      </c>
      <c r="O572" s="139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40"/>
    </row>
    <row r="573" spans="1:26" x14ac:dyDescent="0.25">
      <c r="A573" s="203">
        <f t="shared" si="12"/>
        <v>572</v>
      </c>
      <c r="B573" s="128"/>
      <c r="C573" s="263" t="s">
        <v>1407</v>
      </c>
      <c r="D573" s="264" t="s">
        <v>1405</v>
      </c>
      <c r="E573" s="133" t="s">
        <v>1385</v>
      </c>
      <c r="F573" s="141" t="s">
        <v>1408</v>
      </c>
      <c r="G573" s="142" t="s">
        <v>1377</v>
      </c>
      <c r="H573" s="133" t="s">
        <v>136</v>
      </c>
      <c r="I573" s="132" t="s">
        <v>137</v>
      </c>
      <c r="J573" s="133">
        <v>14</v>
      </c>
      <c r="K573" s="129">
        <v>4</v>
      </c>
      <c r="L573" s="129">
        <v>7</v>
      </c>
      <c r="M573" s="129" t="s">
        <v>31</v>
      </c>
      <c r="N573" s="129" t="s">
        <v>32</v>
      </c>
      <c r="O573" s="139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40"/>
    </row>
    <row r="574" spans="1:26" x14ac:dyDescent="0.25">
      <c r="A574" s="203">
        <f t="shared" si="12"/>
        <v>573</v>
      </c>
      <c r="B574" s="128" t="s">
        <v>1404</v>
      </c>
      <c r="C574" s="274" t="s">
        <v>1409</v>
      </c>
      <c r="D574" s="264" t="s">
        <v>1410</v>
      </c>
      <c r="E574" s="133" t="s">
        <v>1385</v>
      </c>
      <c r="F574" s="141" t="s">
        <v>1411</v>
      </c>
      <c r="G574" s="142" t="s">
        <v>1377</v>
      </c>
      <c r="H574" s="133" t="s">
        <v>136</v>
      </c>
      <c r="I574" s="132" t="s">
        <v>137</v>
      </c>
      <c r="J574" s="133">
        <v>14</v>
      </c>
      <c r="K574" s="129">
        <v>4</v>
      </c>
      <c r="L574" s="129">
        <v>8</v>
      </c>
      <c r="M574" s="129" t="s">
        <v>31</v>
      </c>
      <c r="N574" s="129" t="s">
        <v>32</v>
      </c>
      <c r="O574" s="139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40"/>
    </row>
    <row r="575" spans="1:26" x14ac:dyDescent="0.25">
      <c r="A575" s="203">
        <f t="shared" si="12"/>
        <v>574</v>
      </c>
      <c r="B575" s="133" t="s">
        <v>1398</v>
      </c>
      <c r="C575" s="274" t="s">
        <v>1412</v>
      </c>
      <c r="D575" s="264"/>
      <c r="E575" s="133"/>
      <c r="F575" s="141" t="s">
        <v>1413</v>
      </c>
      <c r="G575" s="142" t="s">
        <v>1377</v>
      </c>
      <c r="H575" s="133" t="s">
        <v>136</v>
      </c>
      <c r="I575" s="142" t="s">
        <v>137</v>
      </c>
      <c r="J575" s="133">
        <v>14</v>
      </c>
      <c r="K575" s="133">
        <v>5</v>
      </c>
      <c r="L575" s="133">
        <v>0</v>
      </c>
      <c r="M575" s="133" t="s">
        <v>31</v>
      </c>
      <c r="N575" s="133" t="s">
        <v>32</v>
      </c>
      <c r="O575" s="139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40"/>
    </row>
    <row r="576" spans="1:26" x14ac:dyDescent="0.25">
      <c r="A576" s="203">
        <f t="shared" si="12"/>
        <v>575</v>
      </c>
      <c r="B576" s="133" t="s">
        <v>1401</v>
      </c>
      <c r="C576" s="274" t="s">
        <v>1414</v>
      </c>
      <c r="D576" s="264"/>
      <c r="E576" s="133"/>
      <c r="F576" s="141" t="s">
        <v>1415</v>
      </c>
      <c r="G576" s="142" t="s">
        <v>1377</v>
      </c>
      <c r="H576" s="133" t="s">
        <v>136</v>
      </c>
      <c r="I576" s="142" t="s">
        <v>137</v>
      </c>
      <c r="J576" s="133">
        <v>14</v>
      </c>
      <c r="K576" s="133">
        <v>5</v>
      </c>
      <c r="L576" s="133">
        <v>1</v>
      </c>
      <c r="M576" s="133" t="s">
        <v>31</v>
      </c>
      <c r="N576" s="133" t="s">
        <v>32</v>
      </c>
      <c r="O576" s="139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40"/>
    </row>
    <row r="577" spans="1:26" x14ac:dyDescent="0.25">
      <c r="A577" s="203">
        <f t="shared" si="12"/>
        <v>576</v>
      </c>
      <c r="B577" s="133" t="s">
        <v>141</v>
      </c>
      <c r="C577" s="274" t="s">
        <v>1416</v>
      </c>
      <c r="D577" s="264"/>
      <c r="E577" s="133"/>
      <c r="F577" s="141" t="s">
        <v>1417</v>
      </c>
      <c r="G577" s="142" t="s">
        <v>1377</v>
      </c>
      <c r="H577" s="133" t="s">
        <v>136</v>
      </c>
      <c r="I577" s="142" t="s">
        <v>137</v>
      </c>
      <c r="J577" s="133">
        <v>14</v>
      </c>
      <c r="K577" s="133">
        <v>5</v>
      </c>
      <c r="L577" s="133">
        <v>2</v>
      </c>
      <c r="M577" s="133" t="s">
        <v>31</v>
      </c>
      <c r="N577" s="133" t="s">
        <v>32</v>
      </c>
      <c r="O577" s="139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40"/>
    </row>
    <row r="578" spans="1:26" x14ac:dyDescent="0.25">
      <c r="A578" s="203">
        <f t="shared" si="12"/>
        <v>577</v>
      </c>
      <c r="B578" s="133" t="s">
        <v>1418</v>
      </c>
      <c r="C578" s="274" t="s">
        <v>1419</v>
      </c>
      <c r="D578" s="264"/>
      <c r="E578" s="133"/>
      <c r="F578" s="141" t="s">
        <v>1420</v>
      </c>
      <c r="G578" s="142" t="s">
        <v>1377</v>
      </c>
      <c r="H578" s="133" t="s">
        <v>136</v>
      </c>
      <c r="I578" s="142" t="s">
        <v>137</v>
      </c>
      <c r="J578" s="133">
        <v>14</v>
      </c>
      <c r="K578" s="133">
        <v>5</v>
      </c>
      <c r="L578" s="133">
        <v>3</v>
      </c>
      <c r="M578" s="133" t="s">
        <v>31</v>
      </c>
      <c r="N578" s="133" t="s">
        <v>32</v>
      </c>
      <c r="O578" s="139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40"/>
    </row>
    <row r="579" spans="1:26" x14ac:dyDescent="0.25">
      <c r="A579" s="203">
        <f t="shared" si="12"/>
        <v>578</v>
      </c>
      <c r="B579" s="133" t="s">
        <v>1421</v>
      </c>
      <c r="C579" s="274" t="s">
        <v>1422</v>
      </c>
      <c r="D579" s="264"/>
      <c r="E579" s="133"/>
      <c r="F579" s="141" t="s">
        <v>1423</v>
      </c>
      <c r="G579" s="142" t="s">
        <v>1377</v>
      </c>
      <c r="H579" s="133" t="s">
        <v>136</v>
      </c>
      <c r="I579" s="142" t="s">
        <v>137</v>
      </c>
      <c r="J579" s="133">
        <v>14</v>
      </c>
      <c r="K579" s="133">
        <v>5</v>
      </c>
      <c r="L579" s="133">
        <v>4</v>
      </c>
      <c r="M579" s="133" t="s">
        <v>31</v>
      </c>
      <c r="N579" s="133" t="s">
        <v>32</v>
      </c>
      <c r="O579" s="139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40"/>
    </row>
    <row r="580" spans="1:26" x14ac:dyDescent="0.25">
      <c r="A580" s="203">
        <f t="shared" si="12"/>
        <v>579</v>
      </c>
      <c r="B580" s="133"/>
      <c r="C580" s="274" t="s">
        <v>1424</v>
      </c>
      <c r="D580" s="264"/>
      <c r="E580" s="133"/>
      <c r="F580" s="141" t="s">
        <v>1413</v>
      </c>
      <c r="G580" s="142" t="s">
        <v>1377</v>
      </c>
      <c r="H580" s="133" t="s">
        <v>136</v>
      </c>
      <c r="I580" s="142" t="s">
        <v>137</v>
      </c>
      <c r="J580" s="133">
        <v>14</v>
      </c>
      <c r="K580" s="133">
        <v>5</v>
      </c>
      <c r="L580" s="133">
        <v>5</v>
      </c>
      <c r="M580" s="133" t="s">
        <v>31</v>
      </c>
      <c r="N580" s="133" t="s">
        <v>32</v>
      </c>
      <c r="O580" s="139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40"/>
    </row>
    <row r="581" spans="1:26" x14ac:dyDescent="0.25">
      <c r="A581" s="203">
        <f t="shared" si="12"/>
        <v>580</v>
      </c>
      <c r="B581" s="133"/>
      <c r="C581" s="274" t="s">
        <v>1425</v>
      </c>
      <c r="D581" s="264"/>
      <c r="E581" s="133"/>
      <c r="F581" s="141" t="s">
        <v>1426</v>
      </c>
      <c r="G581" s="142" t="s">
        <v>1377</v>
      </c>
      <c r="H581" s="133" t="s">
        <v>136</v>
      </c>
      <c r="I581" s="142" t="s">
        <v>137</v>
      </c>
      <c r="J581" s="133">
        <v>14</v>
      </c>
      <c r="K581" s="133">
        <v>5</v>
      </c>
      <c r="L581" s="133">
        <v>6</v>
      </c>
      <c r="M581" s="133" t="s">
        <v>31</v>
      </c>
      <c r="N581" s="133" t="s">
        <v>32</v>
      </c>
      <c r="O581" s="139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40"/>
    </row>
    <row r="582" spans="1:26" x14ac:dyDescent="0.25">
      <c r="A582" s="203">
        <f t="shared" si="12"/>
        <v>581</v>
      </c>
      <c r="B582" s="133"/>
      <c r="C582" s="274" t="s">
        <v>1427</v>
      </c>
      <c r="D582" s="264"/>
      <c r="E582" s="133"/>
      <c r="F582" s="141" t="s">
        <v>1428</v>
      </c>
      <c r="G582" s="142" t="s">
        <v>1377</v>
      </c>
      <c r="H582" s="133" t="s">
        <v>136</v>
      </c>
      <c r="I582" s="142" t="s">
        <v>137</v>
      </c>
      <c r="J582" s="133">
        <v>14</v>
      </c>
      <c r="K582" s="133">
        <v>5</v>
      </c>
      <c r="L582" s="133">
        <v>7</v>
      </c>
      <c r="M582" s="133" t="s">
        <v>31</v>
      </c>
      <c r="N582" s="133" t="s">
        <v>32</v>
      </c>
      <c r="O582" s="139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40"/>
    </row>
    <row r="583" spans="1:26" x14ac:dyDescent="0.25">
      <c r="A583" s="203">
        <f t="shared" si="12"/>
        <v>582</v>
      </c>
      <c r="B583" s="133" t="s">
        <v>1404</v>
      </c>
      <c r="C583" s="274" t="s">
        <v>1429</v>
      </c>
      <c r="D583" s="264"/>
      <c r="E583" s="133"/>
      <c r="F583" s="141" t="s">
        <v>1430</v>
      </c>
      <c r="G583" s="142" t="s">
        <v>1377</v>
      </c>
      <c r="H583" s="133" t="s">
        <v>136</v>
      </c>
      <c r="I583" s="142" t="s">
        <v>137</v>
      </c>
      <c r="J583" s="133">
        <v>14</v>
      </c>
      <c r="K583" s="133">
        <v>5</v>
      </c>
      <c r="L583" s="133">
        <v>8</v>
      </c>
      <c r="M583" s="133" t="s">
        <v>31</v>
      </c>
      <c r="N583" s="133" t="s">
        <v>32</v>
      </c>
      <c r="O583" s="139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40"/>
    </row>
    <row r="584" spans="1:26" s="149" customFormat="1" x14ac:dyDescent="0.25">
      <c r="A584" s="203">
        <f t="shared" si="12"/>
        <v>583</v>
      </c>
      <c r="B584" s="133" t="s">
        <v>1407</v>
      </c>
      <c r="C584" s="274" t="s">
        <v>1431</v>
      </c>
      <c r="D584" s="264"/>
      <c r="E584" s="133"/>
      <c r="F584" s="141" t="s">
        <v>1432</v>
      </c>
      <c r="G584" s="142" t="s">
        <v>1377</v>
      </c>
      <c r="H584" s="133" t="s">
        <v>136</v>
      </c>
      <c r="I584" s="142" t="s">
        <v>137</v>
      </c>
      <c r="J584" s="133">
        <v>14</v>
      </c>
      <c r="K584" s="133">
        <v>5</v>
      </c>
      <c r="L584" s="133">
        <v>9</v>
      </c>
      <c r="M584" s="133" t="s">
        <v>31</v>
      </c>
      <c r="N584" s="133" t="s">
        <v>32</v>
      </c>
      <c r="O584" s="139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40"/>
    </row>
    <row r="585" spans="1:26" s="149" customFormat="1" x14ac:dyDescent="0.25">
      <c r="A585" s="203">
        <f t="shared" si="12"/>
        <v>584</v>
      </c>
      <c r="B585" s="128" t="s">
        <v>1433</v>
      </c>
      <c r="C585" s="263" t="s">
        <v>1433</v>
      </c>
      <c r="D585" s="262" t="s">
        <v>1384</v>
      </c>
      <c r="E585" s="128" t="s">
        <v>1385</v>
      </c>
      <c r="F585" s="138" t="s">
        <v>1434</v>
      </c>
      <c r="G585" s="131" t="s">
        <v>1377</v>
      </c>
      <c r="H585" s="128" t="s">
        <v>136</v>
      </c>
      <c r="I585" s="132" t="s">
        <v>137</v>
      </c>
      <c r="J585" s="133">
        <v>14</v>
      </c>
      <c r="K585" s="129">
        <v>7</v>
      </c>
      <c r="L585" s="129">
        <v>0</v>
      </c>
      <c r="M585" s="129" t="s">
        <v>82</v>
      </c>
      <c r="N585" s="129" t="s">
        <v>83</v>
      </c>
      <c r="O585" s="139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40"/>
    </row>
    <row r="586" spans="1:26" s="149" customFormat="1" x14ac:dyDescent="0.25">
      <c r="A586" s="203">
        <f t="shared" si="12"/>
        <v>585</v>
      </c>
      <c r="B586" s="128" t="s">
        <v>1435</v>
      </c>
      <c r="C586" s="274" t="s">
        <v>1436</v>
      </c>
      <c r="D586" s="262" t="s">
        <v>1437</v>
      </c>
      <c r="E586" s="128" t="s">
        <v>143</v>
      </c>
      <c r="F586" s="138" t="s">
        <v>1438</v>
      </c>
      <c r="G586" s="131" t="s">
        <v>1377</v>
      </c>
      <c r="H586" s="128" t="s">
        <v>136</v>
      </c>
      <c r="I586" s="132" t="s">
        <v>137</v>
      </c>
      <c r="J586" s="133">
        <v>14</v>
      </c>
      <c r="K586" s="129">
        <v>7</v>
      </c>
      <c r="L586" s="129">
        <v>2</v>
      </c>
      <c r="M586" s="129" t="s">
        <v>82</v>
      </c>
      <c r="N586" s="129" t="s">
        <v>83</v>
      </c>
      <c r="O586" s="139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40"/>
    </row>
    <row r="587" spans="1:26" s="149" customFormat="1" x14ac:dyDescent="0.25">
      <c r="A587" s="203">
        <f t="shared" si="12"/>
        <v>586</v>
      </c>
      <c r="B587" s="128" t="s">
        <v>1435</v>
      </c>
      <c r="C587" s="274" t="s">
        <v>1439</v>
      </c>
      <c r="D587" s="262" t="s">
        <v>1437</v>
      </c>
      <c r="E587" s="128" t="s">
        <v>143</v>
      </c>
      <c r="F587" s="138" t="s">
        <v>1440</v>
      </c>
      <c r="G587" s="131" t="s">
        <v>1377</v>
      </c>
      <c r="H587" s="128" t="s">
        <v>136</v>
      </c>
      <c r="I587" s="132" t="s">
        <v>137</v>
      </c>
      <c r="J587" s="133">
        <v>14</v>
      </c>
      <c r="K587" s="129">
        <v>7</v>
      </c>
      <c r="L587" s="129">
        <v>3</v>
      </c>
      <c r="M587" s="129" t="s">
        <v>82</v>
      </c>
      <c r="N587" s="129" t="s">
        <v>83</v>
      </c>
      <c r="O587" s="139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40"/>
    </row>
    <row r="588" spans="1:26" s="149" customFormat="1" x14ac:dyDescent="0.25">
      <c r="A588" s="203">
        <f t="shared" si="12"/>
        <v>587</v>
      </c>
      <c r="B588" s="128"/>
      <c r="C588" s="275" t="s">
        <v>1441</v>
      </c>
      <c r="D588" s="262"/>
      <c r="E588" s="128"/>
      <c r="F588" s="141" t="s">
        <v>1413</v>
      </c>
      <c r="G588" s="142" t="s">
        <v>1377</v>
      </c>
      <c r="H588" s="133" t="s">
        <v>136</v>
      </c>
      <c r="I588" s="132" t="s">
        <v>137</v>
      </c>
      <c r="J588" s="133">
        <v>14</v>
      </c>
      <c r="K588" s="129">
        <v>7</v>
      </c>
      <c r="L588" s="129">
        <v>4</v>
      </c>
      <c r="M588" s="129" t="s">
        <v>82</v>
      </c>
      <c r="N588" s="129" t="s">
        <v>83</v>
      </c>
      <c r="O588" s="139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40"/>
    </row>
    <row r="589" spans="1:26" s="149" customFormat="1" x14ac:dyDescent="0.25">
      <c r="A589" s="203">
        <f t="shared" si="12"/>
        <v>588</v>
      </c>
      <c r="B589" s="128"/>
      <c r="C589" s="275" t="s">
        <v>1442</v>
      </c>
      <c r="D589" s="262"/>
      <c r="E589" s="128"/>
      <c r="F589" s="141" t="s">
        <v>1417</v>
      </c>
      <c r="G589" s="142" t="s">
        <v>1377</v>
      </c>
      <c r="H589" s="133" t="s">
        <v>136</v>
      </c>
      <c r="I589" s="132" t="s">
        <v>137</v>
      </c>
      <c r="J589" s="133">
        <v>14</v>
      </c>
      <c r="K589" s="129">
        <v>7</v>
      </c>
      <c r="L589" s="129">
        <v>5</v>
      </c>
      <c r="M589" s="129" t="s">
        <v>82</v>
      </c>
      <c r="N589" s="129" t="s">
        <v>83</v>
      </c>
      <c r="O589" s="139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40"/>
    </row>
    <row r="590" spans="1:26" s="149" customFormat="1" x14ac:dyDescent="0.25">
      <c r="A590" s="203">
        <f t="shared" si="12"/>
        <v>589</v>
      </c>
      <c r="B590" s="128"/>
      <c r="C590" s="274" t="s">
        <v>1443</v>
      </c>
      <c r="D590" s="264"/>
      <c r="E590" s="133"/>
      <c r="F590" s="141" t="s">
        <v>1413</v>
      </c>
      <c r="G590" s="142" t="s">
        <v>1377</v>
      </c>
      <c r="H590" s="133" t="s">
        <v>136</v>
      </c>
      <c r="I590" s="132" t="s">
        <v>137</v>
      </c>
      <c r="J590" s="133">
        <v>14</v>
      </c>
      <c r="K590" s="129">
        <v>7</v>
      </c>
      <c r="L590" s="129">
        <v>6</v>
      </c>
      <c r="M590" s="129" t="s">
        <v>82</v>
      </c>
      <c r="N590" s="129" t="s">
        <v>83</v>
      </c>
      <c r="O590" s="139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40"/>
    </row>
    <row r="591" spans="1:26" s="149" customFormat="1" x14ac:dyDescent="0.25">
      <c r="A591" s="203">
        <f t="shared" si="12"/>
        <v>590</v>
      </c>
      <c r="B591" s="128"/>
      <c r="C591" s="274" t="s">
        <v>1444</v>
      </c>
      <c r="D591" s="264"/>
      <c r="E591" s="133"/>
      <c r="F591" s="141" t="s">
        <v>1426</v>
      </c>
      <c r="G591" s="142" t="s">
        <v>1377</v>
      </c>
      <c r="H591" s="133" t="s">
        <v>136</v>
      </c>
      <c r="I591" s="132" t="s">
        <v>137</v>
      </c>
      <c r="J591" s="133">
        <v>14</v>
      </c>
      <c r="K591" s="129">
        <v>7</v>
      </c>
      <c r="L591" s="129">
        <v>7</v>
      </c>
      <c r="M591" s="129" t="s">
        <v>82</v>
      </c>
      <c r="N591" s="129" t="s">
        <v>83</v>
      </c>
      <c r="O591" s="139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40"/>
    </row>
    <row r="592" spans="1:26" s="149" customFormat="1" x14ac:dyDescent="0.25">
      <c r="A592" s="203">
        <f t="shared" si="12"/>
        <v>591</v>
      </c>
      <c r="B592" s="128"/>
      <c r="C592" s="274" t="s">
        <v>1445</v>
      </c>
      <c r="D592" s="264"/>
      <c r="E592" s="133"/>
      <c r="F592" s="141" t="s">
        <v>1432</v>
      </c>
      <c r="G592" s="142" t="s">
        <v>1377</v>
      </c>
      <c r="H592" s="133" t="s">
        <v>136</v>
      </c>
      <c r="I592" s="132" t="s">
        <v>137</v>
      </c>
      <c r="J592" s="133">
        <v>14</v>
      </c>
      <c r="K592" s="129">
        <v>7</v>
      </c>
      <c r="L592" s="129">
        <v>8</v>
      </c>
      <c r="M592" s="129" t="s">
        <v>82</v>
      </c>
      <c r="N592" s="129" t="s">
        <v>83</v>
      </c>
      <c r="O592" s="139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40"/>
    </row>
    <row r="593" spans="1:26" s="149" customFormat="1" x14ac:dyDescent="0.25">
      <c r="A593" s="203">
        <f t="shared" si="12"/>
        <v>592</v>
      </c>
      <c r="B593" s="128" t="s">
        <v>1446</v>
      </c>
      <c r="C593" s="274" t="s">
        <v>1446</v>
      </c>
      <c r="D593" s="262"/>
      <c r="E593" s="128"/>
      <c r="F593" s="138" t="s">
        <v>1447</v>
      </c>
      <c r="G593" s="131" t="s">
        <v>1377</v>
      </c>
      <c r="H593" s="128" t="s">
        <v>136</v>
      </c>
      <c r="I593" s="132" t="s">
        <v>137</v>
      </c>
      <c r="J593" s="133">
        <v>14</v>
      </c>
      <c r="K593" s="129">
        <v>7</v>
      </c>
      <c r="L593" s="129">
        <v>12</v>
      </c>
      <c r="M593" s="129" t="s">
        <v>82</v>
      </c>
      <c r="N593" s="129" t="s">
        <v>83</v>
      </c>
      <c r="O593" s="139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40"/>
    </row>
    <row r="594" spans="1:26" x14ac:dyDescent="0.25">
      <c r="A594" s="203">
        <f t="shared" si="12"/>
        <v>593</v>
      </c>
      <c r="B594" s="128" t="s">
        <v>1448</v>
      </c>
      <c r="C594" s="274" t="s">
        <v>1448</v>
      </c>
      <c r="D594" s="262"/>
      <c r="E594" s="128"/>
      <c r="F594" s="138" t="s">
        <v>1449</v>
      </c>
      <c r="G594" s="131" t="s">
        <v>1377</v>
      </c>
      <c r="H594" s="128" t="s">
        <v>136</v>
      </c>
      <c r="I594" s="132" t="s">
        <v>137</v>
      </c>
      <c r="J594" s="133">
        <v>14</v>
      </c>
      <c r="K594" s="129">
        <v>7</v>
      </c>
      <c r="L594" s="129">
        <v>13</v>
      </c>
      <c r="M594" s="129" t="s">
        <v>82</v>
      </c>
      <c r="N594" s="129" t="s">
        <v>83</v>
      </c>
      <c r="O594" s="139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40"/>
    </row>
    <row r="595" spans="1:26" x14ac:dyDescent="0.25">
      <c r="A595" s="203">
        <f t="shared" si="12"/>
        <v>594</v>
      </c>
      <c r="B595" s="128" t="s">
        <v>1450</v>
      </c>
      <c r="C595" s="274" t="s">
        <v>1450</v>
      </c>
      <c r="D595" s="262"/>
      <c r="E595" s="128"/>
      <c r="F595" s="138" t="s">
        <v>1451</v>
      </c>
      <c r="G595" s="131" t="s">
        <v>1377</v>
      </c>
      <c r="H595" s="128" t="s">
        <v>136</v>
      </c>
      <c r="I595" s="132" t="s">
        <v>137</v>
      </c>
      <c r="J595" s="133">
        <v>14</v>
      </c>
      <c r="K595" s="129">
        <v>7</v>
      </c>
      <c r="L595" s="129">
        <v>14</v>
      </c>
      <c r="M595" s="129" t="s">
        <v>82</v>
      </c>
      <c r="N595" s="129" t="s">
        <v>83</v>
      </c>
      <c r="O595" s="139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40"/>
    </row>
    <row r="596" spans="1:26" s="149" customFormat="1" x14ac:dyDescent="0.25">
      <c r="A596" s="203">
        <f t="shared" si="12"/>
        <v>595</v>
      </c>
      <c r="B596" s="128" t="s">
        <v>1452</v>
      </c>
      <c r="C596" s="274" t="s">
        <v>1452</v>
      </c>
      <c r="D596" s="262"/>
      <c r="E596" s="128"/>
      <c r="F596" s="138" t="s">
        <v>1453</v>
      </c>
      <c r="G596" s="131" t="s">
        <v>1377</v>
      </c>
      <c r="H596" s="128" t="s">
        <v>136</v>
      </c>
      <c r="I596" s="132" t="s">
        <v>137</v>
      </c>
      <c r="J596" s="133">
        <v>14</v>
      </c>
      <c r="K596" s="129">
        <v>7</v>
      </c>
      <c r="L596" s="129">
        <v>15</v>
      </c>
      <c r="M596" s="129" t="s">
        <v>82</v>
      </c>
      <c r="N596" s="129" t="s">
        <v>83</v>
      </c>
      <c r="O596" s="139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40"/>
    </row>
    <row r="597" spans="1:26" s="149" customFormat="1" x14ac:dyDescent="0.25">
      <c r="A597" s="203">
        <f t="shared" si="12"/>
        <v>596</v>
      </c>
      <c r="B597" s="128" t="s">
        <v>904</v>
      </c>
      <c r="C597" s="274" t="s">
        <v>1454</v>
      </c>
      <c r="D597" s="264"/>
      <c r="E597" s="133"/>
      <c r="F597" s="141" t="s">
        <v>1455</v>
      </c>
      <c r="G597" s="142" t="s">
        <v>1377</v>
      </c>
      <c r="H597" s="133" t="s">
        <v>136</v>
      </c>
      <c r="I597" s="132" t="s">
        <v>137</v>
      </c>
      <c r="J597" s="133">
        <v>14</v>
      </c>
      <c r="K597" s="129">
        <v>8</v>
      </c>
      <c r="L597" s="129">
        <v>0</v>
      </c>
      <c r="M597" s="129" t="s">
        <v>658</v>
      </c>
      <c r="N597" s="129" t="s">
        <v>659</v>
      </c>
      <c r="O597" s="139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40"/>
    </row>
    <row r="598" spans="1:26" s="149" customFormat="1" x14ac:dyDescent="0.25">
      <c r="A598" s="203">
        <f t="shared" si="12"/>
        <v>597</v>
      </c>
      <c r="B598" s="128" t="s">
        <v>907</v>
      </c>
      <c r="C598" s="274" t="s">
        <v>1456</v>
      </c>
      <c r="D598" s="264"/>
      <c r="E598" s="133"/>
      <c r="F598" s="141" t="s">
        <v>1457</v>
      </c>
      <c r="G598" s="142" t="s">
        <v>1377</v>
      </c>
      <c r="H598" s="133" t="s">
        <v>136</v>
      </c>
      <c r="I598" s="132" t="s">
        <v>137</v>
      </c>
      <c r="J598" s="133">
        <v>14</v>
      </c>
      <c r="K598" s="129">
        <v>8</v>
      </c>
      <c r="L598" s="129">
        <v>1</v>
      </c>
      <c r="M598" s="129" t="s">
        <v>658</v>
      </c>
      <c r="N598" s="129" t="s">
        <v>659</v>
      </c>
      <c r="O598" s="139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40"/>
    </row>
    <row r="599" spans="1:26" s="149" customFormat="1" x14ac:dyDescent="0.25">
      <c r="A599" s="203">
        <f t="shared" si="12"/>
        <v>598</v>
      </c>
      <c r="B599" s="128"/>
      <c r="C599" s="274" t="s">
        <v>904</v>
      </c>
      <c r="D599" s="264"/>
      <c r="E599" s="133"/>
      <c r="F599" s="141" t="s">
        <v>1458</v>
      </c>
      <c r="G599" s="142" t="s">
        <v>1377</v>
      </c>
      <c r="H599" s="133" t="s">
        <v>136</v>
      </c>
      <c r="I599" s="132" t="s">
        <v>137</v>
      </c>
      <c r="J599" s="133">
        <v>14</v>
      </c>
      <c r="K599" s="129">
        <v>8</v>
      </c>
      <c r="L599" s="129">
        <v>2</v>
      </c>
      <c r="M599" s="129" t="s">
        <v>658</v>
      </c>
      <c r="N599" s="129" t="s">
        <v>659</v>
      </c>
      <c r="O599" s="139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40"/>
    </row>
    <row r="600" spans="1:26" s="149" customFormat="1" x14ac:dyDescent="0.25">
      <c r="A600" s="203">
        <f t="shared" si="12"/>
        <v>599</v>
      </c>
      <c r="B600" s="128"/>
      <c r="C600" s="263" t="s">
        <v>907</v>
      </c>
      <c r="D600" s="264"/>
      <c r="E600" s="133"/>
      <c r="F600" s="141" t="s">
        <v>1458</v>
      </c>
      <c r="G600" s="142" t="s">
        <v>1377</v>
      </c>
      <c r="H600" s="133" t="s">
        <v>136</v>
      </c>
      <c r="I600" s="132" t="s">
        <v>137</v>
      </c>
      <c r="J600" s="133">
        <v>14</v>
      </c>
      <c r="K600" s="129">
        <v>8</v>
      </c>
      <c r="L600" s="129">
        <v>3</v>
      </c>
      <c r="M600" s="129" t="s">
        <v>658</v>
      </c>
      <c r="N600" s="129" t="s">
        <v>659</v>
      </c>
      <c r="O600" s="139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40"/>
    </row>
    <row r="601" spans="1:26" s="149" customFormat="1" x14ac:dyDescent="0.25">
      <c r="A601" s="203">
        <f t="shared" si="12"/>
        <v>600</v>
      </c>
      <c r="B601" s="128"/>
      <c r="C601" s="274" t="s">
        <v>1459</v>
      </c>
      <c r="D601" s="264"/>
      <c r="E601" s="133"/>
      <c r="F601" s="141" t="s">
        <v>1460</v>
      </c>
      <c r="G601" s="142" t="s">
        <v>1377</v>
      </c>
      <c r="H601" s="133" t="s">
        <v>136</v>
      </c>
      <c r="I601" s="132" t="s">
        <v>137</v>
      </c>
      <c r="J601" s="133">
        <v>14</v>
      </c>
      <c r="K601" s="129">
        <v>9</v>
      </c>
      <c r="L601" s="129">
        <v>0</v>
      </c>
      <c r="M601" s="129" t="s">
        <v>664</v>
      </c>
      <c r="N601" s="129" t="s">
        <v>665</v>
      </c>
      <c r="O601" s="139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40"/>
    </row>
    <row r="602" spans="1:26" x14ac:dyDescent="0.25">
      <c r="A602" s="203">
        <f t="shared" si="12"/>
        <v>601</v>
      </c>
      <c r="B602" s="128" t="s">
        <v>1461</v>
      </c>
      <c r="C602" s="263" t="s">
        <v>1461</v>
      </c>
      <c r="D602" s="262"/>
      <c r="E602" s="128"/>
      <c r="F602" s="138" t="s">
        <v>1462</v>
      </c>
      <c r="G602" s="142" t="s">
        <v>1377</v>
      </c>
      <c r="H602" s="128" t="s">
        <v>678</v>
      </c>
      <c r="I602" s="142" t="s">
        <v>1169</v>
      </c>
      <c r="J602" s="133">
        <v>19</v>
      </c>
      <c r="K602" s="129">
        <v>11</v>
      </c>
      <c r="L602" s="129">
        <v>2</v>
      </c>
      <c r="M602" s="129" t="s">
        <v>658</v>
      </c>
      <c r="N602" s="129" t="s">
        <v>659</v>
      </c>
      <c r="O602" s="134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40"/>
    </row>
    <row r="603" spans="1:26" x14ac:dyDescent="0.25">
      <c r="A603" s="203">
        <f t="shared" si="12"/>
        <v>602</v>
      </c>
      <c r="B603" s="128" t="s">
        <v>1463</v>
      </c>
      <c r="C603" s="274" t="s">
        <v>1463</v>
      </c>
      <c r="D603" s="262"/>
      <c r="E603" s="128"/>
      <c r="F603" s="138" t="s">
        <v>1464</v>
      </c>
      <c r="G603" s="142" t="s">
        <v>1377</v>
      </c>
      <c r="H603" s="128" t="s">
        <v>678</v>
      </c>
      <c r="I603" s="142" t="s">
        <v>1169</v>
      </c>
      <c r="J603" s="133">
        <v>19</v>
      </c>
      <c r="K603" s="129">
        <v>13</v>
      </c>
      <c r="L603" s="129">
        <v>3</v>
      </c>
      <c r="M603" s="129" t="s">
        <v>664</v>
      </c>
      <c r="N603" s="129" t="s">
        <v>665</v>
      </c>
      <c r="O603" s="134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40"/>
    </row>
    <row r="604" spans="1:26" x14ac:dyDescent="0.25">
      <c r="A604" s="203">
        <f t="shared" si="12"/>
        <v>603</v>
      </c>
      <c r="B604" s="129" t="s">
        <v>1465</v>
      </c>
      <c r="C604" s="274" t="s">
        <v>1465</v>
      </c>
      <c r="D604" s="263"/>
      <c r="E604" s="129"/>
      <c r="F604" s="4" t="s">
        <v>1466</v>
      </c>
      <c r="G604" s="131" t="s">
        <v>1467</v>
      </c>
      <c r="H604" s="128" t="s">
        <v>136</v>
      </c>
      <c r="I604" s="132" t="s">
        <v>148</v>
      </c>
      <c r="J604" s="133">
        <v>15</v>
      </c>
      <c r="K604" s="129">
        <v>1</v>
      </c>
      <c r="L604" s="129">
        <v>4</v>
      </c>
      <c r="M604" s="129" t="s">
        <v>138</v>
      </c>
      <c r="N604" s="129" t="s">
        <v>139</v>
      </c>
      <c r="O604" s="139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53"/>
    </row>
    <row r="605" spans="1:26" x14ac:dyDescent="0.25">
      <c r="A605" s="203">
        <f t="shared" si="12"/>
        <v>604</v>
      </c>
      <c r="B605" s="129" t="s">
        <v>1465</v>
      </c>
      <c r="C605" s="274" t="s">
        <v>1465</v>
      </c>
      <c r="D605" s="263"/>
      <c r="E605" s="129"/>
      <c r="F605" s="4" t="s">
        <v>1468</v>
      </c>
      <c r="G605" s="131" t="s">
        <v>1467</v>
      </c>
      <c r="H605" s="128" t="s">
        <v>136</v>
      </c>
      <c r="I605" s="132" t="s">
        <v>148</v>
      </c>
      <c r="J605" s="133">
        <v>15</v>
      </c>
      <c r="K605" s="129">
        <v>1</v>
      </c>
      <c r="L605" s="129">
        <v>5</v>
      </c>
      <c r="M605" s="129" t="s">
        <v>138</v>
      </c>
      <c r="N605" s="129" t="s">
        <v>139</v>
      </c>
      <c r="O605" s="139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53"/>
    </row>
    <row r="606" spans="1:26" s="150" customFormat="1" x14ac:dyDescent="0.25">
      <c r="A606" s="203">
        <f t="shared" si="12"/>
        <v>605</v>
      </c>
      <c r="B606" s="128" t="s">
        <v>1469</v>
      </c>
      <c r="C606" s="274" t="s">
        <v>1469</v>
      </c>
      <c r="D606" s="262"/>
      <c r="E606" s="128"/>
      <c r="F606" s="138" t="s">
        <v>1470</v>
      </c>
      <c r="G606" s="131" t="s">
        <v>1467</v>
      </c>
      <c r="H606" s="128" t="s">
        <v>136</v>
      </c>
      <c r="I606" s="132" t="s">
        <v>148</v>
      </c>
      <c r="J606" s="133">
        <v>15</v>
      </c>
      <c r="K606" s="129">
        <v>3</v>
      </c>
      <c r="L606" s="129">
        <v>7</v>
      </c>
      <c r="M606" s="129" t="s">
        <v>31</v>
      </c>
      <c r="N606" s="129" t="s">
        <v>32</v>
      </c>
      <c r="O606" s="139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53"/>
    </row>
    <row r="607" spans="1:26" x14ac:dyDescent="0.25">
      <c r="A607" s="203">
        <f t="shared" si="12"/>
        <v>606</v>
      </c>
      <c r="B607" s="128" t="s">
        <v>1471</v>
      </c>
      <c r="C607" s="274" t="s">
        <v>1471</v>
      </c>
      <c r="D607" s="262"/>
      <c r="E607" s="128"/>
      <c r="F607" s="138" t="s">
        <v>1472</v>
      </c>
      <c r="G607" s="131" t="s">
        <v>1467</v>
      </c>
      <c r="H607" s="128" t="s">
        <v>136</v>
      </c>
      <c r="I607" s="132" t="s">
        <v>148</v>
      </c>
      <c r="J607" s="133">
        <v>15</v>
      </c>
      <c r="K607" s="129">
        <v>3</v>
      </c>
      <c r="L607" s="129">
        <v>9</v>
      </c>
      <c r="M607" s="129" t="s">
        <v>31</v>
      </c>
      <c r="N607" s="129" t="s">
        <v>32</v>
      </c>
      <c r="O607" s="139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40"/>
    </row>
    <row r="608" spans="1:26" x14ac:dyDescent="0.25">
      <c r="A608" s="203">
        <f t="shared" si="12"/>
        <v>607</v>
      </c>
      <c r="B608" s="128"/>
      <c r="C608" s="263" t="s">
        <v>1473</v>
      </c>
      <c r="D608" s="264"/>
      <c r="E608" s="133"/>
      <c r="F608" s="141" t="s">
        <v>1474</v>
      </c>
      <c r="G608" s="142" t="s">
        <v>1467</v>
      </c>
      <c r="H608" s="133" t="s">
        <v>136</v>
      </c>
      <c r="I608" s="132" t="s">
        <v>148</v>
      </c>
      <c r="J608" s="133">
        <v>15</v>
      </c>
      <c r="K608" s="128">
        <v>3</v>
      </c>
      <c r="L608" s="128">
        <v>12</v>
      </c>
      <c r="M608" s="128" t="s">
        <v>31</v>
      </c>
      <c r="N608" s="128" t="s">
        <v>32</v>
      </c>
      <c r="O608" s="139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40"/>
    </row>
    <row r="609" spans="1:26" x14ac:dyDescent="0.25">
      <c r="A609" s="203">
        <f t="shared" si="12"/>
        <v>608</v>
      </c>
      <c r="B609" s="128" t="s">
        <v>1475</v>
      </c>
      <c r="C609" s="274" t="s">
        <v>1475</v>
      </c>
      <c r="D609" s="262"/>
      <c r="E609" s="128"/>
      <c r="F609" s="138" t="s">
        <v>1476</v>
      </c>
      <c r="G609" s="131" t="s">
        <v>1467</v>
      </c>
      <c r="H609" s="128" t="s">
        <v>136</v>
      </c>
      <c r="I609" s="132" t="s">
        <v>148</v>
      </c>
      <c r="J609" s="133">
        <v>15</v>
      </c>
      <c r="K609" s="129">
        <v>4</v>
      </c>
      <c r="L609" s="129">
        <v>2</v>
      </c>
      <c r="M609" s="129" t="s">
        <v>31</v>
      </c>
      <c r="N609" s="129" t="s">
        <v>32</v>
      </c>
      <c r="O609" s="139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57"/>
    </row>
    <row r="610" spans="1:26" x14ac:dyDescent="0.25">
      <c r="A610" s="203">
        <f t="shared" si="12"/>
        <v>609</v>
      </c>
      <c r="B610" s="128" t="s">
        <v>1477</v>
      </c>
      <c r="C610" s="274" t="s">
        <v>1477</v>
      </c>
      <c r="D610" s="262"/>
      <c r="E610" s="128"/>
      <c r="F610" s="138" t="s">
        <v>1478</v>
      </c>
      <c r="G610" s="131" t="s">
        <v>1467</v>
      </c>
      <c r="H610" s="128" t="s">
        <v>136</v>
      </c>
      <c r="I610" s="132" t="s">
        <v>148</v>
      </c>
      <c r="J610" s="133">
        <v>15</v>
      </c>
      <c r="K610" s="129">
        <v>5</v>
      </c>
      <c r="L610" s="129">
        <v>4</v>
      </c>
      <c r="M610" s="129" t="s">
        <v>82</v>
      </c>
      <c r="N610" s="129" t="s">
        <v>83</v>
      </c>
      <c r="O610" s="139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40"/>
    </row>
    <row r="611" spans="1:26" s="149" customFormat="1" x14ac:dyDescent="0.25">
      <c r="A611" s="203">
        <f t="shared" si="12"/>
        <v>610</v>
      </c>
      <c r="B611" s="128" t="s">
        <v>1479</v>
      </c>
      <c r="C611" s="274" t="s">
        <v>1479</v>
      </c>
      <c r="D611" s="262"/>
      <c r="E611" s="128"/>
      <c r="F611" s="138" t="s">
        <v>1480</v>
      </c>
      <c r="G611" s="131" t="s">
        <v>1467</v>
      </c>
      <c r="H611" s="128" t="s">
        <v>136</v>
      </c>
      <c r="I611" s="132" t="s">
        <v>148</v>
      </c>
      <c r="J611" s="133">
        <v>15</v>
      </c>
      <c r="K611" s="129">
        <v>5</v>
      </c>
      <c r="L611" s="129">
        <v>6</v>
      </c>
      <c r="M611" s="129" t="s">
        <v>82</v>
      </c>
      <c r="N611" s="129" t="s">
        <v>83</v>
      </c>
      <c r="O611" s="139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40"/>
    </row>
    <row r="612" spans="1:26" s="149" customFormat="1" x14ac:dyDescent="0.25">
      <c r="A612" s="203">
        <f t="shared" si="12"/>
        <v>611</v>
      </c>
      <c r="B612" s="128" t="s">
        <v>1481</v>
      </c>
      <c r="C612" s="274" t="s">
        <v>1481</v>
      </c>
      <c r="D612" s="262"/>
      <c r="E612" s="128"/>
      <c r="F612" s="138" t="s">
        <v>1482</v>
      </c>
      <c r="G612" s="131" t="s">
        <v>1467</v>
      </c>
      <c r="H612" s="128" t="s">
        <v>136</v>
      </c>
      <c r="I612" s="132" t="s">
        <v>148</v>
      </c>
      <c r="J612" s="133">
        <v>15</v>
      </c>
      <c r="K612" s="129">
        <v>5</v>
      </c>
      <c r="L612" s="129">
        <v>8</v>
      </c>
      <c r="M612" s="129" t="s">
        <v>82</v>
      </c>
      <c r="N612" s="129" t="s">
        <v>83</v>
      </c>
      <c r="O612" s="139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40"/>
    </row>
    <row r="613" spans="1:26" s="149" customFormat="1" x14ac:dyDescent="0.25">
      <c r="A613" s="203">
        <f t="shared" si="12"/>
        <v>612</v>
      </c>
      <c r="B613" s="128" t="s">
        <v>1483</v>
      </c>
      <c r="C613" s="274" t="s">
        <v>1483</v>
      </c>
      <c r="D613" s="262"/>
      <c r="E613" s="128"/>
      <c r="F613" s="138" t="s">
        <v>1484</v>
      </c>
      <c r="G613" s="131" t="s">
        <v>1467</v>
      </c>
      <c r="H613" s="128" t="s">
        <v>136</v>
      </c>
      <c r="I613" s="132" t="s">
        <v>148</v>
      </c>
      <c r="J613" s="133">
        <v>15</v>
      </c>
      <c r="K613" s="129">
        <v>5</v>
      </c>
      <c r="L613" s="129">
        <v>9</v>
      </c>
      <c r="M613" s="129" t="s">
        <v>82</v>
      </c>
      <c r="N613" s="129" t="s">
        <v>83</v>
      </c>
      <c r="O613" s="139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43"/>
    </row>
    <row r="614" spans="1:26" s="149" customFormat="1" x14ac:dyDescent="0.25">
      <c r="A614" s="203">
        <f t="shared" si="12"/>
        <v>613</v>
      </c>
      <c r="B614" s="129" t="s">
        <v>1485</v>
      </c>
      <c r="C614" s="263" t="s">
        <v>1485</v>
      </c>
      <c r="D614" s="263"/>
      <c r="E614" s="129"/>
      <c r="F614" s="4" t="s">
        <v>1486</v>
      </c>
      <c r="G614" s="131" t="s">
        <v>1467</v>
      </c>
      <c r="H614" s="128" t="s">
        <v>136</v>
      </c>
      <c r="I614" s="132" t="s">
        <v>148</v>
      </c>
      <c r="J614" s="133">
        <v>15</v>
      </c>
      <c r="K614" s="129">
        <v>5</v>
      </c>
      <c r="L614" s="129">
        <v>14</v>
      </c>
      <c r="M614" s="129" t="s">
        <v>82</v>
      </c>
      <c r="N614" s="129" t="s">
        <v>83</v>
      </c>
      <c r="O614" s="139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53"/>
    </row>
    <row r="615" spans="1:26" s="149" customFormat="1" x14ac:dyDescent="0.25">
      <c r="A615" s="203">
        <f t="shared" si="12"/>
        <v>614</v>
      </c>
      <c r="B615" s="133"/>
      <c r="C615" s="274" t="s">
        <v>1487</v>
      </c>
      <c r="D615" s="264"/>
      <c r="E615" s="133"/>
      <c r="F615" s="141" t="s">
        <v>1488</v>
      </c>
      <c r="G615" s="142" t="s">
        <v>1467</v>
      </c>
      <c r="H615" s="133" t="s">
        <v>136</v>
      </c>
      <c r="I615" s="142" t="s">
        <v>1169</v>
      </c>
      <c r="J615" s="133">
        <v>19</v>
      </c>
      <c r="K615" s="129">
        <v>3</v>
      </c>
      <c r="L615" s="129">
        <v>11</v>
      </c>
      <c r="M615" s="129" t="s">
        <v>31</v>
      </c>
      <c r="N615" s="129" t="s">
        <v>32</v>
      </c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3"/>
    </row>
    <row r="616" spans="1:26" s="149" customFormat="1" x14ac:dyDescent="0.25">
      <c r="A616" s="203">
        <f t="shared" si="12"/>
        <v>615</v>
      </c>
      <c r="B616" s="128" t="s">
        <v>1489</v>
      </c>
      <c r="C616" s="274" t="s">
        <v>1490</v>
      </c>
      <c r="D616" s="262"/>
      <c r="E616" s="128"/>
      <c r="F616" s="141" t="s">
        <v>1491</v>
      </c>
      <c r="G616" s="131" t="s">
        <v>1492</v>
      </c>
      <c r="H616" s="128" t="s">
        <v>136</v>
      </c>
      <c r="I616" s="132" t="s">
        <v>148</v>
      </c>
      <c r="J616" s="133">
        <v>15</v>
      </c>
      <c r="K616" s="129">
        <v>1</v>
      </c>
      <c r="L616" s="129">
        <v>2</v>
      </c>
      <c r="M616" s="129" t="s">
        <v>138</v>
      </c>
      <c r="N616" s="129" t="s">
        <v>139</v>
      </c>
      <c r="O616" s="139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56"/>
    </row>
    <row r="617" spans="1:26" s="149" customFormat="1" x14ac:dyDescent="0.25">
      <c r="A617" s="203">
        <f t="shared" ref="A617:A680" si="13">ROW()-1</f>
        <v>616</v>
      </c>
      <c r="B617" s="128" t="s">
        <v>1489</v>
      </c>
      <c r="C617" s="274" t="s">
        <v>1490</v>
      </c>
      <c r="D617" s="262"/>
      <c r="E617" s="128"/>
      <c r="F617" s="141" t="s">
        <v>1493</v>
      </c>
      <c r="G617" s="131" t="s">
        <v>1492</v>
      </c>
      <c r="H617" s="128" t="s">
        <v>136</v>
      </c>
      <c r="I617" s="132" t="s">
        <v>148</v>
      </c>
      <c r="J617" s="133">
        <v>15</v>
      </c>
      <c r="K617" s="129">
        <v>1</v>
      </c>
      <c r="L617" s="129">
        <v>3</v>
      </c>
      <c r="M617" s="129" t="s">
        <v>138</v>
      </c>
      <c r="N617" s="129" t="s">
        <v>139</v>
      </c>
      <c r="O617" s="139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56"/>
    </row>
    <row r="618" spans="1:26" x14ac:dyDescent="0.25">
      <c r="A618" s="203">
        <f t="shared" si="13"/>
        <v>617</v>
      </c>
      <c r="B618" s="128" t="s">
        <v>1494</v>
      </c>
      <c r="C618" s="274" t="s">
        <v>1489</v>
      </c>
      <c r="D618" s="262"/>
      <c r="E618" s="128"/>
      <c r="F618" s="141" t="s">
        <v>1495</v>
      </c>
      <c r="G618" s="131" t="s">
        <v>1492</v>
      </c>
      <c r="H618" s="128" t="s">
        <v>136</v>
      </c>
      <c r="I618" s="132" t="s">
        <v>148</v>
      </c>
      <c r="J618" s="133">
        <v>15</v>
      </c>
      <c r="K618" s="129">
        <v>1</v>
      </c>
      <c r="L618" s="129">
        <v>6</v>
      </c>
      <c r="M618" s="129" t="s">
        <v>138</v>
      </c>
      <c r="N618" s="129" t="s">
        <v>139</v>
      </c>
      <c r="O618" s="139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53"/>
    </row>
    <row r="619" spans="1:26" x14ac:dyDescent="0.25">
      <c r="A619" s="203">
        <f t="shared" si="13"/>
        <v>618</v>
      </c>
      <c r="B619" s="128" t="s">
        <v>1494</v>
      </c>
      <c r="C619" s="274" t="s">
        <v>1489</v>
      </c>
      <c r="D619" s="262"/>
      <c r="E619" s="128"/>
      <c r="F619" s="141" t="s">
        <v>1496</v>
      </c>
      <c r="G619" s="131" t="s">
        <v>1492</v>
      </c>
      <c r="H619" s="128" t="s">
        <v>136</v>
      </c>
      <c r="I619" s="132" t="s">
        <v>148</v>
      </c>
      <c r="J619" s="133">
        <v>15</v>
      </c>
      <c r="K619" s="129">
        <v>1</v>
      </c>
      <c r="L619" s="129">
        <v>7</v>
      </c>
      <c r="M619" s="129" t="s">
        <v>138</v>
      </c>
      <c r="N619" s="129" t="s">
        <v>139</v>
      </c>
      <c r="O619" s="139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53"/>
    </row>
    <row r="620" spans="1:26" x14ac:dyDescent="0.25">
      <c r="A620" s="203">
        <f t="shared" si="13"/>
        <v>619</v>
      </c>
      <c r="B620" s="128" t="s">
        <v>1497</v>
      </c>
      <c r="C620" s="274" t="s">
        <v>1497</v>
      </c>
      <c r="D620" s="262"/>
      <c r="E620" s="128"/>
      <c r="F620" s="138" t="s">
        <v>1498</v>
      </c>
      <c r="G620" s="131" t="s">
        <v>1492</v>
      </c>
      <c r="H620" s="128" t="s">
        <v>136</v>
      </c>
      <c r="I620" s="132" t="s">
        <v>148</v>
      </c>
      <c r="J620" s="133">
        <v>15</v>
      </c>
      <c r="K620" s="129">
        <v>3</v>
      </c>
      <c r="L620" s="129">
        <v>0</v>
      </c>
      <c r="M620" s="129" t="s">
        <v>31</v>
      </c>
      <c r="N620" s="129" t="s">
        <v>32</v>
      </c>
      <c r="O620" s="139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53"/>
    </row>
    <row r="621" spans="1:26" x14ac:dyDescent="0.25">
      <c r="A621" s="203">
        <f t="shared" si="13"/>
        <v>620</v>
      </c>
      <c r="B621" s="128" t="s">
        <v>1499</v>
      </c>
      <c r="C621" s="274" t="s">
        <v>1499</v>
      </c>
      <c r="D621" s="262"/>
      <c r="E621" s="128"/>
      <c r="F621" s="138" t="s">
        <v>1498</v>
      </c>
      <c r="G621" s="131" t="s">
        <v>1492</v>
      </c>
      <c r="H621" s="128" t="s">
        <v>136</v>
      </c>
      <c r="I621" s="132" t="s">
        <v>148</v>
      </c>
      <c r="J621" s="133">
        <v>15</v>
      </c>
      <c r="K621" s="129">
        <v>3</v>
      </c>
      <c r="L621" s="129">
        <v>1</v>
      </c>
      <c r="M621" s="129" t="s">
        <v>31</v>
      </c>
      <c r="N621" s="129" t="s">
        <v>32</v>
      </c>
      <c r="O621" s="139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53"/>
    </row>
    <row r="622" spans="1:26" x14ac:dyDescent="0.25">
      <c r="A622" s="203">
        <f t="shared" si="13"/>
        <v>621</v>
      </c>
      <c r="B622" s="128" t="s">
        <v>1500</v>
      </c>
      <c r="C622" s="274" t="s">
        <v>1500</v>
      </c>
      <c r="D622" s="262"/>
      <c r="E622" s="128"/>
      <c r="F622" s="138" t="s">
        <v>1498</v>
      </c>
      <c r="G622" s="131" t="s">
        <v>1492</v>
      </c>
      <c r="H622" s="128" t="s">
        <v>136</v>
      </c>
      <c r="I622" s="132" t="s">
        <v>148</v>
      </c>
      <c r="J622" s="133">
        <v>15</v>
      </c>
      <c r="K622" s="129">
        <v>3</v>
      </c>
      <c r="L622" s="129">
        <v>2</v>
      </c>
      <c r="M622" s="129" t="s">
        <v>31</v>
      </c>
      <c r="N622" s="129" t="s">
        <v>32</v>
      </c>
      <c r="O622" s="139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53"/>
    </row>
    <row r="623" spans="1:26" s="136" customFormat="1" x14ac:dyDescent="0.25">
      <c r="A623" s="203">
        <f t="shared" si="13"/>
        <v>622</v>
      </c>
      <c r="B623" s="128" t="s">
        <v>1501</v>
      </c>
      <c r="C623" s="274" t="s">
        <v>1501</v>
      </c>
      <c r="D623" s="262"/>
      <c r="E623" s="128"/>
      <c r="F623" s="138" t="s">
        <v>1498</v>
      </c>
      <c r="G623" s="131" t="s">
        <v>1492</v>
      </c>
      <c r="H623" s="128" t="s">
        <v>136</v>
      </c>
      <c r="I623" s="132" t="s">
        <v>148</v>
      </c>
      <c r="J623" s="133">
        <v>15</v>
      </c>
      <c r="K623" s="129">
        <v>3</v>
      </c>
      <c r="L623" s="129">
        <v>3</v>
      </c>
      <c r="M623" s="129" t="s">
        <v>31</v>
      </c>
      <c r="N623" s="129" t="s">
        <v>32</v>
      </c>
      <c r="O623" s="139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53"/>
    </row>
    <row r="624" spans="1:26" x14ac:dyDescent="0.25">
      <c r="A624" s="203">
        <f t="shared" si="13"/>
        <v>623</v>
      </c>
      <c r="B624" s="128" t="s">
        <v>1502</v>
      </c>
      <c r="C624" s="274" t="s">
        <v>1502</v>
      </c>
      <c r="D624" s="262"/>
      <c r="E624" s="128"/>
      <c r="F624" s="138" t="s">
        <v>1498</v>
      </c>
      <c r="G624" s="131" t="s">
        <v>1492</v>
      </c>
      <c r="H624" s="128" t="s">
        <v>136</v>
      </c>
      <c r="I624" s="132" t="s">
        <v>148</v>
      </c>
      <c r="J624" s="133">
        <v>15</v>
      </c>
      <c r="K624" s="129">
        <v>3</v>
      </c>
      <c r="L624" s="129">
        <v>4</v>
      </c>
      <c r="M624" s="129" t="s">
        <v>31</v>
      </c>
      <c r="N624" s="129" t="s">
        <v>32</v>
      </c>
      <c r="O624" s="139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53"/>
    </row>
    <row r="625" spans="1:26" x14ac:dyDescent="0.25">
      <c r="A625" s="203">
        <f t="shared" si="13"/>
        <v>624</v>
      </c>
      <c r="B625" s="128" t="s">
        <v>1503</v>
      </c>
      <c r="C625" s="274" t="s">
        <v>1503</v>
      </c>
      <c r="D625" s="262"/>
      <c r="E625" s="128"/>
      <c r="F625" s="138" t="s">
        <v>1498</v>
      </c>
      <c r="G625" s="131" t="s">
        <v>1492</v>
      </c>
      <c r="H625" s="128" t="s">
        <v>136</v>
      </c>
      <c r="I625" s="132" t="s">
        <v>148</v>
      </c>
      <c r="J625" s="133">
        <v>15</v>
      </c>
      <c r="K625" s="129">
        <v>3</v>
      </c>
      <c r="L625" s="129">
        <v>5</v>
      </c>
      <c r="M625" s="129" t="s">
        <v>31</v>
      </c>
      <c r="N625" s="129" t="s">
        <v>32</v>
      </c>
      <c r="O625" s="139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53"/>
    </row>
    <row r="626" spans="1:26" x14ac:dyDescent="0.25">
      <c r="A626" s="203">
        <f t="shared" si="13"/>
        <v>625</v>
      </c>
      <c r="B626" s="128" t="s">
        <v>1504</v>
      </c>
      <c r="C626" s="274" t="s">
        <v>1504</v>
      </c>
      <c r="D626" s="262"/>
      <c r="E626" s="128"/>
      <c r="F626" s="138" t="s">
        <v>1505</v>
      </c>
      <c r="G626" s="131" t="s">
        <v>1492</v>
      </c>
      <c r="H626" s="128" t="s">
        <v>136</v>
      </c>
      <c r="I626" s="132" t="s">
        <v>148</v>
      </c>
      <c r="J626" s="133">
        <v>15</v>
      </c>
      <c r="K626" s="129">
        <v>3</v>
      </c>
      <c r="L626" s="129">
        <v>14</v>
      </c>
      <c r="M626" s="129" t="s">
        <v>31</v>
      </c>
      <c r="N626" s="129" t="s">
        <v>32</v>
      </c>
      <c r="O626" s="139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40"/>
    </row>
    <row r="627" spans="1:26" x14ac:dyDescent="0.25">
      <c r="A627" s="203">
        <f t="shared" si="13"/>
        <v>626</v>
      </c>
      <c r="B627" s="128" t="s">
        <v>1506</v>
      </c>
      <c r="C627" s="274" t="s">
        <v>1506</v>
      </c>
      <c r="D627" s="262"/>
      <c r="E627" s="128"/>
      <c r="F627" s="138" t="s">
        <v>1507</v>
      </c>
      <c r="G627" s="131" t="s">
        <v>1492</v>
      </c>
      <c r="H627" s="128" t="s">
        <v>136</v>
      </c>
      <c r="I627" s="132" t="s">
        <v>148</v>
      </c>
      <c r="J627" s="133">
        <v>15</v>
      </c>
      <c r="K627" s="129">
        <v>3</v>
      </c>
      <c r="L627" s="129">
        <v>15</v>
      </c>
      <c r="M627" s="129" t="s">
        <v>31</v>
      </c>
      <c r="N627" s="129" t="s">
        <v>32</v>
      </c>
      <c r="O627" s="139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53"/>
    </row>
    <row r="628" spans="1:26" x14ac:dyDescent="0.25">
      <c r="A628" s="203">
        <f t="shared" si="13"/>
        <v>627</v>
      </c>
      <c r="B628" s="128" t="s">
        <v>1508</v>
      </c>
      <c r="C628" s="274" t="s">
        <v>1508</v>
      </c>
      <c r="D628" s="262"/>
      <c r="E628" s="128"/>
      <c r="F628" s="138" t="s">
        <v>1509</v>
      </c>
      <c r="G628" s="131" t="s">
        <v>1492</v>
      </c>
      <c r="H628" s="128" t="s">
        <v>136</v>
      </c>
      <c r="I628" s="132" t="s">
        <v>148</v>
      </c>
      <c r="J628" s="133">
        <v>15</v>
      </c>
      <c r="K628" s="129">
        <v>4</v>
      </c>
      <c r="L628" s="129">
        <v>0</v>
      </c>
      <c r="M628" s="129" t="s">
        <v>31</v>
      </c>
      <c r="N628" s="129" t="s">
        <v>32</v>
      </c>
      <c r="O628" s="139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40"/>
    </row>
    <row r="629" spans="1:26" s="149" customFormat="1" x14ac:dyDescent="0.25">
      <c r="A629" s="203">
        <f t="shared" si="13"/>
        <v>628</v>
      </c>
      <c r="B629" s="128" t="s">
        <v>1510</v>
      </c>
      <c r="C629" s="274" t="s">
        <v>1510</v>
      </c>
      <c r="D629" s="262"/>
      <c r="E629" s="128"/>
      <c r="F629" s="138" t="s">
        <v>1511</v>
      </c>
      <c r="G629" s="131" t="s">
        <v>1492</v>
      </c>
      <c r="H629" s="128" t="s">
        <v>136</v>
      </c>
      <c r="I629" s="132" t="s">
        <v>148</v>
      </c>
      <c r="J629" s="133">
        <v>15</v>
      </c>
      <c r="K629" s="129">
        <v>4</v>
      </c>
      <c r="L629" s="129">
        <v>1</v>
      </c>
      <c r="M629" s="129" t="s">
        <v>31</v>
      </c>
      <c r="N629" s="129" t="s">
        <v>32</v>
      </c>
      <c r="O629" s="139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40"/>
    </row>
    <row r="630" spans="1:26" s="149" customFormat="1" x14ac:dyDescent="0.25">
      <c r="A630" s="203">
        <f t="shared" si="13"/>
        <v>629</v>
      </c>
      <c r="B630" s="128" t="s">
        <v>1512</v>
      </c>
      <c r="C630" s="274" t="s">
        <v>1512</v>
      </c>
      <c r="D630" s="262"/>
      <c r="E630" s="128"/>
      <c r="F630" s="138" t="s">
        <v>1513</v>
      </c>
      <c r="G630" s="131" t="s">
        <v>1492</v>
      </c>
      <c r="H630" s="128" t="s">
        <v>136</v>
      </c>
      <c r="I630" s="132" t="s">
        <v>148</v>
      </c>
      <c r="J630" s="133">
        <v>15</v>
      </c>
      <c r="K630" s="129">
        <v>5</v>
      </c>
      <c r="L630" s="129">
        <v>1</v>
      </c>
      <c r="M630" s="129" t="s">
        <v>82</v>
      </c>
      <c r="N630" s="129" t="s">
        <v>83</v>
      </c>
      <c r="O630" s="139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53"/>
    </row>
    <row r="631" spans="1:26" s="149" customFormat="1" x14ac:dyDescent="0.25">
      <c r="A631" s="203">
        <f t="shared" si="13"/>
        <v>630</v>
      </c>
      <c r="B631" s="128" t="s">
        <v>1514</v>
      </c>
      <c r="C631" s="274" t="s">
        <v>1514</v>
      </c>
      <c r="D631" s="262"/>
      <c r="E631" s="128"/>
      <c r="F631" s="138" t="s">
        <v>1515</v>
      </c>
      <c r="G631" s="131" t="s">
        <v>1492</v>
      </c>
      <c r="H631" s="128" t="s">
        <v>136</v>
      </c>
      <c r="I631" s="132" t="s">
        <v>148</v>
      </c>
      <c r="J631" s="133">
        <v>15</v>
      </c>
      <c r="K631" s="129">
        <v>5</v>
      </c>
      <c r="L631" s="129">
        <v>2</v>
      </c>
      <c r="M631" s="129" t="s">
        <v>82</v>
      </c>
      <c r="N631" s="129" t="s">
        <v>83</v>
      </c>
      <c r="O631" s="139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53"/>
    </row>
    <row r="632" spans="1:26" s="149" customFormat="1" x14ac:dyDescent="0.25">
      <c r="A632" s="203">
        <f t="shared" si="13"/>
        <v>631</v>
      </c>
      <c r="B632" s="128" t="s">
        <v>1516</v>
      </c>
      <c r="C632" s="274" t="s">
        <v>1516</v>
      </c>
      <c r="D632" s="262"/>
      <c r="E632" s="128"/>
      <c r="F632" s="138" t="s">
        <v>1517</v>
      </c>
      <c r="G632" s="131" t="s">
        <v>1492</v>
      </c>
      <c r="H632" s="128" t="s">
        <v>136</v>
      </c>
      <c r="I632" s="132" t="s">
        <v>148</v>
      </c>
      <c r="J632" s="133">
        <v>15</v>
      </c>
      <c r="K632" s="129">
        <v>5</v>
      </c>
      <c r="L632" s="129">
        <v>3</v>
      </c>
      <c r="M632" s="129" t="s">
        <v>82</v>
      </c>
      <c r="N632" s="129" t="s">
        <v>83</v>
      </c>
      <c r="O632" s="139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53"/>
    </row>
    <row r="633" spans="1:26" s="149" customFormat="1" x14ac:dyDescent="0.25">
      <c r="A633" s="203">
        <f t="shared" si="13"/>
        <v>632</v>
      </c>
      <c r="B633" s="128" t="s">
        <v>1518</v>
      </c>
      <c r="C633" s="274" t="s">
        <v>1518</v>
      </c>
      <c r="D633" s="262"/>
      <c r="E633" s="128"/>
      <c r="F633" s="138" t="s">
        <v>1519</v>
      </c>
      <c r="G633" s="131" t="s">
        <v>1492</v>
      </c>
      <c r="H633" s="128" t="s">
        <v>136</v>
      </c>
      <c r="I633" s="132" t="s">
        <v>148</v>
      </c>
      <c r="J633" s="133">
        <v>15</v>
      </c>
      <c r="K633" s="129">
        <v>5</v>
      </c>
      <c r="L633" s="129">
        <v>10</v>
      </c>
      <c r="M633" s="129" t="s">
        <v>82</v>
      </c>
      <c r="N633" s="129" t="s">
        <v>83</v>
      </c>
      <c r="O633" s="139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40"/>
    </row>
    <row r="634" spans="1:26" x14ac:dyDescent="0.25">
      <c r="A634" s="203">
        <f t="shared" si="13"/>
        <v>633</v>
      </c>
      <c r="B634" s="129" t="s">
        <v>1520</v>
      </c>
      <c r="C634" s="263" t="s">
        <v>1520</v>
      </c>
      <c r="D634" s="262"/>
      <c r="E634" s="128"/>
      <c r="F634" s="4" t="s">
        <v>1521</v>
      </c>
      <c r="G634" s="131" t="s">
        <v>1492</v>
      </c>
      <c r="H634" s="128" t="s">
        <v>136</v>
      </c>
      <c r="I634" s="132" t="s">
        <v>148</v>
      </c>
      <c r="J634" s="133">
        <v>15</v>
      </c>
      <c r="K634" s="129">
        <v>5</v>
      </c>
      <c r="L634" s="129">
        <v>11</v>
      </c>
      <c r="M634" s="129" t="s">
        <v>82</v>
      </c>
      <c r="N634" s="129" t="s">
        <v>83</v>
      </c>
      <c r="O634" s="139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47"/>
    </row>
    <row r="635" spans="1:26" x14ac:dyDescent="0.25">
      <c r="A635" s="203">
        <f t="shared" si="13"/>
        <v>634</v>
      </c>
      <c r="B635" s="129" t="s">
        <v>1522</v>
      </c>
      <c r="C635" s="263" t="s">
        <v>1522</v>
      </c>
      <c r="D635" s="262"/>
      <c r="E635" s="128"/>
      <c r="F635" s="4" t="s">
        <v>1523</v>
      </c>
      <c r="G635" s="131" t="s">
        <v>1492</v>
      </c>
      <c r="H635" s="128" t="s">
        <v>136</v>
      </c>
      <c r="I635" s="132" t="s">
        <v>148</v>
      </c>
      <c r="J635" s="133">
        <v>15</v>
      </c>
      <c r="K635" s="129">
        <v>5</v>
      </c>
      <c r="L635" s="129">
        <v>12</v>
      </c>
      <c r="M635" s="129" t="s">
        <v>82</v>
      </c>
      <c r="N635" s="129" t="s">
        <v>83</v>
      </c>
      <c r="O635" s="139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47"/>
    </row>
    <row r="636" spans="1:26" x14ac:dyDescent="0.25">
      <c r="A636" s="203">
        <f t="shared" si="13"/>
        <v>635</v>
      </c>
      <c r="B636" s="128" t="s">
        <v>1524</v>
      </c>
      <c r="C636" s="263" t="s">
        <v>1525</v>
      </c>
      <c r="D636" s="262"/>
      <c r="E636" s="128"/>
      <c r="F636" s="141" t="s">
        <v>1526</v>
      </c>
      <c r="G636" s="131" t="s">
        <v>1492</v>
      </c>
      <c r="H636" s="128" t="s">
        <v>136</v>
      </c>
      <c r="I636" s="132" t="s">
        <v>148</v>
      </c>
      <c r="J636" s="133">
        <v>15</v>
      </c>
      <c r="K636" s="129">
        <v>5</v>
      </c>
      <c r="L636" s="129">
        <v>13</v>
      </c>
      <c r="M636" s="129" t="s">
        <v>82</v>
      </c>
      <c r="N636" s="129" t="s">
        <v>83</v>
      </c>
      <c r="O636" s="139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53"/>
    </row>
    <row r="637" spans="1:26" x14ac:dyDescent="0.25">
      <c r="A637" s="203">
        <f t="shared" si="13"/>
        <v>636</v>
      </c>
      <c r="B637" s="128" t="s">
        <v>1527</v>
      </c>
      <c r="C637" s="263" t="s">
        <v>1524</v>
      </c>
      <c r="D637" s="262"/>
      <c r="E637" s="128"/>
      <c r="F637" s="141" t="s">
        <v>1528</v>
      </c>
      <c r="G637" s="131" t="s">
        <v>1492</v>
      </c>
      <c r="H637" s="128" t="s">
        <v>136</v>
      </c>
      <c r="I637" s="132" t="s">
        <v>148</v>
      </c>
      <c r="J637" s="133">
        <v>15</v>
      </c>
      <c r="K637" s="129">
        <v>5</v>
      </c>
      <c r="L637" s="129">
        <v>15</v>
      </c>
      <c r="M637" s="129" t="s">
        <v>82</v>
      </c>
      <c r="N637" s="129" t="s">
        <v>83</v>
      </c>
      <c r="O637" s="139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53"/>
    </row>
    <row r="638" spans="1:26" x14ac:dyDescent="0.25">
      <c r="A638" s="203">
        <f t="shared" si="13"/>
        <v>637</v>
      </c>
      <c r="B638" s="128" t="s">
        <v>1529</v>
      </c>
      <c r="C638" s="274" t="s">
        <v>1529</v>
      </c>
      <c r="D638" s="262"/>
      <c r="E638" s="128"/>
      <c r="F638" s="138" t="s">
        <v>1530</v>
      </c>
      <c r="G638" s="131" t="s">
        <v>1492</v>
      </c>
      <c r="H638" s="128" t="s">
        <v>136</v>
      </c>
      <c r="I638" s="132" t="s">
        <v>148</v>
      </c>
      <c r="J638" s="133">
        <v>15</v>
      </c>
      <c r="K638" s="129">
        <v>6</v>
      </c>
      <c r="L638" s="129">
        <v>3</v>
      </c>
      <c r="M638" s="129" t="s">
        <v>82</v>
      </c>
      <c r="N638" s="129" t="s">
        <v>83</v>
      </c>
      <c r="O638" s="139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53"/>
    </row>
    <row r="639" spans="1:26" x14ac:dyDescent="0.25">
      <c r="A639" s="203">
        <f t="shared" si="13"/>
        <v>638</v>
      </c>
      <c r="B639" s="128" t="s">
        <v>1531</v>
      </c>
      <c r="C639" s="274" t="s">
        <v>1531</v>
      </c>
      <c r="D639" s="262"/>
      <c r="E639" s="128"/>
      <c r="F639" s="138" t="s">
        <v>1532</v>
      </c>
      <c r="G639" s="131" t="s">
        <v>1492</v>
      </c>
      <c r="H639" s="128" t="s">
        <v>136</v>
      </c>
      <c r="I639" s="132" t="s">
        <v>148</v>
      </c>
      <c r="J639" s="133">
        <v>15</v>
      </c>
      <c r="K639" s="129">
        <v>7</v>
      </c>
      <c r="L639" s="129">
        <v>0</v>
      </c>
      <c r="M639" s="129" t="s">
        <v>658</v>
      </c>
      <c r="N639" s="129" t="s">
        <v>659</v>
      </c>
      <c r="O639" s="139" t="s">
        <v>1533</v>
      </c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53"/>
    </row>
    <row r="640" spans="1:26" x14ac:dyDescent="0.25">
      <c r="A640" s="203">
        <f t="shared" si="13"/>
        <v>639</v>
      </c>
      <c r="B640" s="128" t="s">
        <v>1534</v>
      </c>
      <c r="C640" s="274" t="s">
        <v>1534</v>
      </c>
      <c r="D640" s="262"/>
      <c r="E640" s="128"/>
      <c r="F640" s="138" t="s">
        <v>1535</v>
      </c>
      <c r="G640" s="131" t="s">
        <v>1492</v>
      </c>
      <c r="H640" s="128" t="s">
        <v>136</v>
      </c>
      <c r="I640" s="132" t="s">
        <v>148</v>
      </c>
      <c r="J640" s="133">
        <v>15</v>
      </c>
      <c r="K640" s="129">
        <v>7</v>
      </c>
      <c r="L640" s="129">
        <v>1</v>
      </c>
      <c r="M640" s="129" t="s">
        <v>658</v>
      </c>
      <c r="N640" s="129" t="s">
        <v>659</v>
      </c>
      <c r="O640" s="139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53"/>
    </row>
    <row r="641" spans="1:26" x14ac:dyDescent="0.25">
      <c r="A641" s="203">
        <f t="shared" si="13"/>
        <v>640</v>
      </c>
      <c r="B641" s="128" t="s">
        <v>1536</v>
      </c>
      <c r="C641" s="274" t="s">
        <v>1536</v>
      </c>
      <c r="D641" s="262"/>
      <c r="E641" s="128"/>
      <c r="F641" s="138" t="s">
        <v>1537</v>
      </c>
      <c r="G641" s="131" t="s">
        <v>1492</v>
      </c>
      <c r="H641" s="128" t="s">
        <v>136</v>
      </c>
      <c r="I641" s="132" t="s">
        <v>148</v>
      </c>
      <c r="J641" s="133">
        <v>15</v>
      </c>
      <c r="K641" s="129">
        <v>7</v>
      </c>
      <c r="L641" s="129">
        <v>2</v>
      </c>
      <c r="M641" s="129" t="s">
        <v>658</v>
      </c>
      <c r="N641" s="129" t="s">
        <v>659</v>
      </c>
      <c r="O641" s="139" t="s">
        <v>1538</v>
      </c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53"/>
    </row>
    <row r="642" spans="1:26" s="149" customFormat="1" x14ac:dyDescent="0.25">
      <c r="A642" s="203">
        <f t="shared" si="13"/>
        <v>641</v>
      </c>
      <c r="B642" s="128" t="s">
        <v>1539</v>
      </c>
      <c r="C642" s="274" t="s">
        <v>1539</v>
      </c>
      <c r="D642" s="262"/>
      <c r="E642" s="128"/>
      <c r="F642" s="138" t="s">
        <v>1540</v>
      </c>
      <c r="G642" s="131" t="s">
        <v>1492</v>
      </c>
      <c r="H642" s="128" t="s">
        <v>136</v>
      </c>
      <c r="I642" s="132" t="s">
        <v>148</v>
      </c>
      <c r="J642" s="133">
        <v>15</v>
      </c>
      <c r="K642" s="129">
        <v>7</v>
      </c>
      <c r="L642" s="129">
        <v>3</v>
      </c>
      <c r="M642" s="129" t="s">
        <v>658</v>
      </c>
      <c r="N642" s="129" t="s">
        <v>659</v>
      </c>
      <c r="O642" s="139" t="s">
        <v>1538</v>
      </c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53"/>
    </row>
    <row r="643" spans="1:26" s="149" customFormat="1" x14ac:dyDescent="0.25">
      <c r="A643" s="203">
        <f t="shared" si="13"/>
        <v>642</v>
      </c>
      <c r="B643" s="128" t="s">
        <v>1541</v>
      </c>
      <c r="C643" s="274" t="s">
        <v>1541</v>
      </c>
      <c r="D643" s="262"/>
      <c r="E643" s="128"/>
      <c r="F643" s="138" t="s">
        <v>1542</v>
      </c>
      <c r="G643" s="131" t="s">
        <v>1492</v>
      </c>
      <c r="H643" s="128" t="s">
        <v>136</v>
      </c>
      <c r="I643" s="132" t="s">
        <v>148</v>
      </c>
      <c r="J643" s="133">
        <v>15</v>
      </c>
      <c r="K643" s="129">
        <v>7</v>
      </c>
      <c r="L643" s="129">
        <v>4</v>
      </c>
      <c r="M643" s="129" t="s">
        <v>658</v>
      </c>
      <c r="N643" s="129" t="s">
        <v>659</v>
      </c>
      <c r="O643" s="139" t="s">
        <v>1533</v>
      </c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53"/>
    </row>
    <row r="644" spans="1:26" s="149" customFormat="1" x14ac:dyDescent="0.25">
      <c r="A644" s="203">
        <f t="shared" si="13"/>
        <v>643</v>
      </c>
      <c r="B644" s="128" t="s">
        <v>1543</v>
      </c>
      <c r="C644" s="274" t="s">
        <v>1543</v>
      </c>
      <c r="D644" s="262"/>
      <c r="E644" s="128"/>
      <c r="F644" s="138" t="s">
        <v>1544</v>
      </c>
      <c r="G644" s="131" t="s">
        <v>1492</v>
      </c>
      <c r="H644" s="128" t="s">
        <v>136</v>
      </c>
      <c r="I644" s="132" t="s">
        <v>148</v>
      </c>
      <c r="J644" s="133">
        <v>15</v>
      </c>
      <c r="K644" s="129">
        <v>7</v>
      </c>
      <c r="L644" s="129">
        <v>5</v>
      </c>
      <c r="M644" s="129" t="s">
        <v>658</v>
      </c>
      <c r="N644" s="129" t="s">
        <v>659</v>
      </c>
      <c r="O644" s="139" t="s">
        <v>1545</v>
      </c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53"/>
    </row>
    <row r="645" spans="1:26" s="149" customFormat="1" x14ac:dyDescent="0.25">
      <c r="A645" s="203">
        <f t="shared" si="13"/>
        <v>644</v>
      </c>
      <c r="B645" s="128" t="s">
        <v>1546</v>
      </c>
      <c r="C645" s="274" t="s">
        <v>1546</v>
      </c>
      <c r="D645" s="262"/>
      <c r="E645" s="128"/>
      <c r="F645" s="138" t="s">
        <v>1547</v>
      </c>
      <c r="G645" s="131" t="s">
        <v>1492</v>
      </c>
      <c r="H645" s="128" t="s">
        <v>136</v>
      </c>
      <c r="I645" s="132" t="s">
        <v>148</v>
      </c>
      <c r="J645" s="133">
        <v>15</v>
      </c>
      <c r="K645" s="129">
        <v>7</v>
      </c>
      <c r="L645" s="129">
        <v>6</v>
      </c>
      <c r="M645" s="129" t="s">
        <v>658</v>
      </c>
      <c r="N645" s="129" t="s">
        <v>659</v>
      </c>
      <c r="O645" s="139" t="s">
        <v>1545</v>
      </c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53"/>
    </row>
    <row r="646" spans="1:26" s="149" customFormat="1" x14ac:dyDescent="0.25">
      <c r="A646" s="203">
        <f t="shared" si="13"/>
        <v>645</v>
      </c>
      <c r="B646" s="128"/>
      <c r="C646" s="274" t="s">
        <v>1548</v>
      </c>
      <c r="D646" s="264"/>
      <c r="E646" s="133"/>
      <c r="F646" s="141" t="s">
        <v>1549</v>
      </c>
      <c r="G646" s="142" t="s">
        <v>1492</v>
      </c>
      <c r="H646" s="133" t="s">
        <v>136</v>
      </c>
      <c r="I646" s="132" t="s">
        <v>148</v>
      </c>
      <c r="J646" s="133">
        <v>15</v>
      </c>
      <c r="K646" s="128">
        <v>8</v>
      </c>
      <c r="L646" s="128">
        <v>0</v>
      </c>
      <c r="M646" s="128" t="s">
        <v>658</v>
      </c>
      <c r="N646" s="128" t="s">
        <v>659</v>
      </c>
      <c r="O646" s="139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40"/>
    </row>
    <row r="647" spans="1:26" s="149" customFormat="1" x14ac:dyDescent="0.25">
      <c r="A647" s="203">
        <f t="shared" si="13"/>
        <v>646</v>
      </c>
      <c r="B647" s="128"/>
      <c r="C647" s="274" t="s">
        <v>1550</v>
      </c>
      <c r="D647" s="264"/>
      <c r="E647" s="133"/>
      <c r="F647" s="141" t="s">
        <v>1551</v>
      </c>
      <c r="G647" s="142" t="s">
        <v>1492</v>
      </c>
      <c r="H647" s="133" t="s">
        <v>136</v>
      </c>
      <c r="I647" s="132" t="s">
        <v>148</v>
      </c>
      <c r="J647" s="133">
        <v>15</v>
      </c>
      <c r="K647" s="128">
        <v>8</v>
      </c>
      <c r="L647" s="128">
        <v>1</v>
      </c>
      <c r="M647" s="128" t="s">
        <v>658</v>
      </c>
      <c r="N647" s="128" t="s">
        <v>659</v>
      </c>
      <c r="O647" s="139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40"/>
    </row>
    <row r="648" spans="1:26" s="149" customFormat="1" x14ac:dyDescent="0.25">
      <c r="A648" s="203">
        <f t="shared" si="13"/>
        <v>647</v>
      </c>
      <c r="B648" s="128" t="s">
        <v>1552</v>
      </c>
      <c r="C648" s="263" t="s">
        <v>1552</v>
      </c>
      <c r="D648" s="262"/>
      <c r="E648" s="128"/>
      <c r="F648" s="138" t="s">
        <v>1553</v>
      </c>
      <c r="G648" s="131" t="s">
        <v>1492</v>
      </c>
      <c r="H648" s="128" t="s">
        <v>136</v>
      </c>
      <c r="I648" s="132" t="s">
        <v>148</v>
      </c>
      <c r="J648" s="133">
        <v>15</v>
      </c>
      <c r="K648" s="129">
        <v>8</v>
      </c>
      <c r="L648" s="129">
        <v>2</v>
      </c>
      <c r="M648" s="129" t="s">
        <v>658</v>
      </c>
      <c r="N648" s="129" t="s">
        <v>659</v>
      </c>
      <c r="O648" s="139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53"/>
    </row>
    <row r="649" spans="1:26" s="149" customFormat="1" x14ac:dyDescent="0.25">
      <c r="A649" s="203">
        <f t="shared" si="13"/>
        <v>648</v>
      </c>
      <c r="B649" s="128" t="s">
        <v>1554</v>
      </c>
      <c r="C649" s="263" t="s">
        <v>1554</v>
      </c>
      <c r="D649" s="262"/>
      <c r="E649" s="128"/>
      <c r="F649" s="138" t="s">
        <v>1555</v>
      </c>
      <c r="G649" s="131" t="s">
        <v>1492</v>
      </c>
      <c r="H649" s="128" t="s">
        <v>136</v>
      </c>
      <c r="I649" s="132" t="s">
        <v>148</v>
      </c>
      <c r="J649" s="133">
        <v>15</v>
      </c>
      <c r="K649" s="129">
        <v>8</v>
      </c>
      <c r="L649" s="129">
        <v>3</v>
      </c>
      <c r="M649" s="129" t="s">
        <v>658</v>
      </c>
      <c r="N649" s="129" t="s">
        <v>659</v>
      </c>
      <c r="O649" s="139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53"/>
    </row>
    <row r="650" spans="1:26" x14ac:dyDescent="0.25">
      <c r="A650" s="203">
        <f t="shared" si="13"/>
        <v>649</v>
      </c>
      <c r="B650" s="128" t="s">
        <v>1556</v>
      </c>
      <c r="C650" s="274" t="s">
        <v>1556</v>
      </c>
      <c r="D650" s="262"/>
      <c r="E650" s="128"/>
      <c r="F650" s="138" t="s">
        <v>1557</v>
      </c>
      <c r="G650" s="131" t="s">
        <v>1492</v>
      </c>
      <c r="H650" s="128" t="s">
        <v>136</v>
      </c>
      <c r="I650" s="132" t="s">
        <v>148</v>
      </c>
      <c r="J650" s="133">
        <v>15</v>
      </c>
      <c r="K650" s="129">
        <v>8</v>
      </c>
      <c r="L650" s="129">
        <v>4</v>
      </c>
      <c r="M650" s="129" t="s">
        <v>658</v>
      </c>
      <c r="N650" s="129" t="s">
        <v>659</v>
      </c>
      <c r="O650" s="139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53"/>
    </row>
    <row r="651" spans="1:26" x14ac:dyDescent="0.25">
      <c r="A651" s="203">
        <f t="shared" si="13"/>
        <v>650</v>
      </c>
      <c r="B651" s="128" t="s">
        <v>1558</v>
      </c>
      <c r="C651" s="274" t="s">
        <v>1558</v>
      </c>
      <c r="D651" s="262"/>
      <c r="E651" s="128"/>
      <c r="F651" s="138" t="s">
        <v>1559</v>
      </c>
      <c r="G651" s="131" t="s">
        <v>1492</v>
      </c>
      <c r="H651" s="128" t="s">
        <v>136</v>
      </c>
      <c r="I651" s="132" t="s">
        <v>148</v>
      </c>
      <c r="J651" s="133">
        <v>15</v>
      </c>
      <c r="K651" s="129">
        <v>8</v>
      </c>
      <c r="L651" s="129">
        <v>5</v>
      </c>
      <c r="M651" s="129" t="s">
        <v>658</v>
      </c>
      <c r="N651" s="129" t="s">
        <v>659</v>
      </c>
      <c r="O651" s="139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53"/>
    </row>
    <row r="652" spans="1:26" x14ac:dyDescent="0.25">
      <c r="A652" s="203">
        <f t="shared" si="13"/>
        <v>651</v>
      </c>
      <c r="B652" s="128" t="s">
        <v>1560</v>
      </c>
      <c r="C652" s="274" t="s">
        <v>1560</v>
      </c>
      <c r="D652" s="262"/>
      <c r="E652" s="128"/>
      <c r="F652" s="138" t="s">
        <v>1561</v>
      </c>
      <c r="G652" s="131" t="s">
        <v>1492</v>
      </c>
      <c r="H652" s="128" t="s">
        <v>136</v>
      </c>
      <c r="I652" s="132" t="s">
        <v>148</v>
      </c>
      <c r="J652" s="133">
        <v>15</v>
      </c>
      <c r="K652" s="129">
        <v>8</v>
      </c>
      <c r="L652" s="129">
        <v>6</v>
      </c>
      <c r="M652" s="129" t="s">
        <v>658</v>
      </c>
      <c r="N652" s="129" t="s">
        <v>659</v>
      </c>
      <c r="O652" s="139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53"/>
    </row>
    <row r="653" spans="1:26" x14ac:dyDescent="0.25">
      <c r="A653" s="203">
        <f t="shared" si="13"/>
        <v>652</v>
      </c>
      <c r="B653" s="128" t="s">
        <v>1562</v>
      </c>
      <c r="C653" s="274" t="s">
        <v>1563</v>
      </c>
      <c r="D653" s="262"/>
      <c r="E653" s="128"/>
      <c r="F653" s="141" t="s">
        <v>1564</v>
      </c>
      <c r="G653" s="131" t="s">
        <v>1492</v>
      </c>
      <c r="H653" s="128" t="s">
        <v>136</v>
      </c>
      <c r="I653" s="132" t="s">
        <v>1565</v>
      </c>
      <c r="J653" s="133">
        <v>16</v>
      </c>
      <c r="K653" s="129">
        <v>1</v>
      </c>
      <c r="L653" s="129">
        <v>0</v>
      </c>
      <c r="M653" s="129" t="s">
        <v>138</v>
      </c>
      <c r="N653" s="129" t="s">
        <v>139</v>
      </c>
      <c r="O653" s="139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53"/>
    </row>
    <row r="654" spans="1:26" x14ac:dyDescent="0.25">
      <c r="A654" s="203">
        <f t="shared" si="13"/>
        <v>653</v>
      </c>
      <c r="B654" s="128" t="s">
        <v>1562</v>
      </c>
      <c r="C654" s="274" t="s">
        <v>1563</v>
      </c>
      <c r="D654" s="262"/>
      <c r="E654" s="128"/>
      <c r="F654" s="141" t="s">
        <v>1566</v>
      </c>
      <c r="G654" s="131" t="s">
        <v>1492</v>
      </c>
      <c r="H654" s="128" t="s">
        <v>136</v>
      </c>
      <c r="I654" s="132" t="s">
        <v>1565</v>
      </c>
      <c r="J654" s="133">
        <v>16</v>
      </c>
      <c r="K654" s="129">
        <v>1</v>
      </c>
      <c r="L654" s="129">
        <v>1</v>
      </c>
      <c r="M654" s="129" t="s">
        <v>138</v>
      </c>
      <c r="N654" s="129" t="s">
        <v>139</v>
      </c>
      <c r="O654" s="139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53"/>
    </row>
    <row r="655" spans="1:26" x14ac:dyDescent="0.25">
      <c r="A655" s="203">
        <f t="shared" si="13"/>
        <v>654</v>
      </c>
      <c r="B655" s="128" t="s">
        <v>1567</v>
      </c>
      <c r="C655" s="274" t="s">
        <v>1494</v>
      </c>
      <c r="D655" s="262"/>
      <c r="E655" s="128"/>
      <c r="F655" s="141" t="s">
        <v>1568</v>
      </c>
      <c r="G655" s="131" t="s">
        <v>1492</v>
      </c>
      <c r="H655" s="128" t="s">
        <v>136</v>
      </c>
      <c r="I655" s="132" t="s">
        <v>1565</v>
      </c>
      <c r="J655" s="133">
        <v>16</v>
      </c>
      <c r="K655" s="129">
        <v>1</v>
      </c>
      <c r="L655" s="129">
        <v>2</v>
      </c>
      <c r="M655" s="129" t="s">
        <v>138</v>
      </c>
      <c r="N655" s="129" t="s">
        <v>139</v>
      </c>
      <c r="O655" s="139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53"/>
    </row>
    <row r="656" spans="1:26" x14ac:dyDescent="0.25">
      <c r="A656" s="203">
        <f t="shared" si="13"/>
        <v>655</v>
      </c>
      <c r="B656" s="128" t="s">
        <v>1567</v>
      </c>
      <c r="C656" s="274" t="s">
        <v>1494</v>
      </c>
      <c r="D656" s="262"/>
      <c r="E656" s="128"/>
      <c r="F656" s="141" t="s">
        <v>1569</v>
      </c>
      <c r="G656" s="131" t="s">
        <v>1492</v>
      </c>
      <c r="H656" s="128" t="s">
        <v>136</v>
      </c>
      <c r="I656" s="132" t="s">
        <v>1565</v>
      </c>
      <c r="J656" s="133">
        <v>16</v>
      </c>
      <c r="K656" s="129">
        <v>1</v>
      </c>
      <c r="L656" s="129">
        <v>3</v>
      </c>
      <c r="M656" s="129" t="s">
        <v>138</v>
      </c>
      <c r="N656" s="129" t="s">
        <v>139</v>
      </c>
      <c r="O656" s="139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53"/>
    </row>
    <row r="657" spans="1:26" x14ac:dyDescent="0.25">
      <c r="A657" s="203">
        <f t="shared" si="13"/>
        <v>656</v>
      </c>
      <c r="B657" s="128" t="s">
        <v>1570</v>
      </c>
      <c r="C657" s="274" t="s">
        <v>1562</v>
      </c>
      <c r="D657" s="262"/>
      <c r="E657" s="128"/>
      <c r="F657" s="141" t="s">
        <v>1571</v>
      </c>
      <c r="G657" s="131" t="s">
        <v>1492</v>
      </c>
      <c r="H657" s="128" t="s">
        <v>136</v>
      </c>
      <c r="I657" s="132" t="s">
        <v>1565</v>
      </c>
      <c r="J657" s="133">
        <v>16</v>
      </c>
      <c r="K657" s="129">
        <v>1</v>
      </c>
      <c r="L657" s="129">
        <v>4</v>
      </c>
      <c r="M657" s="129" t="s">
        <v>138</v>
      </c>
      <c r="N657" s="129" t="s">
        <v>139</v>
      </c>
      <c r="O657" s="139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53"/>
    </row>
    <row r="658" spans="1:26" x14ac:dyDescent="0.25">
      <c r="A658" s="203">
        <f t="shared" si="13"/>
        <v>657</v>
      </c>
      <c r="B658" s="128" t="s">
        <v>1570</v>
      </c>
      <c r="C658" s="274" t="s">
        <v>1562</v>
      </c>
      <c r="D658" s="262"/>
      <c r="E658" s="128"/>
      <c r="F658" s="141" t="s">
        <v>1572</v>
      </c>
      <c r="G658" s="131" t="s">
        <v>1492</v>
      </c>
      <c r="H658" s="128" t="s">
        <v>136</v>
      </c>
      <c r="I658" s="132" t="s">
        <v>1565</v>
      </c>
      <c r="J658" s="133">
        <v>16</v>
      </c>
      <c r="K658" s="129">
        <v>1</v>
      </c>
      <c r="L658" s="129">
        <v>5</v>
      </c>
      <c r="M658" s="129" t="s">
        <v>138</v>
      </c>
      <c r="N658" s="129" t="s">
        <v>139</v>
      </c>
      <c r="O658" s="139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53"/>
    </row>
    <row r="659" spans="1:26" x14ac:dyDescent="0.25">
      <c r="A659" s="203">
        <f t="shared" si="13"/>
        <v>658</v>
      </c>
      <c r="B659" s="128" t="s">
        <v>1573</v>
      </c>
      <c r="C659" s="274" t="s">
        <v>1573</v>
      </c>
      <c r="D659" s="262"/>
      <c r="E659" s="128"/>
      <c r="F659" s="138" t="s">
        <v>1498</v>
      </c>
      <c r="G659" s="131" t="s">
        <v>1492</v>
      </c>
      <c r="H659" s="128" t="s">
        <v>136</v>
      </c>
      <c r="I659" s="132" t="s">
        <v>1565</v>
      </c>
      <c r="J659" s="133">
        <v>16</v>
      </c>
      <c r="K659" s="129">
        <v>3</v>
      </c>
      <c r="L659" s="129">
        <v>0</v>
      </c>
      <c r="M659" s="129" t="s">
        <v>31</v>
      </c>
      <c r="N659" s="129" t="s">
        <v>32</v>
      </c>
      <c r="O659" s="139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53"/>
    </row>
    <row r="660" spans="1:26" x14ac:dyDescent="0.25">
      <c r="A660" s="203">
        <f t="shared" si="13"/>
        <v>659</v>
      </c>
      <c r="B660" s="128" t="s">
        <v>1574</v>
      </c>
      <c r="C660" s="274" t="s">
        <v>1574</v>
      </c>
      <c r="D660" s="262"/>
      <c r="E660" s="128"/>
      <c r="F660" s="138" t="s">
        <v>1575</v>
      </c>
      <c r="G660" s="131" t="s">
        <v>1492</v>
      </c>
      <c r="H660" s="128" t="s">
        <v>136</v>
      </c>
      <c r="I660" s="132" t="s">
        <v>1565</v>
      </c>
      <c r="J660" s="133">
        <v>16</v>
      </c>
      <c r="K660" s="129">
        <v>3</v>
      </c>
      <c r="L660" s="129">
        <v>1</v>
      </c>
      <c r="M660" s="129" t="s">
        <v>31</v>
      </c>
      <c r="N660" s="129" t="s">
        <v>32</v>
      </c>
      <c r="O660" s="139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53"/>
    </row>
    <row r="661" spans="1:26" x14ac:dyDescent="0.25">
      <c r="A661" s="203">
        <f t="shared" si="13"/>
        <v>660</v>
      </c>
      <c r="B661" s="128" t="s">
        <v>1576</v>
      </c>
      <c r="C661" s="274" t="s">
        <v>1576</v>
      </c>
      <c r="D661" s="262"/>
      <c r="E661" s="128"/>
      <c r="F661" s="138" t="s">
        <v>1577</v>
      </c>
      <c r="G661" s="131" t="s">
        <v>1492</v>
      </c>
      <c r="H661" s="128" t="s">
        <v>136</v>
      </c>
      <c r="I661" s="132" t="s">
        <v>1565</v>
      </c>
      <c r="J661" s="133">
        <v>16</v>
      </c>
      <c r="K661" s="129">
        <v>3</v>
      </c>
      <c r="L661" s="129">
        <v>2</v>
      </c>
      <c r="M661" s="129" t="s">
        <v>31</v>
      </c>
      <c r="N661" s="129" t="s">
        <v>32</v>
      </c>
      <c r="O661" s="139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53"/>
    </row>
    <row r="662" spans="1:26" x14ac:dyDescent="0.25">
      <c r="A662" s="203">
        <f t="shared" si="13"/>
        <v>661</v>
      </c>
      <c r="B662" s="128" t="s">
        <v>1578</v>
      </c>
      <c r="C662" s="274" t="s">
        <v>1578</v>
      </c>
      <c r="D662" s="262"/>
      <c r="E662" s="128"/>
      <c r="F662" s="138" t="s">
        <v>1498</v>
      </c>
      <c r="G662" s="131" t="s">
        <v>1492</v>
      </c>
      <c r="H662" s="128" t="s">
        <v>136</v>
      </c>
      <c r="I662" s="132" t="s">
        <v>1565</v>
      </c>
      <c r="J662" s="133">
        <v>16</v>
      </c>
      <c r="K662" s="129">
        <v>3</v>
      </c>
      <c r="L662" s="129">
        <v>3</v>
      </c>
      <c r="M662" s="129" t="s">
        <v>31</v>
      </c>
      <c r="N662" s="129" t="s">
        <v>32</v>
      </c>
      <c r="O662" s="139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53"/>
    </row>
    <row r="663" spans="1:26" x14ac:dyDescent="0.25">
      <c r="A663" s="203">
        <f t="shared" si="13"/>
        <v>662</v>
      </c>
      <c r="B663" s="128" t="s">
        <v>1579</v>
      </c>
      <c r="C663" s="274" t="s">
        <v>1579</v>
      </c>
      <c r="D663" s="262"/>
      <c r="E663" s="128"/>
      <c r="F663" s="138" t="s">
        <v>1580</v>
      </c>
      <c r="G663" s="131" t="s">
        <v>1492</v>
      </c>
      <c r="H663" s="128" t="s">
        <v>136</v>
      </c>
      <c r="I663" s="132" t="s">
        <v>1565</v>
      </c>
      <c r="J663" s="133">
        <v>16</v>
      </c>
      <c r="K663" s="129">
        <v>5</v>
      </c>
      <c r="L663" s="129">
        <v>11</v>
      </c>
      <c r="M663" s="129" t="s">
        <v>82</v>
      </c>
      <c r="N663" s="129" t="s">
        <v>83</v>
      </c>
      <c r="O663" s="139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40"/>
    </row>
    <row r="664" spans="1:26" x14ac:dyDescent="0.25">
      <c r="A664" s="203">
        <f t="shared" si="13"/>
        <v>663</v>
      </c>
      <c r="B664" s="128" t="s">
        <v>1581</v>
      </c>
      <c r="C664" s="263" t="s">
        <v>1582</v>
      </c>
      <c r="D664" s="262"/>
      <c r="E664" s="128"/>
      <c r="F664" s="141" t="s">
        <v>1583</v>
      </c>
      <c r="G664" s="131" t="s">
        <v>1492</v>
      </c>
      <c r="H664" s="128" t="s">
        <v>136</v>
      </c>
      <c r="I664" s="132" t="s">
        <v>1565</v>
      </c>
      <c r="J664" s="133">
        <v>16</v>
      </c>
      <c r="K664" s="129">
        <v>5</v>
      </c>
      <c r="L664" s="129">
        <v>12</v>
      </c>
      <c r="M664" s="129" t="s">
        <v>82</v>
      </c>
      <c r="N664" s="129" t="s">
        <v>83</v>
      </c>
      <c r="O664" s="139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53"/>
    </row>
    <row r="665" spans="1:26" x14ac:dyDescent="0.25">
      <c r="A665" s="203">
        <f t="shared" si="13"/>
        <v>664</v>
      </c>
      <c r="B665" s="128" t="s">
        <v>1584</v>
      </c>
      <c r="C665" s="263" t="s">
        <v>1527</v>
      </c>
      <c r="D665" s="262"/>
      <c r="E665" s="128"/>
      <c r="F665" s="141" t="s">
        <v>1585</v>
      </c>
      <c r="G665" s="131" t="s">
        <v>1492</v>
      </c>
      <c r="H665" s="128" t="s">
        <v>136</v>
      </c>
      <c r="I665" s="132" t="s">
        <v>1565</v>
      </c>
      <c r="J665" s="133">
        <v>16</v>
      </c>
      <c r="K665" s="129">
        <v>5</v>
      </c>
      <c r="L665" s="129">
        <v>13</v>
      </c>
      <c r="M665" s="129" t="s">
        <v>82</v>
      </c>
      <c r="N665" s="129" t="s">
        <v>83</v>
      </c>
      <c r="O665" s="139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53"/>
    </row>
    <row r="666" spans="1:26" x14ac:dyDescent="0.25">
      <c r="A666" s="203">
        <f t="shared" si="13"/>
        <v>665</v>
      </c>
      <c r="B666" s="128" t="s">
        <v>1586</v>
      </c>
      <c r="C666" s="263" t="s">
        <v>1581</v>
      </c>
      <c r="D666" s="262"/>
      <c r="E666" s="128"/>
      <c r="F666" s="141" t="s">
        <v>1587</v>
      </c>
      <c r="G666" s="131" t="s">
        <v>1492</v>
      </c>
      <c r="H666" s="128" t="s">
        <v>136</v>
      </c>
      <c r="I666" s="132" t="s">
        <v>1565</v>
      </c>
      <c r="J666" s="133">
        <v>16</v>
      </c>
      <c r="K666" s="129">
        <v>5</v>
      </c>
      <c r="L666" s="129">
        <v>14</v>
      </c>
      <c r="M666" s="129" t="s">
        <v>82</v>
      </c>
      <c r="N666" s="129" t="s">
        <v>83</v>
      </c>
      <c r="O666" s="139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53"/>
    </row>
    <row r="667" spans="1:26" x14ac:dyDescent="0.25">
      <c r="A667" s="203">
        <f t="shared" si="13"/>
        <v>666</v>
      </c>
      <c r="B667" s="128" t="s">
        <v>1588</v>
      </c>
      <c r="C667" s="274" t="s">
        <v>1588</v>
      </c>
      <c r="D667" s="262"/>
      <c r="E667" s="128"/>
      <c r="F667" s="138" t="s">
        <v>1589</v>
      </c>
      <c r="G667" s="131" t="s">
        <v>1492</v>
      </c>
      <c r="H667" s="128" t="s">
        <v>136</v>
      </c>
      <c r="I667" s="132" t="s">
        <v>1565</v>
      </c>
      <c r="J667" s="133">
        <v>16</v>
      </c>
      <c r="K667" s="129">
        <v>7</v>
      </c>
      <c r="L667" s="129">
        <v>0</v>
      </c>
      <c r="M667" s="129" t="s">
        <v>658</v>
      </c>
      <c r="N667" s="129" t="s">
        <v>659</v>
      </c>
      <c r="O667" s="139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53"/>
    </row>
    <row r="668" spans="1:26" x14ac:dyDescent="0.25">
      <c r="A668" s="203">
        <f t="shared" si="13"/>
        <v>667</v>
      </c>
      <c r="B668" s="128" t="s">
        <v>1590</v>
      </c>
      <c r="C668" s="274" t="s">
        <v>1590</v>
      </c>
      <c r="D668" s="262"/>
      <c r="E668" s="128"/>
      <c r="F668" s="138" t="s">
        <v>1591</v>
      </c>
      <c r="G668" s="131" t="s">
        <v>1492</v>
      </c>
      <c r="H668" s="128" t="s">
        <v>136</v>
      </c>
      <c r="I668" s="132" t="s">
        <v>1565</v>
      </c>
      <c r="J668" s="133">
        <v>16</v>
      </c>
      <c r="K668" s="129">
        <v>7</v>
      </c>
      <c r="L668" s="129">
        <v>1</v>
      </c>
      <c r="M668" s="129" t="s">
        <v>658</v>
      </c>
      <c r="N668" s="129" t="s">
        <v>659</v>
      </c>
      <c r="O668" s="139" t="s">
        <v>1538</v>
      </c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53"/>
    </row>
    <row r="669" spans="1:26" x14ac:dyDescent="0.25">
      <c r="A669" s="203">
        <f t="shared" si="13"/>
        <v>668</v>
      </c>
      <c r="B669" s="128" t="s">
        <v>1592</v>
      </c>
      <c r="C669" s="274" t="s">
        <v>1592</v>
      </c>
      <c r="D669" s="262"/>
      <c r="E669" s="128"/>
      <c r="F669" s="138" t="s">
        <v>1593</v>
      </c>
      <c r="G669" s="131" t="s">
        <v>1492</v>
      </c>
      <c r="H669" s="128" t="s">
        <v>136</v>
      </c>
      <c r="I669" s="132" t="s">
        <v>1565</v>
      </c>
      <c r="J669" s="133">
        <v>16</v>
      </c>
      <c r="K669" s="129">
        <v>7</v>
      </c>
      <c r="L669" s="129">
        <v>2</v>
      </c>
      <c r="M669" s="129" t="s">
        <v>658</v>
      </c>
      <c r="N669" s="129" t="s">
        <v>659</v>
      </c>
      <c r="O669" s="139" t="s">
        <v>1538</v>
      </c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53"/>
    </row>
    <row r="670" spans="1:26" x14ac:dyDescent="0.25">
      <c r="A670" s="203">
        <f t="shared" si="13"/>
        <v>669</v>
      </c>
      <c r="B670" s="128" t="s">
        <v>1594</v>
      </c>
      <c r="C670" s="274" t="s">
        <v>1594</v>
      </c>
      <c r="D670" s="262"/>
      <c r="E670" s="128"/>
      <c r="F670" s="138" t="s">
        <v>1595</v>
      </c>
      <c r="G670" s="131" t="s">
        <v>1492</v>
      </c>
      <c r="H670" s="128" t="s">
        <v>136</v>
      </c>
      <c r="I670" s="132" t="s">
        <v>1565</v>
      </c>
      <c r="J670" s="133">
        <v>16</v>
      </c>
      <c r="K670" s="129">
        <v>7</v>
      </c>
      <c r="L670" s="129">
        <v>3</v>
      </c>
      <c r="M670" s="129" t="s">
        <v>658</v>
      </c>
      <c r="N670" s="129" t="s">
        <v>659</v>
      </c>
      <c r="O670" s="139" t="s">
        <v>1545</v>
      </c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53"/>
    </row>
    <row r="671" spans="1:26" x14ac:dyDescent="0.25">
      <c r="A671" s="203">
        <f t="shared" si="13"/>
        <v>670</v>
      </c>
      <c r="B671" s="128" t="s">
        <v>1596</v>
      </c>
      <c r="C671" s="274" t="s">
        <v>1596</v>
      </c>
      <c r="D671" s="262"/>
      <c r="E671" s="128"/>
      <c r="F671" s="138" t="s">
        <v>1597</v>
      </c>
      <c r="G671" s="131" t="s">
        <v>1492</v>
      </c>
      <c r="H671" s="128" t="s">
        <v>136</v>
      </c>
      <c r="I671" s="132" t="s">
        <v>1565</v>
      </c>
      <c r="J671" s="133">
        <v>16</v>
      </c>
      <c r="K671" s="129">
        <v>7</v>
      </c>
      <c r="L671" s="129">
        <v>4</v>
      </c>
      <c r="M671" s="129" t="s">
        <v>658</v>
      </c>
      <c r="N671" s="129" t="s">
        <v>659</v>
      </c>
      <c r="O671" s="139" t="s">
        <v>1538</v>
      </c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53"/>
    </row>
    <row r="672" spans="1:26" x14ac:dyDescent="0.25">
      <c r="A672" s="203">
        <f t="shared" si="13"/>
        <v>671</v>
      </c>
      <c r="B672" s="128" t="s">
        <v>1598</v>
      </c>
      <c r="C672" s="263" t="s">
        <v>1598</v>
      </c>
      <c r="D672" s="262"/>
      <c r="E672" s="128"/>
      <c r="F672" s="138" t="s">
        <v>1599</v>
      </c>
      <c r="G672" s="131" t="s">
        <v>1492</v>
      </c>
      <c r="H672" s="128" t="s">
        <v>136</v>
      </c>
      <c r="I672" s="132" t="s">
        <v>1565</v>
      </c>
      <c r="J672" s="133">
        <v>16</v>
      </c>
      <c r="K672" s="129">
        <v>7</v>
      </c>
      <c r="L672" s="129">
        <v>5</v>
      </c>
      <c r="M672" s="129" t="s">
        <v>658</v>
      </c>
      <c r="N672" s="129" t="s">
        <v>659</v>
      </c>
      <c r="O672" s="139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53"/>
    </row>
    <row r="673" spans="1:26" x14ac:dyDescent="0.25">
      <c r="A673" s="203">
        <f t="shared" si="13"/>
        <v>672</v>
      </c>
      <c r="B673" s="128" t="s">
        <v>1600</v>
      </c>
      <c r="C673" s="263" t="s">
        <v>1600</v>
      </c>
      <c r="D673" s="262"/>
      <c r="E673" s="128"/>
      <c r="F673" s="138" t="s">
        <v>1601</v>
      </c>
      <c r="G673" s="131" t="s">
        <v>1492</v>
      </c>
      <c r="H673" s="128" t="s">
        <v>136</v>
      </c>
      <c r="I673" s="132" t="s">
        <v>1565</v>
      </c>
      <c r="J673" s="133">
        <v>16</v>
      </c>
      <c r="K673" s="129">
        <v>7</v>
      </c>
      <c r="L673" s="129">
        <v>6</v>
      </c>
      <c r="M673" s="129" t="s">
        <v>658</v>
      </c>
      <c r="N673" s="129" t="s">
        <v>659</v>
      </c>
      <c r="O673" s="139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40"/>
    </row>
    <row r="674" spans="1:26" x14ac:dyDescent="0.25">
      <c r="A674" s="203">
        <f t="shared" si="13"/>
        <v>673</v>
      </c>
      <c r="B674" s="129" t="s">
        <v>1602</v>
      </c>
      <c r="C674" s="274" t="s">
        <v>1602</v>
      </c>
      <c r="D674" s="262"/>
      <c r="E674" s="128"/>
      <c r="F674" s="4" t="s">
        <v>1603</v>
      </c>
      <c r="G674" s="131" t="s">
        <v>1492</v>
      </c>
      <c r="H674" s="129" t="s">
        <v>136</v>
      </c>
      <c r="I674" s="132" t="s">
        <v>1565</v>
      </c>
      <c r="J674" s="133">
        <v>16</v>
      </c>
      <c r="K674" s="129">
        <v>7</v>
      </c>
      <c r="L674" s="129">
        <v>7</v>
      </c>
      <c r="M674" s="129" t="s">
        <v>658</v>
      </c>
      <c r="N674" s="129" t="s">
        <v>659</v>
      </c>
      <c r="O674" s="139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40"/>
    </row>
    <row r="675" spans="1:26" x14ac:dyDescent="0.25">
      <c r="A675" s="203">
        <f t="shared" si="13"/>
        <v>674</v>
      </c>
      <c r="B675" s="128" t="s">
        <v>1604</v>
      </c>
      <c r="C675" s="263" t="s">
        <v>1604</v>
      </c>
      <c r="D675" s="262"/>
      <c r="E675" s="128"/>
      <c r="F675" s="138" t="s">
        <v>1605</v>
      </c>
      <c r="G675" s="131" t="s">
        <v>1492</v>
      </c>
      <c r="H675" s="128" t="s">
        <v>136</v>
      </c>
      <c r="I675" s="132" t="s">
        <v>1565</v>
      </c>
      <c r="J675" s="133">
        <v>16</v>
      </c>
      <c r="K675" s="129">
        <v>8</v>
      </c>
      <c r="L675" s="129">
        <v>0</v>
      </c>
      <c r="M675" s="129" t="s">
        <v>658</v>
      </c>
      <c r="N675" s="129" t="s">
        <v>659</v>
      </c>
      <c r="O675" s="139" t="s">
        <v>1606</v>
      </c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53"/>
    </row>
    <row r="676" spans="1:26" x14ac:dyDescent="0.25">
      <c r="A676" s="203">
        <f t="shared" si="13"/>
        <v>675</v>
      </c>
      <c r="B676" s="128" t="s">
        <v>1607</v>
      </c>
      <c r="C676" s="274" t="s">
        <v>1607</v>
      </c>
      <c r="D676" s="262"/>
      <c r="E676" s="128"/>
      <c r="F676" s="138" t="s">
        <v>1608</v>
      </c>
      <c r="G676" s="131" t="s">
        <v>1492</v>
      </c>
      <c r="H676" s="128" t="s">
        <v>136</v>
      </c>
      <c r="I676" s="132" t="s">
        <v>1565</v>
      </c>
      <c r="J676" s="133">
        <v>16</v>
      </c>
      <c r="K676" s="129">
        <v>8</v>
      </c>
      <c r="L676" s="129">
        <v>1</v>
      </c>
      <c r="M676" s="129" t="s">
        <v>658</v>
      </c>
      <c r="N676" s="129" t="s">
        <v>659</v>
      </c>
      <c r="O676" s="139" t="s">
        <v>1606</v>
      </c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53"/>
    </row>
    <row r="677" spans="1:26" x14ac:dyDescent="0.25">
      <c r="A677" s="203">
        <f t="shared" si="13"/>
        <v>676</v>
      </c>
      <c r="B677" s="128" t="s">
        <v>1609</v>
      </c>
      <c r="C677" s="274" t="s">
        <v>1609</v>
      </c>
      <c r="D677" s="262"/>
      <c r="E677" s="128"/>
      <c r="F677" s="138" t="s">
        <v>1610</v>
      </c>
      <c r="G677" s="131" t="s">
        <v>1492</v>
      </c>
      <c r="H677" s="128" t="s">
        <v>136</v>
      </c>
      <c r="I677" s="132" t="s">
        <v>1565</v>
      </c>
      <c r="J677" s="133">
        <v>16</v>
      </c>
      <c r="K677" s="129">
        <v>8</v>
      </c>
      <c r="L677" s="129">
        <v>2</v>
      </c>
      <c r="M677" s="129" t="s">
        <v>658</v>
      </c>
      <c r="N677" s="129" t="s">
        <v>659</v>
      </c>
      <c r="O677" s="139" t="s">
        <v>1606</v>
      </c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53"/>
    </row>
    <row r="678" spans="1:26" x14ac:dyDescent="0.25">
      <c r="A678" s="203">
        <f t="shared" si="13"/>
        <v>677</v>
      </c>
      <c r="B678" s="128" t="s">
        <v>1611</v>
      </c>
      <c r="C678" s="274" t="s">
        <v>1612</v>
      </c>
      <c r="D678" s="262"/>
      <c r="E678" s="128"/>
      <c r="F678" s="138" t="s">
        <v>1613</v>
      </c>
      <c r="G678" s="131" t="s">
        <v>1492</v>
      </c>
      <c r="H678" s="128" t="s">
        <v>678</v>
      </c>
      <c r="I678" s="142" t="s">
        <v>1169</v>
      </c>
      <c r="J678" s="133">
        <v>19</v>
      </c>
      <c r="K678" s="129">
        <v>3</v>
      </c>
      <c r="L678" s="129">
        <v>0</v>
      </c>
      <c r="M678" s="129" t="s">
        <v>31</v>
      </c>
      <c r="N678" s="129" t="s">
        <v>32</v>
      </c>
      <c r="O678" s="139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40"/>
    </row>
    <row r="679" spans="1:26" x14ac:dyDescent="0.25">
      <c r="A679" s="203">
        <f t="shared" si="13"/>
        <v>678</v>
      </c>
      <c r="B679" s="128" t="s">
        <v>1611</v>
      </c>
      <c r="C679" s="274" t="s">
        <v>1611</v>
      </c>
      <c r="D679" s="262"/>
      <c r="E679" s="128"/>
      <c r="F679" s="138" t="s">
        <v>1614</v>
      </c>
      <c r="G679" s="131" t="s">
        <v>1492</v>
      </c>
      <c r="H679" s="128" t="s">
        <v>678</v>
      </c>
      <c r="I679" s="142" t="s">
        <v>1169</v>
      </c>
      <c r="J679" s="133">
        <v>19</v>
      </c>
      <c r="K679" s="129">
        <v>3</v>
      </c>
      <c r="L679" s="129">
        <v>1</v>
      </c>
      <c r="M679" s="129" t="s">
        <v>31</v>
      </c>
      <c r="N679" s="129" t="s">
        <v>32</v>
      </c>
      <c r="O679" s="139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40"/>
    </row>
    <row r="680" spans="1:26" x14ac:dyDescent="0.25">
      <c r="A680" s="203">
        <f t="shared" si="13"/>
        <v>679</v>
      </c>
      <c r="B680" s="128" t="s">
        <v>1615</v>
      </c>
      <c r="C680" s="274" t="s">
        <v>1616</v>
      </c>
      <c r="D680" s="262"/>
      <c r="E680" s="128"/>
      <c r="F680" s="141" t="s">
        <v>1617</v>
      </c>
      <c r="G680" s="131" t="s">
        <v>1492</v>
      </c>
      <c r="H680" s="128" t="s">
        <v>678</v>
      </c>
      <c r="I680" s="142" t="s">
        <v>1169</v>
      </c>
      <c r="J680" s="133">
        <v>19</v>
      </c>
      <c r="K680" s="129">
        <v>3</v>
      </c>
      <c r="L680" s="129">
        <v>2</v>
      </c>
      <c r="M680" s="129" t="s">
        <v>31</v>
      </c>
      <c r="N680" s="129" t="s">
        <v>32</v>
      </c>
      <c r="O680" s="139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40"/>
    </row>
    <row r="681" spans="1:26" x14ac:dyDescent="0.25">
      <c r="A681" s="203">
        <f t="shared" ref="A681:A744" si="14">ROW()-1</f>
        <v>680</v>
      </c>
      <c r="B681" s="128" t="s">
        <v>1615</v>
      </c>
      <c r="C681" s="263" t="s">
        <v>1615</v>
      </c>
      <c r="D681" s="262"/>
      <c r="E681" s="128"/>
      <c r="F681" s="141" t="s">
        <v>1618</v>
      </c>
      <c r="G681" s="131" t="s">
        <v>1492</v>
      </c>
      <c r="H681" s="128" t="s">
        <v>678</v>
      </c>
      <c r="I681" s="142" t="s">
        <v>1169</v>
      </c>
      <c r="J681" s="133">
        <v>19</v>
      </c>
      <c r="K681" s="129">
        <v>3</v>
      </c>
      <c r="L681" s="129">
        <v>3</v>
      </c>
      <c r="M681" s="129" t="s">
        <v>31</v>
      </c>
      <c r="N681" s="129" t="s">
        <v>32</v>
      </c>
      <c r="O681" s="139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40"/>
    </row>
    <row r="682" spans="1:26" x14ac:dyDescent="0.25">
      <c r="A682" s="203">
        <f t="shared" si="14"/>
        <v>681</v>
      </c>
      <c r="B682" s="128" t="s">
        <v>1619</v>
      </c>
      <c r="C682" s="274" t="s">
        <v>1620</v>
      </c>
      <c r="D682" s="264"/>
      <c r="E682" s="133"/>
      <c r="F682" s="141" t="s">
        <v>1621</v>
      </c>
      <c r="G682" s="142" t="s">
        <v>1492</v>
      </c>
      <c r="H682" s="133" t="s">
        <v>678</v>
      </c>
      <c r="I682" s="142" t="s">
        <v>1169</v>
      </c>
      <c r="J682" s="133">
        <v>19</v>
      </c>
      <c r="K682" s="129">
        <v>7</v>
      </c>
      <c r="L682" s="129">
        <v>2</v>
      </c>
      <c r="M682" s="129" t="s">
        <v>82</v>
      </c>
      <c r="N682" s="129" t="s">
        <v>83</v>
      </c>
      <c r="O682" s="139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40"/>
    </row>
    <row r="683" spans="1:26" x14ac:dyDescent="0.25">
      <c r="A683" s="203">
        <f t="shared" si="14"/>
        <v>682</v>
      </c>
      <c r="B683" s="164" t="s">
        <v>1622</v>
      </c>
      <c r="C683" s="274" t="s">
        <v>1623</v>
      </c>
      <c r="D683" s="264"/>
      <c r="E683" s="133"/>
      <c r="F683" s="141" t="s">
        <v>1624</v>
      </c>
      <c r="G683" s="142" t="s">
        <v>1492</v>
      </c>
      <c r="H683" s="133" t="s">
        <v>678</v>
      </c>
      <c r="I683" s="142" t="s">
        <v>1169</v>
      </c>
      <c r="J683" s="133">
        <v>19</v>
      </c>
      <c r="K683" s="129">
        <v>7</v>
      </c>
      <c r="L683" s="129">
        <v>3</v>
      </c>
      <c r="M683" s="129" t="s">
        <v>82</v>
      </c>
      <c r="N683" s="129" t="s">
        <v>83</v>
      </c>
      <c r="O683" s="139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40"/>
    </row>
    <row r="684" spans="1:26" x14ac:dyDescent="0.25">
      <c r="A684" s="203">
        <f t="shared" si="14"/>
        <v>683</v>
      </c>
      <c r="B684" s="133" t="s">
        <v>1625</v>
      </c>
      <c r="C684" s="274" t="s">
        <v>1625</v>
      </c>
      <c r="D684" s="264"/>
      <c r="E684" s="133"/>
      <c r="F684" s="141" t="s">
        <v>1626</v>
      </c>
      <c r="G684" s="131" t="s">
        <v>1492</v>
      </c>
      <c r="H684" s="133" t="s">
        <v>1627</v>
      </c>
      <c r="I684" s="142" t="s">
        <v>1169</v>
      </c>
      <c r="J684" s="133">
        <v>19</v>
      </c>
      <c r="K684" s="129">
        <v>10</v>
      </c>
      <c r="L684" s="129">
        <v>0</v>
      </c>
      <c r="M684" s="129" t="s">
        <v>658</v>
      </c>
      <c r="N684" s="129" t="s">
        <v>659</v>
      </c>
      <c r="O684" s="134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40"/>
    </row>
    <row r="685" spans="1:26" x14ac:dyDescent="0.25">
      <c r="A685" s="203">
        <f t="shared" si="14"/>
        <v>684</v>
      </c>
      <c r="B685" s="133" t="s">
        <v>1628</v>
      </c>
      <c r="C685" s="274" t="s">
        <v>1628</v>
      </c>
      <c r="D685" s="264"/>
      <c r="E685" s="133"/>
      <c r="F685" s="141" t="s">
        <v>1629</v>
      </c>
      <c r="G685" s="131" t="s">
        <v>1492</v>
      </c>
      <c r="H685" s="133" t="s">
        <v>1627</v>
      </c>
      <c r="I685" s="142" t="s">
        <v>1169</v>
      </c>
      <c r="J685" s="133">
        <v>19</v>
      </c>
      <c r="K685" s="129">
        <v>10</v>
      </c>
      <c r="L685" s="129">
        <v>1</v>
      </c>
      <c r="M685" s="129" t="s">
        <v>658</v>
      </c>
      <c r="N685" s="129" t="s">
        <v>659</v>
      </c>
      <c r="O685" s="134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40"/>
    </row>
    <row r="686" spans="1:26" x14ac:dyDescent="0.25">
      <c r="A686" s="203">
        <f t="shared" si="14"/>
        <v>685</v>
      </c>
      <c r="B686" s="128" t="s">
        <v>1630</v>
      </c>
      <c r="C686" s="274" t="s">
        <v>1630</v>
      </c>
      <c r="D686" s="262"/>
      <c r="E686" s="128"/>
      <c r="F686" s="138" t="s">
        <v>1631</v>
      </c>
      <c r="G686" s="131" t="s">
        <v>1492</v>
      </c>
      <c r="H686" s="128" t="s">
        <v>678</v>
      </c>
      <c r="I686" s="142" t="s">
        <v>1169</v>
      </c>
      <c r="J686" s="133">
        <v>19</v>
      </c>
      <c r="K686" s="129">
        <v>13</v>
      </c>
      <c r="L686" s="129">
        <v>0</v>
      </c>
      <c r="M686" s="129" t="s">
        <v>664</v>
      </c>
      <c r="N686" s="129" t="s">
        <v>665</v>
      </c>
      <c r="O686" s="134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40"/>
    </row>
    <row r="687" spans="1:26" x14ac:dyDescent="0.25">
      <c r="A687" s="203">
        <f t="shared" si="14"/>
        <v>686</v>
      </c>
      <c r="B687" s="128" t="s">
        <v>1632</v>
      </c>
      <c r="C687" s="274" t="s">
        <v>1632</v>
      </c>
      <c r="D687" s="262"/>
      <c r="E687" s="128"/>
      <c r="F687" s="138" t="s">
        <v>1633</v>
      </c>
      <c r="G687" s="131" t="s">
        <v>1492</v>
      </c>
      <c r="H687" s="128" t="s">
        <v>678</v>
      </c>
      <c r="I687" s="142" t="s">
        <v>1169</v>
      </c>
      <c r="J687" s="133">
        <v>19</v>
      </c>
      <c r="K687" s="129">
        <v>13</v>
      </c>
      <c r="L687" s="129">
        <v>1</v>
      </c>
      <c r="M687" s="129" t="s">
        <v>664</v>
      </c>
      <c r="N687" s="129" t="s">
        <v>665</v>
      </c>
      <c r="O687" s="134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40"/>
    </row>
    <row r="688" spans="1:26" x14ac:dyDescent="0.25">
      <c r="A688" s="203">
        <f t="shared" si="14"/>
        <v>687</v>
      </c>
      <c r="B688" s="128" t="s">
        <v>1634</v>
      </c>
      <c r="C688" s="274" t="s">
        <v>1634</v>
      </c>
      <c r="D688" s="262"/>
      <c r="E688" s="128"/>
      <c r="F688" s="138" t="s">
        <v>1635</v>
      </c>
      <c r="G688" s="131" t="s">
        <v>1636</v>
      </c>
      <c r="H688" s="128" t="s">
        <v>136</v>
      </c>
      <c r="I688" s="132" t="s">
        <v>148</v>
      </c>
      <c r="J688" s="133">
        <v>15</v>
      </c>
      <c r="K688" s="129">
        <v>2</v>
      </c>
      <c r="L688" s="129">
        <v>2</v>
      </c>
      <c r="M688" s="129" t="s">
        <v>138</v>
      </c>
      <c r="N688" s="129" t="s">
        <v>139</v>
      </c>
      <c r="O688" s="139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53"/>
    </row>
    <row r="689" spans="1:26" x14ac:dyDescent="0.25">
      <c r="A689" s="203">
        <f t="shared" si="14"/>
        <v>688</v>
      </c>
      <c r="B689" s="128" t="s">
        <v>1634</v>
      </c>
      <c r="C689" s="274" t="s">
        <v>1634</v>
      </c>
      <c r="D689" s="262"/>
      <c r="E689" s="128"/>
      <c r="F689" s="138" t="s">
        <v>1637</v>
      </c>
      <c r="G689" s="131" t="s">
        <v>1636</v>
      </c>
      <c r="H689" s="128" t="s">
        <v>136</v>
      </c>
      <c r="I689" s="132" t="s">
        <v>148</v>
      </c>
      <c r="J689" s="133">
        <v>15</v>
      </c>
      <c r="K689" s="129">
        <v>2</v>
      </c>
      <c r="L689" s="129">
        <v>3</v>
      </c>
      <c r="M689" s="129" t="s">
        <v>138</v>
      </c>
      <c r="N689" s="129" t="s">
        <v>139</v>
      </c>
      <c r="O689" s="139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53"/>
    </row>
    <row r="690" spans="1:26" x14ac:dyDescent="0.25">
      <c r="A690" s="203">
        <f t="shared" si="14"/>
        <v>689</v>
      </c>
      <c r="B690" s="128" t="s">
        <v>1638</v>
      </c>
      <c r="C690" s="274" t="s">
        <v>1638</v>
      </c>
      <c r="D690" s="262"/>
      <c r="E690" s="128"/>
      <c r="F690" s="138" t="s">
        <v>1639</v>
      </c>
      <c r="G690" s="131" t="s">
        <v>1636</v>
      </c>
      <c r="H690" s="128" t="s">
        <v>136</v>
      </c>
      <c r="I690" s="132" t="s">
        <v>148</v>
      </c>
      <c r="J690" s="133">
        <v>15</v>
      </c>
      <c r="K690" s="129">
        <v>3</v>
      </c>
      <c r="L690" s="129">
        <v>8</v>
      </c>
      <c r="M690" s="129" t="s">
        <v>31</v>
      </c>
      <c r="N690" s="129" t="s">
        <v>32</v>
      </c>
      <c r="O690" s="139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53"/>
    </row>
    <row r="691" spans="1:26" x14ac:dyDescent="0.25">
      <c r="A691" s="203">
        <f t="shared" si="14"/>
        <v>690</v>
      </c>
      <c r="B691" s="128" t="s">
        <v>1640</v>
      </c>
      <c r="C691" s="274" t="s">
        <v>1640</v>
      </c>
      <c r="D691" s="262"/>
      <c r="E691" s="128"/>
      <c r="F691" s="138" t="s">
        <v>1641</v>
      </c>
      <c r="G691" s="131" t="s">
        <v>1636</v>
      </c>
      <c r="H691" s="128" t="s">
        <v>136</v>
      </c>
      <c r="I691" s="132" t="s">
        <v>148</v>
      </c>
      <c r="J691" s="133">
        <v>15</v>
      </c>
      <c r="K691" s="129">
        <v>3</v>
      </c>
      <c r="L691" s="129">
        <v>11</v>
      </c>
      <c r="M691" s="129" t="s">
        <v>31</v>
      </c>
      <c r="N691" s="129" t="s">
        <v>32</v>
      </c>
      <c r="O691" s="139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40"/>
    </row>
    <row r="692" spans="1:26" x14ac:dyDescent="0.25">
      <c r="A692" s="203">
        <f t="shared" si="14"/>
        <v>691</v>
      </c>
      <c r="B692" s="128" t="s">
        <v>1642</v>
      </c>
      <c r="C692" s="274" t="s">
        <v>1642</v>
      </c>
      <c r="D692" s="262"/>
      <c r="E692" s="128"/>
      <c r="F692" s="138" t="s">
        <v>1643</v>
      </c>
      <c r="G692" s="131" t="s">
        <v>1636</v>
      </c>
      <c r="H692" s="128" t="s">
        <v>136</v>
      </c>
      <c r="I692" s="132" t="s">
        <v>148</v>
      </c>
      <c r="J692" s="133">
        <v>15</v>
      </c>
      <c r="K692" s="129">
        <v>6</v>
      </c>
      <c r="L692" s="129">
        <v>1</v>
      </c>
      <c r="M692" s="129" t="s">
        <v>82</v>
      </c>
      <c r="N692" s="129" t="s">
        <v>83</v>
      </c>
      <c r="O692" s="139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53"/>
    </row>
    <row r="693" spans="1:26" x14ac:dyDescent="0.25">
      <c r="A693" s="203">
        <f t="shared" si="14"/>
        <v>692</v>
      </c>
      <c r="B693" s="128" t="s">
        <v>1644</v>
      </c>
      <c r="C693" s="274" t="s">
        <v>1644</v>
      </c>
      <c r="D693" s="262"/>
      <c r="E693" s="128"/>
      <c r="F693" s="138" t="s">
        <v>1645</v>
      </c>
      <c r="G693" s="131" t="s">
        <v>1636</v>
      </c>
      <c r="H693" s="128" t="s">
        <v>136</v>
      </c>
      <c r="I693" s="132" t="s">
        <v>148</v>
      </c>
      <c r="J693" s="133">
        <v>15</v>
      </c>
      <c r="K693" s="129">
        <v>6</v>
      </c>
      <c r="L693" s="129">
        <v>2</v>
      </c>
      <c r="M693" s="129" t="s">
        <v>82</v>
      </c>
      <c r="N693" s="129" t="s">
        <v>83</v>
      </c>
      <c r="O693" s="139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53"/>
    </row>
    <row r="694" spans="1:26" x14ac:dyDescent="0.25">
      <c r="A694" s="203">
        <f t="shared" si="14"/>
        <v>693</v>
      </c>
      <c r="B694" s="129"/>
      <c r="C694" s="274" t="s">
        <v>1646</v>
      </c>
      <c r="D694" s="264"/>
      <c r="E694" s="133"/>
      <c r="F694" s="141" t="s">
        <v>1647</v>
      </c>
      <c r="G694" s="142" t="s">
        <v>1636</v>
      </c>
      <c r="H694" s="133" t="s">
        <v>678</v>
      </c>
      <c r="I694" s="129" t="s">
        <v>1648</v>
      </c>
      <c r="J694" s="133">
        <v>17</v>
      </c>
      <c r="K694" s="129">
        <v>1</v>
      </c>
      <c r="L694" s="129">
        <v>0</v>
      </c>
      <c r="M694" s="129" t="s">
        <v>31</v>
      </c>
      <c r="N694" s="129" t="s">
        <v>945</v>
      </c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40"/>
    </row>
    <row r="695" spans="1:26" x14ac:dyDescent="0.25">
      <c r="A695" s="203">
        <f t="shared" si="14"/>
        <v>694</v>
      </c>
      <c r="B695" s="129"/>
      <c r="C695" s="276" t="s">
        <v>1649</v>
      </c>
      <c r="D695" s="264"/>
      <c r="E695" s="133"/>
      <c r="F695" s="141" t="s">
        <v>1650</v>
      </c>
      <c r="G695" s="142" t="s">
        <v>1636</v>
      </c>
      <c r="H695" s="133" t="s">
        <v>678</v>
      </c>
      <c r="I695" s="129" t="s">
        <v>1648</v>
      </c>
      <c r="J695" s="133">
        <v>17</v>
      </c>
      <c r="K695" s="129">
        <v>1</v>
      </c>
      <c r="L695" s="129">
        <v>1</v>
      </c>
      <c r="M695" s="129" t="s">
        <v>31</v>
      </c>
      <c r="N695" s="129" t="s">
        <v>945</v>
      </c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40"/>
    </row>
    <row r="696" spans="1:26" x14ac:dyDescent="0.25">
      <c r="A696" s="203">
        <f t="shared" si="14"/>
        <v>695</v>
      </c>
      <c r="B696" s="128"/>
      <c r="C696" s="276" t="s">
        <v>1651</v>
      </c>
      <c r="D696" s="264"/>
      <c r="E696" s="133"/>
      <c r="F696" s="141" t="s">
        <v>1652</v>
      </c>
      <c r="G696" s="142" t="s">
        <v>1636</v>
      </c>
      <c r="H696" s="133" t="s">
        <v>678</v>
      </c>
      <c r="I696" s="129" t="s">
        <v>1648</v>
      </c>
      <c r="J696" s="133">
        <v>17</v>
      </c>
      <c r="K696" s="129">
        <v>1</v>
      </c>
      <c r="L696" s="129">
        <v>2</v>
      </c>
      <c r="M696" s="129" t="s">
        <v>31</v>
      </c>
      <c r="N696" s="129" t="s">
        <v>945</v>
      </c>
      <c r="O696" s="139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40"/>
    </row>
    <row r="697" spans="1:26" x14ac:dyDescent="0.25">
      <c r="A697" s="203">
        <f t="shared" si="14"/>
        <v>696</v>
      </c>
      <c r="B697" s="128"/>
      <c r="C697" s="276" t="s">
        <v>1653</v>
      </c>
      <c r="D697" s="264"/>
      <c r="E697" s="133"/>
      <c r="F697" s="141" t="s">
        <v>1654</v>
      </c>
      <c r="G697" s="142" t="s">
        <v>1636</v>
      </c>
      <c r="H697" s="133" t="s">
        <v>678</v>
      </c>
      <c r="I697" s="129" t="s">
        <v>1648</v>
      </c>
      <c r="J697" s="133">
        <v>17</v>
      </c>
      <c r="K697" s="129">
        <v>1</v>
      </c>
      <c r="L697" s="129">
        <v>3</v>
      </c>
      <c r="M697" s="129" t="s">
        <v>31</v>
      </c>
      <c r="N697" s="129" t="s">
        <v>945</v>
      </c>
      <c r="O697" s="139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40"/>
    </row>
    <row r="698" spans="1:26" x14ac:dyDescent="0.25">
      <c r="A698" s="203">
        <f t="shared" si="14"/>
        <v>697</v>
      </c>
      <c r="B698" s="129"/>
      <c r="C698" s="274" t="s">
        <v>1655</v>
      </c>
      <c r="D698" s="264"/>
      <c r="E698" s="133"/>
      <c r="F698" s="141" t="s">
        <v>1656</v>
      </c>
      <c r="G698" s="142" t="s">
        <v>1636</v>
      </c>
      <c r="H698" s="133" t="s">
        <v>678</v>
      </c>
      <c r="I698" s="129" t="s">
        <v>1648</v>
      </c>
      <c r="J698" s="133">
        <v>17</v>
      </c>
      <c r="K698" s="129">
        <v>1</v>
      </c>
      <c r="L698" s="129">
        <v>8</v>
      </c>
      <c r="M698" s="129" t="s">
        <v>31</v>
      </c>
      <c r="N698" s="129" t="s">
        <v>945</v>
      </c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40"/>
    </row>
    <row r="699" spans="1:26" x14ac:dyDescent="0.25">
      <c r="A699" s="203">
        <f t="shared" si="14"/>
        <v>698</v>
      </c>
      <c r="B699" s="129"/>
      <c r="C699" s="274" t="s">
        <v>1619</v>
      </c>
      <c r="D699" s="264"/>
      <c r="E699" s="133"/>
      <c r="F699" s="141" t="s">
        <v>1657</v>
      </c>
      <c r="G699" s="142" t="s">
        <v>1636</v>
      </c>
      <c r="H699" s="133" t="s">
        <v>678</v>
      </c>
      <c r="I699" s="129" t="s">
        <v>1648</v>
      </c>
      <c r="J699" s="133">
        <v>17</v>
      </c>
      <c r="K699" s="129">
        <v>3</v>
      </c>
      <c r="L699" s="129">
        <v>0</v>
      </c>
      <c r="M699" s="129" t="s">
        <v>82</v>
      </c>
      <c r="N699" s="129" t="s">
        <v>945</v>
      </c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40"/>
    </row>
    <row r="700" spans="1:26" x14ac:dyDescent="0.25">
      <c r="A700" s="203">
        <f t="shared" si="14"/>
        <v>699</v>
      </c>
      <c r="B700" s="128"/>
      <c r="C700" s="276" t="s">
        <v>1658</v>
      </c>
      <c r="D700" s="264"/>
      <c r="E700" s="133"/>
      <c r="F700" s="141" t="s">
        <v>1659</v>
      </c>
      <c r="G700" s="142" t="s">
        <v>1660</v>
      </c>
      <c r="H700" s="133" t="s">
        <v>678</v>
      </c>
      <c r="I700" s="129" t="s">
        <v>1648</v>
      </c>
      <c r="J700" s="133">
        <v>17</v>
      </c>
      <c r="K700" s="129">
        <v>1</v>
      </c>
      <c r="L700" s="129">
        <v>4</v>
      </c>
      <c r="M700" s="129" t="s">
        <v>31</v>
      </c>
      <c r="N700" s="129" t="s">
        <v>945</v>
      </c>
      <c r="O700" s="139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40"/>
    </row>
    <row r="701" spans="1:26" x14ac:dyDescent="0.25">
      <c r="A701" s="203">
        <f t="shared" si="14"/>
        <v>700</v>
      </c>
      <c r="B701" s="128"/>
      <c r="C701" s="276" t="s">
        <v>1661</v>
      </c>
      <c r="D701" s="264"/>
      <c r="E701" s="133"/>
      <c r="F701" s="141" t="s">
        <v>1662</v>
      </c>
      <c r="G701" s="142" t="s">
        <v>1660</v>
      </c>
      <c r="H701" s="133" t="s">
        <v>678</v>
      </c>
      <c r="I701" s="129" t="s">
        <v>1648</v>
      </c>
      <c r="J701" s="133">
        <v>17</v>
      </c>
      <c r="K701" s="129">
        <v>1</v>
      </c>
      <c r="L701" s="129">
        <v>5</v>
      </c>
      <c r="M701" s="129" t="s">
        <v>31</v>
      </c>
      <c r="N701" s="129" t="s">
        <v>945</v>
      </c>
      <c r="O701" s="139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40"/>
    </row>
    <row r="702" spans="1:26" x14ac:dyDescent="0.25">
      <c r="A702" s="203">
        <f t="shared" si="14"/>
        <v>701</v>
      </c>
      <c r="B702" s="128"/>
      <c r="C702" s="276" t="s">
        <v>1663</v>
      </c>
      <c r="D702" s="264"/>
      <c r="E702" s="133"/>
      <c r="F702" s="141" t="s">
        <v>1664</v>
      </c>
      <c r="G702" s="142" t="s">
        <v>1660</v>
      </c>
      <c r="H702" s="133" t="s">
        <v>678</v>
      </c>
      <c r="I702" s="129" t="s">
        <v>1648</v>
      </c>
      <c r="J702" s="133">
        <v>17</v>
      </c>
      <c r="K702" s="129">
        <v>1</v>
      </c>
      <c r="L702" s="129">
        <v>6</v>
      </c>
      <c r="M702" s="129" t="s">
        <v>31</v>
      </c>
      <c r="N702" s="129" t="s">
        <v>945</v>
      </c>
      <c r="O702" s="139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40"/>
    </row>
    <row r="703" spans="1:26" x14ac:dyDescent="0.25">
      <c r="A703" s="203">
        <f t="shared" si="14"/>
        <v>702</v>
      </c>
      <c r="B703" s="128"/>
      <c r="C703" s="276" t="s">
        <v>1665</v>
      </c>
      <c r="D703" s="264"/>
      <c r="E703" s="133"/>
      <c r="F703" s="141" t="s">
        <v>1666</v>
      </c>
      <c r="G703" s="142" t="s">
        <v>1660</v>
      </c>
      <c r="H703" s="133" t="s">
        <v>678</v>
      </c>
      <c r="I703" s="129" t="s">
        <v>1648</v>
      </c>
      <c r="J703" s="133">
        <v>17</v>
      </c>
      <c r="K703" s="129">
        <v>1</v>
      </c>
      <c r="L703" s="129">
        <v>7</v>
      </c>
      <c r="M703" s="129" t="s">
        <v>31</v>
      </c>
      <c r="N703" s="129" t="s">
        <v>945</v>
      </c>
      <c r="O703" s="139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40"/>
    </row>
    <row r="704" spans="1:26" x14ac:dyDescent="0.25">
      <c r="A704" s="203">
        <f t="shared" si="14"/>
        <v>703</v>
      </c>
      <c r="B704" s="129"/>
      <c r="C704" s="276" t="s">
        <v>1622</v>
      </c>
      <c r="D704" s="264"/>
      <c r="E704" s="133"/>
      <c r="F704" s="141" t="s">
        <v>1667</v>
      </c>
      <c r="G704" s="142" t="s">
        <v>1660</v>
      </c>
      <c r="H704" s="133" t="s">
        <v>678</v>
      </c>
      <c r="I704" s="129" t="s">
        <v>1648</v>
      </c>
      <c r="J704" s="133">
        <v>17</v>
      </c>
      <c r="K704" s="129">
        <v>3</v>
      </c>
      <c r="L704" s="129">
        <v>1</v>
      </c>
      <c r="M704" s="129" t="s">
        <v>82</v>
      </c>
      <c r="N704" s="129" t="s">
        <v>945</v>
      </c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40"/>
    </row>
    <row r="705" spans="1:26" x14ac:dyDescent="0.25">
      <c r="A705" s="203">
        <f t="shared" si="14"/>
        <v>704</v>
      </c>
      <c r="B705" s="128" t="s">
        <v>1668</v>
      </c>
      <c r="C705" s="263" t="s">
        <v>1668</v>
      </c>
      <c r="D705" s="262"/>
      <c r="E705" s="128"/>
      <c r="F705" s="138" t="s">
        <v>1669</v>
      </c>
      <c r="G705" s="131" t="s">
        <v>1670</v>
      </c>
      <c r="H705" s="128" t="s">
        <v>678</v>
      </c>
      <c r="I705" s="142" t="s">
        <v>1169</v>
      </c>
      <c r="J705" s="133">
        <v>19</v>
      </c>
      <c r="K705" s="129">
        <v>1</v>
      </c>
      <c r="L705" s="129">
        <v>0</v>
      </c>
      <c r="M705" s="129" t="s">
        <v>31</v>
      </c>
      <c r="N705" s="129" t="s">
        <v>32</v>
      </c>
      <c r="O705" s="139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40"/>
    </row>
    <row r="706" spans="1:26" x14ac:dyDescent="0.25">
      <c r="A706" s="203">
        <f t="shared" si="14"/>
        <v>705</v>
      </c>
      <c r="B706" s="128" t="s">
        <v>1671</v>
      </c>
      <c r="C706" s="263" t="s">
        <v>1671</v>
      </c>
      <c r="D706" s="262"/>
      <c r="E706" s="128"/>
      <c r="F706" s="138" t="s">
        <v>1672</v>
      </c>
      <c r="G706" s="131" t="s">
        <v>1670</v>
      </c>
      <c r="H706" s="128" t="s">
        <v>678</v>
      </c>
      <c r="I706" s="142" t="s">
        <v>1169</v>
      </c>
      <c r="J706" s="133">
        <v>19</v>
      </c>
      <c r="K706" s="129">
        <v>1</v>
      </c>
      <c r="L706" s="129">
        <v>1</v>
      </c>
      <c r="M706" s="129" t="s">
        <v>31</v>
      </c>
      <c r="N706" s="129" t="s">
        <v>32</v>
      </c>
      <c r="O706" s="139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40"/>
    </row>
    <row r="707" spans="1:26" x14ac:dyDescent="0.25">
      <c r="A707" s="203">
        <f t="shared" si="14"/>
        <v>706</v>
      </c>
      <c r="B707" s="128" t="s">
        <v>1673</v>
      </c>
      <c r="C707" s="263" t="s">
        <v>1673</v>
      </c>
      <c r="D707" s="262"/>
      <c r="E707" s="128"/>
      <c r="F707" s="138" t="s">
        <v>1674</v>
      </c>
      <c r="G707" s="131" t="s">
        <v>1670</v>
      </c>
      <c r="H707" s="128" t="s">
        <v>678</v>
      </c>
      <c r="I707" s="142" t="s">
        <v>1169</v>
      </c>
      <c r="J707" s="133">
        <v>19</v>
      </c>
      <c r="K707" s="129">
        <v>1</v>
      </c>
      <c r="L707" s="129">
        <v>2</v>
      </c>
      <c r="M707" s="129" t="s">
        <v>31</v>
      </c>
      <c r="N707" s="129" t="s">
        <v>32</v>
      </c>
      <c r="O707" s="139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40"/>
    </row>
    <row r="708" spans="1:26" x14ac:dyDescent="0.25">
      <c r="A708" s="203">
        <f t="shared" si="14"/>
        <v>707</v>
      </c>
      <c r="B708" s="128" t="s">
        <v>1675</v>
      </c>
      <c r="C708" s="263" t="s">
        <v>1675</v>
      </c>
      <c r="D708" s="262"/>
      <c r="E708" s="128"/>
      <c r="F708" s="138" t="s">
        <v>1676</v>
      </c>
      <c r="G708" s="131" t="s">
        <v>1670</v>
      </c>
      <c r="H708" s="128" t="s">
        <v>678</v>
      </c>
      <c r="I708" s="142" t="s">
        <v>1169</v>
      </c>
      <c r="J708" s="133">
        <v>19</v>
      </c>
      <c r="K708" s="129">
        <v>1</v>
      </c>
      <c r="L708" s="129">
        <v>3</v>
      </c>
      <c r="M708" s="129" t="s">
        <v>31</v>
      </c>
      <c r="N708" s="129" t="s">
        <v>32</v>
      </c>
      <c r="O708" s="139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40"/>
    </row>
    <row r="709" spans="1:26" x14ac:dyDescent="0.25">
      <c r="A709" s="203">
        <f t="shared" si="14"/>
        <v>708</v>
      </c>
      <c r="B709" s="128" t="s">
        <v>1677</v>
      </c>
      <c r="C709" s="263" t="s">
        <v>1677</v>
      </c>
      <c r="D709" s="262"/>
      <c r="E709" s="128"/>
      <c r="F709" s="138" t="s">
        <v>1678</v>
      </c>
      <c r="G709" s="131" t="s">
        <v>1670</v>
      </c>
      <c r="H709" s="128" t="s">
        <v>678</v>
      </c>
      <c r="I709" s="142" t="s">
        <v>1169</v>
      </c>
      <c r="J709" s="133">
        <v>19</v>
      </c>
      <c r="K709" s="129">
        <v>1</v>
      </c>
      <c r="L709" s="129">
        <v>4</v>
      </c>
      <c r="M709" s="129" t="s">
        <v>31</v>
      </c>
      <c r="N709" s="129" t="s">
        <v>32</v>
      </c>
      <c r="O709" s="139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40"/>
    </row>
    <row r="710" spans="1:26" x14ac:dyDescent="0.25">
      <c r="A710" s="203">
        <f t="shared" si="14"/>
        <v>709</v>
      </c>
      <c r="B710" s="128" t="s">
        <v>1679</v>
      </c>
      <c r="C710" s="263" t="s">
        <v>1679</v>
      </c>
      <c r="D710" s="262"/>
      <c r="E710" s="161"/>
      <c r="F710" s="138" t="s">
        <v>1680</v>
      </c>
      <c r="G710" s="131" t="s">
        <v>1670</v>
      </c>
      <c r="H710" s="128" t="s">
        <v>678</v>
      </c>
      <c r="I710" s="142" t="s">
        <v>1169</v>
      </c>
      <c r="J710" s="133">
        <v>19</v>
      </c>
      <c r="K710" s="129">
        <v>1</v>
      </c>
      <c r="L710" s="129">
        <v>5</v>
      </c>
      <c r="M710" s="129" t="s">
        <v>31</v>
      </c>
      <c r="N710" s="129" t="s">
        <v>32</v>
      </c>
      <c r="O710" s="162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40"/>
    </row>
    <row r="711" spans="1:26" x14ac:dyDescent="0.25">
      <c r="A711" s="203">
        <f t="shared" si="14"/>
        <v>710</v>
      </c>
      <c r="B711" s="128" t="s">
        <v>1681</v>
      </c>
      <c r="C711" s="263" t="s">
        <v>1681</v>
      </c>
      <c r="D711" s="262"/>
      <c r="E711" s="128"/>
      <c r="F711" s="138" t="s">
        <v>1682</v>
      </c>
      <c r="G711" s="131" t="s">
        <v>1670</v>
      </c>
      <c r="H711" s="128" t="s">
        <v>678</v>
      </c>
      <c r="I711" s="142" t="s">
        <v>1169</v>
      </c>
      <c r="J711" s="133">
        <v>19</v>
      </c>
      <c r="K711" s="129">
        <v>1</v>
      </c>
      <c r="L711" s="129">
        <v>6</v>
      </c>
      <c r="M711" s="129" t="s">
        <v>31</v>
      </c>
      <c r="N711" s="129" t="s">
        <v>32</v>
      </c>
      <c r="O711" s="139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40"/>
    </row>
    <row r="712" spans="1:26" x14ac:dyDescent="0.25">
      <c r="A712" s="203">
        <f t="shared" si="14"/>
        <v>711</v>
      </c>
      <c r="B712" s="128" t="s">
        <v>1683</v>
      </c>
      <c r="C712" s="263" t="s">
        <v>1683</v>
      </c>
      <c r="D712" s="262"/>
      <c r="E712" s="128"/>
      <c r="F712" s="138" t="s">
        <v>1684</v>
      </c>
      <c r="G712" s="131" t="s">
        <v>1670</v>
      </c>
      <c r="H712" s="128" t="s">
        <v>678</v>
      </c>
      <c r="I712" s="142" t="s">
        <v>1169</v>
      </c>
      <c r="J712" s="133">
        <v>19</v>
      </c>
      <c r="K712" s="129">
        <v>1</v>
      </c>
      <c r="L712" s="129">
        <v>7</v>
      </c>
      <c r="M712" s="129" t="s">
        <v>31</v>
      </c>
      <c r="N712" s="129" t="s">
        <v>32</v>
      </c>
      <c r="O712" s="139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40"/>
    </row>
    <row r="713" spans="1:26" x14ac:dyDescent="0.25">
      <c r="A713" s="203">
        <f t="shared" si="14"/>
        <v>712</v>
      </c>
      <c r="B713" s="128" t="s">
        <v>1685</v>
      </c>
      <c r="C713" s="263" t="s">
        <v>1685</v>
      </c>
      <c r="D713" s="262"/>
      <c r="E713" s="128"/>
      <c r="F713" s="138" t="s">
        <v>1686</v>
      </c>
      <c r="G713" s="131" t="s">
        <v>1670</v>
      </c>
      <c r="H713" s="128" t="s">
        <v>678</v>
      </c>
      <c r="I713" s="142" t="s">
        <v>1169</v>
      </c>
      <c r="J713" s="133">
        <v>19</v>
      </c>
      <c r="K713" s="129">
        <v>1</v>
      </c>
      <c r="L713" s="129">
        <v>8</v>
      </c>
      <c r="M713" s="129" t="s">
        <v>31</v>
      </c>
      <c r="N713" s="129" t="s">
        <v>32</v>
      </c>
      <c r="O713" s="139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40"/>
    </row>
    <row r="714" spans="1:26" x14ac:dyDescent="0.25">
      <c r="A714" s="203">
        <f t="shared" si="14"/>
        <v>713</v>
      </c>
      <c r="B714" s="128" t="s">
        <v>1687</v>
      </c>
      <c r="C714" s="263" t="s">
        <v>1687</v>
      </c>
      <c r="D714" s="262"/>
      <c r="E714" s="128"/>
      <c r="F714" s="138" t="s">
        <v>1688</v>
      </c>
      <c r="G714" s="131" t="s">
        <v>1670</v>
      </c>
      <c r="H714" s="128" t="s">
        <v>678</v>
      </c>
      <c r="I714" s="142" t="s">
        <v>1169</v>
      </c>
      <c r="J714" s="133">
        <v>19</v>
      </c>
      <c r="K714" s="129">
        <v>1</v>
      </c>
      <c r="L714" s="129">
        <v>9</v>
      </c>
      <c r="M714" s="129" t="s">
        <v>31</v>
      </c>
      <c r="N714" s="129" t="s">
        <v>32</v>
      </c>
      <c r="O714" s="139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40"/>
    </row>
    <row r="715" spans="1:26" x14ac:dyDescent="0.25">
      <c r="A715" s="203">
        <f t="shared" si="14"/>
        <v>714</v>
      </c>
      <c r="B715" s="128" t="s">
        <v>1689</v>
      </c>
      <c r="C715" s="263" t="s">
        <v>1689</v>
      </c>
      <c r="D715" s="262"/>
      <c r="E715" s="128"/>
      <c r="F715" s="138" t="s">
        <v>1690</v>
      </c>
      <c r="G715" s="131" t="s">
        <v>1670</v>
      </c>
      <c r="H715" s="128" t="s">
        <v>678</v>
      </c>
      <c r="I715" s="142" t="s">
        <v>1169</v>
      </c>
      <c r="J715" s="133">
        <v>19</v>
      </c>
      <c r="K715" s="129">
        <v>1</v>
      </c>
      <c r="L715" s="129">
        <v>10</v>
      </c>
      <c r="M715" s="129" t="s">
        <v>31</v>
      </c>
      <c r="N715" s="129" t="s">
        <v>32</v>
      </c>
      <c r="O715" s="139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40"/>
    </row>
    <row r="716" spans="1:26" x14ac:dyDescent="0.25">
      <c r="A716" s="203">
        <f t="shared" si="14"/>
        <v>715</v>
      </c>
      <c r="B716" s="128" t="s">
        <v>1691</v>
      </c>
      <c r="C716" s="263" t="s">
        <v>1691</v>
      </c>
      <c r="D716" s="262"/>
      <c r="E716" s="128"/>
      <c r="F716" s="138" t="s">
        <v>1692</v>
      </c>
      <c r="G716" s="131" t="s">
        <v>1670</v>
      </c>
      <c r="H716" s="128" t="s">
        <v>678</v>
      </c>
      <c r="I716" s="142" t="s">
        <v>1169</v>
      </c>
      <c r="J716" s="133">
        <v>19</v>
      </c>
      <c r="K716" s="129">
        <v>1</v>
      </c>
      <c r="L716" s="129">
        <v>11</v>
      </c>
      <c r="M716" s="129" t="s">
        <v>31</v>
      </c>
      <c r="N716" s="129" t="s">
        <v>32</v>
      </c>
      <c r="O716" s="139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40"/>
    </row>
    <row r="717" spans="1:26" x14ac:dyDescent="0.25">
      <c r="A717" s="203">
        <f t="shared" si="14"/>
        <v>716</v>
      </c>
      <c r="B717" s="128" t="s">
        <v>1693</v>
      </c>
      <c r="C717" s="263" t="s">
        <v>1693</v>
      </c>
      <c r="D717" s="262"/>
      <c r="E717" s="128"/>
      <c r="F717" s="138" t="s">
        <v>1694</v>
      </c>
      <c r="G717" s="131" t="s">
        <v>1670</v>
      </c>
      <c r="H717" s="128" t="s">
        <v>678</v>
      </c>
      <c r="I717" s="142" t="s">
        <v>1169</v>
      </c>
      <c r="J717" s="133">
        <v>19</v>
      </c>
      <c r="K717" s="129">
        <v>1</v>
      </c>
      <c r="L717" s="129">
        <v>12</v>
      </c>
      <c r="M717" s="129" t="s">
        <v>31</v>
      </c>
      <c r="N717" s="129" t="s">
        <v>32</v>
      </c>
      <c r="O717" s="139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40"/>
    </row>
    <row r="718" spans="1:26" x14ac:dyDescent="0.25">
      <c r="A718" s="203">
        <f t="shared" si="14"/>
        <v>717</v>
      </c>
      <c r="B718" s="128" t="s">
        <v>1695</v>
      </c>
      <c r="C718" s="263" t="s">
        <v>1695</v>
      </c>
      <c r="D718" s="262"/>
      <c r="E718" s="128"/>
      <c r="F718" s="138" t="s">
        <v>1696</v>
      </c>
      <c r="G718" s="131" t="s">
        <v>1670</v>
      </c>
      <c r="H718" s="128" t="s">
        <v>678</v>
      </c>
      <c r="I718" s="142" t="s">
        <v>1169</v>
      </c>
      <c r="J718" s="133">
        <v>19</v>
      </c>
      <c r="K718" s="129">
        <v>1</v>
      </c>
      <c r="L718" s="129">
        <v>13</v>
      </c>
      <c r="M718" s="129" t="s">
        <v>31</v>
      </c>
      <c r="N718" s="129" t="s">
        <v>32</v>
      </c>
      <c r="O718" s="139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40"/>
    </row>
    <row r="719" spans="1:26" x14ac:dyDescent="0.25">
      <c r="A719" s="203">
        <f t="shared" si="14"/>
        <v>718</v>
      </c>
      <c r="B719" s="128" t="s">
        <v>1697</v>
      </c>
      <c r="C719" s="263" t="s">
        <v>1697</v>
      </c>
      <c r="D719" s="262"/>
      <c r="E719" s="128"/>
      <c r="F719" s="138" t="s">
        <v>1698</v>
      </c>
      <c r="G719" s="131" t="s">
        <v>1670</v>
      </c>
      <c r="H719" s="128" t="s">
        <v>678</v>
      </c>
      <c r="I719" s="142" t="s">
        <v>1169</v>
      </c>
      <c r="J719" s="133">
        <v>19</v>
      </c>
      <c r="K719" s="129">
        <v>1</v>
      </c>
      <c r="L719" s="129">
        <v>14</v>
      </c>
      <c r="M719" s="129" t="s">
        <v>31</v>
      </c>
      <c r="N719" s="129" t="s">
        <v>32</v>
      </c>
      <c r="O719" s="139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40"/>
    </row>
    <row r="720" spans="1:26" x14ac:dyDescent="0.25">
      <c r="A720" s="203">
        <f t="shared" si="14"/>
        <v>719</v>
      </c>
      <c r="B720" s="128" t="s">
        <v>1699</v>
      </c>
      <c r="C720" s="263" t="s">
        <v>1699</v>
      </c>
      <c r="D720" s="262"/>
      <c r="E720" s="128"/>
      <c r="F720" s="138" t="s">
        <v>1700</v>
      </c>
      <c r="G720" s="131" t="s">
        <v>1670</v>
      </c>
      <c r="H720" s="128" t="s">
        <v>678</v>
      </c>
      <c r="I720" s="142" t="s">
        <v>1169</v>
      </c>
      <c r="J720" s="133">
        <v>19</v>
      </c>
      <c r="K720" s="129">
        <v>1</v>
      </c>
      <c r="L720" s="129">
        <v>15</v>
      </c>
      <c r="M720" s="129" t="s">
        <v>31</v>
      </c>
      <c r="N720" s="129" t="s">
        <v>32</v>
      </c>
      <c r="O720" s="139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40"/>
    </row>
    <row r="721" spans="1:26" x14ac:dyDescent="0.25">
      <c r="A721" s="203">
        <f t="shared" si="14"/>
        <v>720</v>
      </c>
      <c r="B721" s="128" t="s">
        <v>1701</v>
      </c>
      <c r="C721" s="263" t="s">
        <v>1701</v>
      </c>
      <c r="D721" s="262"/>
      <c r="E721" s="128"/>
      <c r="F721" s="138" t="s">
        <v>1702</v>
      </c>
      <c r="G721" s="131" t="s">
        <v>1670</v>
      </c>
      <c r="H721" s="128" t="s">
        <v>678</v>
      </c>
      <c r="I721" s="142" t="s">
        <v>1169</v>
      </c>
      <c r="J721" s="133">
        <v>19</v>
      </c>
      <c r="K721" s="129">
        <v>2</v>
      </c>
      <c r="L721" s="129">
        <v>0</v>
      </c>
      <c r="M721" s="129" t="s">
        <v>31</v>
      </c>
      <c r="N721" s="129" t="s">
        <v>32</v>
      </c>
      <c r="O721" s="139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40"/>
    </row>
    <row r="722" spans="1:26" x14ac:dyDescent="0.25">
      <c r="A722" s="203">
        <f t="shared" si="14"/>
        <v>721</v>
      </c>
      <c r="B722" s="128" t="s">
        <v>1703</v>
      </c>
      <c r="C722" s="263" t="s">
        <v>1703</v>
      </c>
      <c r="D722" s="262"/>
      <c r="E722" s="128"/>
      <c r="F722" s="138" t="s">
        <v>1704</v>
      </c>
      <c r="G722" s="131" t="s">
        <v>1670</v>
      </c>
      <c r="H722" s="128" t="s">
        <v>678</v>
      </c>
      <c r="I722" s="142" t="s">
        <v>1169</v>
      </c>
      <c r="J722" s="133">
        <v>19</v>
      </c>
      <c r="K722" s="129">
        <v>2</v>
      </c>
      <c r="L722" s="129">
        <v>1</v>
      </c>
      <c r="M722" s="129" t="s">
        <v>31</v>
      </c>
      <c r="N722" s="129" t="s">
        <v>32</v>
      </c>
      <c r="O722" s="139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40"/>
    </row>
    <row r="723" spans="1:26" x14ac:dyDescent="0.25">
      <c r="A723" s="203">
        <f t="shared" si="14"/>
        <v>722</v>
      </c>
      <c r="B723" s="128" t="s">
        <v>1705</v>
      </c>
      <c r="C723" s="263" t="s">
        <v>1705</v>
      </c>
      <c r="D723" s="262"/>
      <c r="E723" s="128"/>
      <c r="F723" s="138" t="s">
        <v>1706</v>
      </c>
      <c r="G723" s="131" t="s">
        <v>1670</v>
      </c>
      <c r="H723" s="128" t="s">
        <v>678</v>
      </c>
      <c r="I723" s="142" t="s">
        <v>1169</v>
      </c>
      <c r="J723" s="133">
        <v>19</v>
      </c>
      <c r="K723" s="129">
        <v>2</v>
      </c>
      <c r="L723" s="129">
        <v>2</v>
      </c>
      <c r="M723" s="129" t="s">
        <v>31</v>
      </c>
      <c r="N723" s="129" t="s">
        <v>32</v>
      </c>
      <c r="O723" s="139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40"/>
    </row>
    <row r="724" spans="1:26" x14ac:dyDescent="0.25">
      <c r="A724" s="203">
        <f t="shared" si="14"/>
        <v>723</v>
      </c>
      <c r="B724" s="128" t="s">
        <v>1707</v>
      </c>
      <c r="C724" s="263" t="s">
        <v>1707</v>
      </c>
      <c r="D724" s="262"/>
      <c r="E724" s="128"/>
      <c r="F724" s="138" t="s">
        <v>1708</v>
      </c>
      <c r="G724" s="131" t="s">
        <v>1670</v>
      </c>
      <c r="H724" s="128" t="s">
        <v>678</v>
      </c>
      <c r="I724" s="142" t="s">
        <v>1169</v>
      </c>
      <c r="J724" s="133">
        <v>19</v>
      </c>
      <c r="K724" s="129">
        <v>2</v>
      </c>
      <c r="L724" s="129">
        <v>3</v>
      </c>
      <c r="M724" s="129" t="s">
        <v>31</v>
      </c>
      <c r="N724" s="129" t="s">
        <v>32</v>
      </c>
      <c r="O724" s="139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40"/>
    </row>
    <row r="725" spans="1:26" x14ac:dyDescent="0.25">
      <c r="A725" s="203">
        <f t="shared" si="14"/>
        <v>724</v>
      </c>
      <c r="B725" s="128" t="s">
        <v>1709</v>
      </c>
      <c r="C725" s="263" t="s">
        <v>1709</v>
      </c>
      <c r="D725" s="262"/>
      <c r="E725" s="128"/>
      <c r="F725" s="138" t="s">
        <v>1710</v>
      </c>
      <c r="G725" s="131" t="s">
        <v>1670</v>
      </c>
      <c r="H725" s="128" t="s">
        <v>678</v>
      </c>
      <c r="I725" s="142" t="s">
        <v>1169</v>
      </c>
      <c r="J725" s="133">
        <v>19</v>
      </c>
      <c r="K725" s="129">
        <v>2</v>
      </c>
      <c r="L725" s="129">
        <v>4</v>
      </c>
      <c r="M725" s="129" t="s">
        <v>31</v>
      </c>
      <c r="N725" s="129" t="s">
        <v>32</v>
      </c>
      <c r="O725" s="139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40"/>
    </row>
    <row r="726" spans="1:26" x14ac:dyDescent="0.25">
      <c r="A726" s="203">
        <f t="shared" si="14"/>
        <v>725</v>
      </c>
      <c r="B726" s="128" t="s">
        <v>1711</v>
      </c>
      <c r="C726" s="263" t="s">
        <v>1711</v>
      </c>
      <c r="D726" s="262"/>
      <c r="E726" s="128"/>
      <c r="F726" s="138" t="s">
        <v>1712</v>
      </c>
      <c r="G726" s="131" t="s">
        <v>1670</v>
      </c>
      <c r="H726" s="128" t="s">
        <v>678</v>
      </c>
      <c r="I726" s="142" t="s">
        <v>1169</v>
      </c>
      <c r="J726" s="133">
        <v>19</v>
      </c>
      <c r="K726" s="129">
        <v>2</v>
      </c>
      <c r="L726" s="129">
        <v>5</v>
      </c>
      <c r="M726" s="129" t="s">
        <v>31</v>
      </c>
      <c r="N726" s="129" t="s">
        <v>32</v>
      </c>
      <c r="O726" s="139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40"/>
    </row>
    <row r="727" spans="1:26" x14ac:dyDescent="0.25">
      <c r="A727" s="203">
        <f t="shared" si="14"/>
        <v>726</v>
      </c>
      <c r="B727" s="128" t="s">
        <v>1713</v>
      </c>
      <c r="C727" s="263" t="s">
        <v>1713</v>
      </c>
      <c r="D727" s="262"/>
      <c r="E727" s="128"/>
      <c r="F727" s="138" t="s">
        <v>1714</v>
      </c>
      <c r="G727" s="131" t="s">
        <v>1670</v>
      </c>
      <c r="H727" s="128" t="s">
        <v>678</v>
      </c>
      <c r="I727" s="142" t="s">
        <v>1169</v>
      </c>
      <c r="J727" s="133">
        <v>19</v>
      </c>
      <c r="K727" s="129">
        <v>2</v>
      </c>
      <c r="L727" s="129">
        <v>6</v>
      </c>
      <c r="M727" s="129" t="s">
        <v>31</v>
      </c>
      <c r="N727" s="129" t="s">
        <v>32</v>
      </c>
      <c r="O727" s="139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40"/>
    </row>
    <row r="728" spans="1:26" x14ac:dyDescent="0.25">
      <c r="A728" s="203">
        <f t="shared" si="14"/>
        <v>727</v>
      </c>
      <c r="B728" s="128" t="s">
        <v>1715</v>
      </c>
      <c r="C728" s="263" t="s">
        <v>1715</v>
      </c>
      <c r="D728" s="262"/>
      <c r="E728" s="128"/>
      <c r="F728" s="138" t="s">
        <v>1716</v>
      </c>
      <c r="G728" s="131" t="s">
        <v>1670</v>
      </c>
      <c r="H728" s="128" t="s">
        <v>678</v>
      </c>
      <c r="I728" s="142" t="s">
        <v>1169</v>
      </c>
      <c r="J728" s="133">
        <v>19</v>
      </c>
      <c r="K728" s="129">
        <v>2</v>
      </c>
      <c r="L728" s="129">
        <v>7</v>
      </c>
      <c r="M728" s="129" t="s">
        <v>31</v>
      </c>
      <c r="N728" s="129" t="s">
        <v>32</v>
      </c>
      <c r="O728" s="139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40"/>
    </row>
    <row r="729" spans="1:26" x14ac:dyDescent="0.25">
      <c r="A729" s="203">
        <f t="shared" si="14"/>
        <v>728</v>
      </c>
      <c r="B729" s="128" t="s">
        <v>1717</v>
      </c>
      <c r="C729" s="263" t="s">
        <v>1717</v>
      </c>
      <c r="D729" s="262"/>
      <c r="E729" s="128"/>
      <c r="F729" s="138" t="s">
        <v>1718</v>
      </c>
      <c r="G729" s="131" t="s">
        <v>1670</v>
      </c>
      <c r="H729" s="128" t="s">
        <v>678</v>
      </c>
      <c r="I729" s="142" t="s">
        <v>1169</v>
      </c>
      <c r="J729" s="133">
        <v>19</v>
      </c>
      <c r="K729" s="129">
        <v>2</v>
      </c>
      <c r="L729" s="129">
        <v>8</v>
      </c>
      <c r="M729" s="129" t="s">
        <v>31</v>
      </c>
      <c r="N729" s="129" t="s">
        <v>32</v>
      </c>
      <c r="O729" s="139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40"/>
    </row>
    <row r="730" spans="1:26" x14ac:dyDescent="0.25">
      <c r="A730" s="203">
        <f t="shared" si="14"/>
        <v>729</v>
      </c>
      <c r="B730" s="128" t="s">
        <v>1719</v>
      </c>
      <c r="C730" s="263" t="s">
        <v>1719</v>
      </c>
      <c r="D730" s="262"/>
      <c r="E730" s="128"/>
      <c r="F730" s="138" t="s">
        <v>1720</v>
      </c>
      <c r="G730" s="131" t="s">
        <v>1670</v>
      </c>
      <c r="H730" s="128" t="s">
        <v>678</v>
      </c>
      <c r="I730" s="142" t="s">
        <v>1169</v>
      </c>
      <c r="J730" s="133">
        <v>19</v>
      </c>
      <c r="K730" s="129">
        <v>2</v>
      </c>
      <c r="L730" s="129">
        <v>9</v>
      </c>
      <c r="M730" s="129" t="s">
        <v>31</v>
      </c>
      <c r="N730" s="129" t="s">
        <v>32</v>
      </c>
      <c r="O730" s="139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40"/>
    </row>
    <row r="731" spans="1:26" x14ac:dyDescent="0.25">
      <c r="A731" s="203">
        <f t="shared" si="14"/>
        <v>730</v>
      </c>
      <c r="B731" s="128" t="s">
        <v>1721</v>
      </c>
      <c r="C731" s="263" t="s">
        <v>1721</v>
      </c>
      <c r="D731" s="262"/>
      <c r="E731" s="128"/>
      <c r="F731" s="138" t="s">
        <v>1722</v>
      </c>
      <c r="G731" s="131" t="s">
        <v>1670</v>
      </c>
      <c r="H731" s="128" t="s">
        <v>678</v>
      </c>
      <c r="I731" s="142" t="s">
        <v>1169</v>
      </c>
      <c r="J731" s="133">
        <v>19</v>
      </c>
      <c r="K731" s="129">
        <v>2</v>
      </c>
      <c r="L731" s="129">
        <v>10</v>
      </c>
      <c r="M731" s="129" t="s">
        <v>31</v>
      </c>
      <c r="N731" s="129" t="s">
        <v>32</v>
      </c>
      <c r="O731" s="139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40"/>
    </row>
    <row r="732" spans="1:26" x14ac:dyDescent="0.25">
      <c r="A732" s="203">
        <f t="shared" si="14"/>
        <v>731</v>
      </c>
      <c r="B732" s="128" t="s">
        <v>1723</v>
      </c>
      <c r="C732" s="263" t="s">
        <v>1723</v>
      </c>
      <c r="D732" s="262"/>
      <c r="E732" s="128"/>
      <c r="F732" s="138" t="s">
        <v>1724</v>
      </c>
      <c r="G732" s="131" t="s">
        <v>1670</v>
      </c>
      <c r="H732" s="128" t="s">
        <v>678</v>
      </c>
      <c r="I732" s="142" t="s">
        <v>1169</v>
      </c>
      <c r="J732" s="133">
        <v>19</v>
      </c>
      <c r="K732" s="129">
        <v>2</v>
      </c>
      <c r="L732" s="129">
        <v>11</v>
      </c>
      <c r="M732" s="129" t="s">
        <v>31</v>
      </c>
      <c r="N732" s="129" t="s">
        <v>32</v>
      </c>
      <c r="O732" s="139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40"/>
    </row>
    <row r="733" spans="1:26" x14ac:dyDescent="0.25">
      <c r="A733" s="203">
        <f t="shared" si="14"/>
        <v>732</v>
      </c>
      <c r="B733" s="128" t="s">
        <v>1725</v>
      </c>
      <c r="C733" s="263" t="s">
        <v>1725</v>
      </c>
      <c r="D733" s="262"/>
      <c r="E733" s="128"/>
      <c r="F733" s="138" t="s">
        <v>1726</v>
      </c>
      <c r="G733" s="131" t="s">
        <v>1670</v>
      </c>
      <c r="H733" s="128" t="s">
        <v>678</v>
      </c>
      <c r="I733" s="142" t="s">
        <v>1169</v>
      </c>
      <c r="J733" s="133">
        <v>19</v>
      </c>
      <c r="K733" s="129">
        <v>5</v>
      </c>
      <c r="L733" s="129">
        <v>0</v>
      </c>
      <c r="M733" s="129" t="s">
        <v>82</v>
      </c>
      <c r="N733" s="129" t="s">
        <v>83</v>
      </c>
      <c r="O733" s="139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40"/>
    </row>
    <row r="734" spans="1:26" x14ac:dyDescent="0.25">
      <c r="A734" s="203">
        <f t="shared" si="14"/>
        <v>733</v>
      </c>
      <c r="B734" s="128" t="s">
        <v>1727</v>
      </c>
      <c r="C734" s="263" t="s">
        <v>1727</v>
      </c>
      <c r="D734" s="262"/>
      <c r="E734" s="128"/>
      <c r="F734" s="138" t="s">
        <v>1728</v>
      </c>
      <c r="G734" s="131" t="s">
        <v>1670</v>
      </c>
      <c r="H734" s="128" t="s">
        <v>678</v>
      </c>
      <c r="I734" s="142" t="s">
        <v>1169</v>
      </c>
      <c r="J734" s="133">
        <v>19</v>
      </c>
      <c r="K734" s="129">
        <v>5</v>
      </c>
      <c r="L734" s="129">
        <v>1</v>
      </c>
      <c r="M734" s="129" t="s">
        <v>82</v>
      </c>
      <c r="N734" s="129" t="s">
        <v>83</v>
      </c>
      <c r="O734" s="139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40"/>
    </row>
    <row r="735" spans="1:26" x14ac:dyDescent="0.25">
      <c r="A735" s="203">
        <f t="shared" si="14"/>
        <v>734</v>
      </c>
      <c r="B735" s="128" t="s">
        <v>1729</v>
      </c>
      <c r="C735" s="263" t="s">
        <v>1729</v>
      </c>
      <c r="D735" s="262"/>
      <c r="E735" s="128"/>
      <c r="F735" s="138" t="s">
        <v>1730</v>
      </c>
      <c r="G735" s="131" t="s">
        <v>1670</v>
      </c>
      <c r="H735" s="128" t="s">
        <v>678</v>
      </c>
      <c r="I735" s="142" t="s">
        <v>1169</v>
      </c>
      <c r="J735" s="133">
        <v>19</v>
      </c>
      <c r="K735" s="129">
        <v>5</v>
      </c>
      <c r="L735" s="129">
        <v>2</v>
      </c>
      <c r="M735" s="129" t="s">
        <v>82</v>
      </c>
      <c r="N735" s="129" t="s">
        <v>83</v>
      </c>
      <c r="O735" s="139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40"/>
    </row>
    <row r="736" spans="1:26" x14ac:dyDescent="0.25">
      <c r="A736" s="203">
        <f t="shared" si="14"/>
        <v>735</v>
      </c>
      <c r="B736" s="128" t="s">
        <v>1731</v>
      </c>
      <c r="C736" s="263" t="s">
        <v>1731</v>
      </c>
      <c r="D736" s="262"/>
      <c r="E736" s="128"/>
      <c r="F736" s="138" t="s">
        <v>1732</v>
      </c>
      <c r="G736" s="131" t="s">
        <v>1670</v>
      </c>
      <c r="H736" s="128" t="s">
        <v>678</v>
      </c>
      <c r="I736" s="142" t="s">
        <v>1169</v>
      </c>
      <c r="J736" s="133">
        <v>19</v>
      </c>
      <c r="K736" s="129">
        <v>5</v>
      </c>
      <c r="L736" s="129">
        <v>3</v>
      </c>
      <c r="M736" s="129" t="s">
        <v>82</v>
      </c>
      <c r="N736" s="129" t="s">
        <v>83</v>
      </c>
      <c r="O736" s="139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40"/>
    </row>
    <row r="737" spans="1:26" x14ac:dyDescent="0.25">
      <c r="A737" s="203">
        <f t="shared" si="14"/>
        <v>736</v>
      </c>
      <c r="B737" s="128" t="s">
        <v>1733</v>
      </c>
      <c r="C737" s="263" t="s">
        <v>1733</v>
      </c>
      <c r="D737" s="262"/>
      <c r="E737" s="128"/>
      <c r="F737" s="138" t="s">
        <v>1734</v>
      </c>
      <c r="G737" s="131" t="s">
        <v>1670</v>
      </c>
      <c r="H737" s="128" t="s">
        <v>678</v>
      </c>
      <c r="I737" s="142" t="s">
        <v>1169</v>
      </c>
      <c r="J737" s="133">
        <v>19</v>
      </c>
      <c r="K737" s="129">
        <v>5</v>
      </c>
      <c r="L737" s="129">
        <v>4</v>
      </c>
      <c r="M737" s="129" t="s">
        <v>82</v>
      </c>
      <c r="N737" s="129" t="s">
        <v>83</v>
      </c>
      <c r="O737" s="139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40"/>
    </row>
    <row r="738" spans="1:26" x14ac:dyDescent="0.25">
      <c r="A738" s="203">
        <f t="shared" si="14"/>
        <v>737</v>
      </c>
      <c r="B738" s="128" t="s">
        <v>1735</v>
      </c>
      <c r="C738" s="263" t="s">
        <v>1735</v>
      </c>
      <c r="D738" s="262"/>
      <c r="E738" s="128"/>
      <c r="F738" s="138" t="s">
        <v>1736</v>
      </c>
      <c r="G738" s="131" t="s">
        <v>1670</v>
      </c>
      <c r="H738" s="128" t="s">
        <v>678</v>
      </c>
      <c r="I738" s="142" t="s">
        <v>1169</v>
      </c>
      <c r="J738" s="133">
        <v>19</v>
      </c>
      <c r="K738" s="129">
        <v>5</v>
      </c>
      <c r="L738" s="129">
        <v>5</v>
      </c>
      <c r="M738" s="129" t="s">
        <v>82</v>
      </c>
      <c r="N738" s="129" t="s">
        <v>83</v>
      </c>
      <c r="O738" s="139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40"/>
    </row>
    <row r="739" spans="1:26" x14ac:dyDescent="0.25">
      <c r="A739" s="203">
        <f t="shared" si="14"/>
        <v>738</v>
      </c>
      <c r="B739" s="128" t="s">
        <v>1737</v>
      </c>
      <c r="C739" s="263" t="s">
        <v>1737</v>
      </c>
      <c r="D739" s="262"/>
      <c r="E739" s="128"/>
      <c r="F739" s="138" t="s">
        <v>1738</v>
      </c>
      <c r="G739" s="131" t="s">
        <v>1670</v>
      </c>
      <c r="H739" s="128" t="s">
        <v>678</v>
      </c>
      <c r="I739" s="142" t="s">
        <v>1169</v>
      </c>
      <c r="J739" s="133">
        <v>19</v>
      </c>
      <c r="K739" s="129">
        <v>5</v>
      </c>
      <c r="L739" s="129">
        <v>6</v>
      </c>
      <c r="M739" s="129" t="s">
        <v>82</v>
      </c>
      <c r="N739" s="129" t="s">
        <v>83</v>
      </c>
      <c r="O739" s="139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40"/>
    </row>
    <row r="740" spans="1:26" x14ac:dyDescent="0.25">
      <c r="A740" s="203">
        <f t="shared" si="14"/>
        <v>739</v>
      </c>
      <c r="B740" s="128" t="s">
        <v>1739</v>
      </c>
      <c r="C740" s="274" t="s">
        <v>1739</v>
      </c>
      <c r="D740" s="262"/>
      <c r="E740" s="128"/>
      <c r="F740" s="138" t="s">
        <v>1740</v>
      </c>
      <c r="G740" s="131" t="s">
        <v>1670</v>
      </c>
      <c r="H740" s="128" t="s">
        <v>678</v>
      </c>
      <c r="I740" s="142" t="s">
        <v>1169</v>
      </c>
      <c r="J740" s="133">
        <v>19</v>
      </c>
      <c r="K740" s="129">
        <v>5</v>
      </c>
      <c r="L740" s="129">
        <v>7</v>
      </c>
      <c r="M740" s="129" t="s">
        <v>82</v>
      </c>
      <c r="N740" s="129" t="s">
        <v>83</v>
      </c>
      <c r="O740" s="139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40"/>
    </row>
    <row r="741" spans="1:26" x14ac:dyDescent="0.25">
      <c r="A741" s="203">
        <f t="shared" si="14"/>
        <v>740</v>
      </c>
      <c r="B741" s="128" t="s">
        <v>1741</v>
      </c>
      <c r="C741" s="263" t="s">
        <v>1741</v>
      </c>
      <c r="D741" s="262"/>
      <c r="E741" s="128"/>
      <c r="F741" s="138" t="s">
        <v>1742</v>
      </c>
      <c r="G741" s="131" t="s">
        <v>1670</v>
      </c>
      <c r="H741" s="128" t="s">
        <v>678</v>
      </c>
      <c r="I741" s="142" t="s">
        <v>1169</v>
      </c>
      <c r="J741" s="133">
        <v>19</v>
      </c>
      <c r="K741" s="129">
        <v>5</v>
      </c>
      <c r="L741" s="129">
        <v>8</v>
      </c>
      <c r="M741" s="129" t="s">
        <v>82</v>
      </c>
      <c r="N741" s="129" t="s">
        <v>83</v>
      </c>
      <c r="O741" s="139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40"/>
    </row>
    <row r="742" spans="1:26" x14ac:dyDescent="0.25">
      <c r="A742" s="203">
        <f t="shared" si="14"/>
        <v>741</v>
      </c>
      <c r="B742" s="128" t="s">
        <v>1743</v>
      </c>
      <c r="C742" s="263" t="s">
        <v>1743</v>
      </c>
      <c r="D742" s="262"/>
      <c r="E742" s="128"/>
      <c r="F742" s="138" t="s">
        <v>1744</v>
      </c>
      <c r="G742" s="131" t="s">
        <v>1670</v>
      </c>
      <c r="H742" s="128" t="s">
        <v>678</v>
      </c>
      <c r="I742" s="142" t="s">
        <v>1169</v>
      </c>
      <c r="J742" s="133">
        <v>19</v>
      </c>
      <c r="K742" s="129">
        <v>5</v>
      </c>
      <c r="L742" s="129">
        <v>9</v>
      </c>
      <c r="M742" s="129" t="s">
        <v>82</v>
      </c>
      <c r="N742" s="129" t="s">
        <v>83</v>
      </c>
      <c r="O742" s="139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40"/>
    </row>
    <row r="743" spans="1:26" x14ac:dyDescent="0.25">
      <c r="A743" s="203">
        <f t="shared" si="14"/>
        <v>742</v>
      </c>
      <c r="B743" s="128" t="s">
        <v>1745</v>
      </c>
      <c r="C743" s="274" t="s">
        <v>1745</v>
      </c>
      <c r="D743" s="262"/>
      <c r="E743" s="128"/>
      <c r="F743" s="138" t="s">
        <v>1746</v>
      </c>
      <c r="G743" s="131" t="s">
        <v>1670</v>
      </c>
      <c r="H743" s="128" t="s">
        <v>678</v>
      </c>
      <c r="I743" s="142" t="s">
        <v>1169</v>
      </c>
      <c r="J743" s="133">
        <v>19</v>
      </c>
      <c r="K743" s="129">
        <v>5</v>
      </c>
      <c r="L743" s="129">
        <v>10</v>
      </c>
      <c r="M743" s="129" t="s">
        <v>82</v>
      </c>
      <c r="N743" s="129" t="s">
        <v>83</v>
      </c>
      <c r="O743" s="139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40"/>
    </row>
    <row r="744" spans="1:26" x14ac:dyDescent="0.25">
      <c r="A744" s="203">
        <f t="shared" si="14"/>
        <v>743</v>
      </c>
      <c r="B744" s="128" t="s">
        <v>1747</v>
      </c>
      <c r="C744" s="263" t="s">
        <v>1747</v>
      </c>
      <c r="D744" s="262"/>
      <c r="E744" s="128"/>
      <c r="F744" s="138" t="s">
        <v>1748</v>
      </c>
      <c r="G744" s="131" t="s">
        <v>1670</v>
      </c>
      <c r="H744" s="128" t="s">
        <v>678</v>
      </c>
      <c r="I744" s="142" t="s">
        <v>1169</v>
      </c>
      <c r="J744" s="133">
        <v>19</v>
      </c>
      <c r="K744" s="129">
        <v>5</v>
      </c>
      <c r="L744" s="129">
        <v>11</v>
      </c>
      <c r="M744" s="129" t="s">
        <v>82</v>
      </c>
      <c r="N744" s="129" t="s">
        <v>83</v>
      </c>
      <c r="O744" s="139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40"/>
    </row>
    <row r="745" spans="1:26" x14ac:dyDescent="0.25">
      <c r="A745" s="203">
        <f t="shared" ref="A745:A808" si="15">ROW()-1</f>
        <v>744</v>
      </c>
      <c r="B745" s="128" t="s">
        <v>1749</v>
      </c>
      <c r="C745" s="263" t="s">
        <v>1749</v>
      </c>
      <c r="D745" s="262"/>
      <c r="E745" s="128"/>
      <c r="F745" s="138" t="s">
        <v>1750</v>
      </c>
      <c r="G745" s="131" t="s">
        <v>1670</v>
      </c>
      <c r="H745" s="128" t="s">
        <v>678</v>
      </c>
      <c r="I745" s="142" t="s">
        <v>1169</v>
      </c>
      <c r="J745" s="133">
        <v>19</v>
      </c>
      <c r="K745" s="129">
        <v>5</v>
      </c>
      <c r="L745" s="129">
        <v>12</v>
      </c>
      <c r="M745" s="129" t="s">
        <v>82</v>
      </c>
      <c r="N745" s="129" t="s">
        <v>83</v>
      </c>
      <c r="O745" s="139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40"/>
    </row>
    <row r="746" spans="1:26" x14ac:dyDescent="0.25">
      <c r="A746" s="203">
        <f t="shared" si="15"/>
        <v>745</v>
      </c>
      <c r="B746" s="128" t="s">
        <v>1751</v>
      </c>
      <c r="C746" s="274" t="s">
        <v>1751</v>
      </c>
      <c r="D746" s="262"/>
      <c r="E746" s="128"/>
      <c r="F746" s="138" t="s">
        <v>1752</v>
      </c>
      <c r="G746" s="131" t="s">
        <v>1670</v>
      </c>
      <c r="H746" s="128" t="s">
        <v>678</v>
      </c>
      <c r="I746" s="142" t="s">
        <v>1169</v>
      </c>
      <c r="J746" s="133">
        <v>19</v>
      </c>
      <c r="K746" s="129">
        <v>5</v>
      </c>
      <c r="L746" s="129">
        <v>13</v>
      </c>
      <c r="M746" s="129" t="s">
        <v>82</v>
      </c>
      <c r="N746" s="129" t="s">
        <v>83</v>
      </c>
      <c r="O746" s="139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40"/>
    </row>
    <row r="747" spans="1:26" x14ac:dyDescent="0.25">
      <c r="A747" s="203">
        <f t="shared" si="15"/>
        <v>746</v>
      </c>
      <c r="B747" s="128" t="s">
        <v>1753</v>
      </c>
      <c r="C747" s="274" t="s">
        <v>1753</v>
      </c>
      <c r="D747" s="262"/>
      <c r="E747" s="128"/>
      <c r="F747" s="138" t="s">
        <v>1754</v>
      </c>
      <c r="G747" s="131" t="s">
        <v>1755</v>
      </c>
      <c r="H747" s="128" t="s">
        <v>1627</v>
      </c>
      <c r="I747" s="142" t="s">
        <v>1169</v>
      </c>
      <c r="J747" s="133">
        <v>19</v>
      </c>
      <c r="K747" s="129">
        <v>10</v>
      </c>
      <c r="L747" s="129">
        <v>2</v>
      </c>
      <c r="M747" s="129" t="s">
        <v>658</v>
      </c>
      <c r="N747" s="129" t="s">
        <v>659</v>
      </c>
      <c r="O747" s="134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40"/>
    </row>
    <row r="748" spans="1:26" x14ac:dyDescent="0.25">
      <c r="A748" s="203">
        <f t="shared" si="15"/>
        <v>747</v>
      </c>
      <c r="B748" s="128" t="s">
        <v>1756</v>
      </c>
      <c r="C748" s="263" t="s">
        <v>1756</v>
      </c>
      <c r="D748" s="262"/>
      <c r="E748" s="128"/>
      <c r="F748" s="138" t="s">
        <v>1757</v>
      </c>
      <c r="G748" s="142" t="s">
        <v>1758</v>
      </c>
      <c r="H748" s="128" t="s">
        <v>678</v>
      </c>
      <c r="I748" s="131" t="s">
        <v>131</v>
      </c>
      <c r="J748" s="133">
        <v>18</v>
      </c>
      <c r="K748" s="129">
        <v>1</v>
      </c>
      <c r="L748" s="129">
        <v>2</v>
      </c>
      <c r="M748" s="129" t="s">
        <v>31</v>
      </c>
      <c r="N748" s="129" t="s">
        <v>32</v>
      </c>
      <c r="O748" s="139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40"/>
    </row>
    <row r="749" spans="1:26" x14ac:dyDescent="0.25">
      <c r="A749" s="203">
        <f t="shared" si="15"/>
        <v>748</v>
      </c>
      <c r="B749" s="128" t="s">
        <v>1759</v>
      </c>
      <c r="C749" s="263" t="s">
        <v>1759</v>
      </c>
      <c r="D749" s="262"/>
      <c r="E749" s="128"/>
      <c r="F749" s="138" t="s">
        <v>1760</v>
      </c>
      <c r="G749" s="142" t="s">
        <v>1758</v>
      </c>
      <c r="H749" s="128" t="s">
        <v>678</v>
      </c>
      <c r="I749" s="131" t="s">
        <v>131</v>
      </c>
      <c r="J749" s="133">
        <v>18</v>
      </c>
      <c r="K749" s="129">
        <v>1</v>
      </c>
      <c r="L749" s="129">
        <v>3</v>
      </c>
      <c r="M749" s="129" t="s">
        <v>31</v>
      </c>
      <c r="N749" s="129" t="s">
        <v>32</v>
      </c>
      <c r="O749" s="139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40"/>
    </row>
    <row r="750" spans="1:26" x14ac:dyDescent="0.25">
      <c r="A750" s="203">
        <f t="shared" si="15"/>
        <v>749</v>
      </c>
      <c r="B750" s="128" t="s">
        <v>1761</v>
      </c>
      <c r="C750" s="263" t="s">
        <v>1761</v>
      </c>
      <c r="D750" s="262"/>
      <c r="E750" s="128"/>
      <c r="F750" s="138" t="s">
        <v>1762</v>
      </c>
      <c r="G750" s="142" t="s">
        <v>1758</v>
      </c>
      <c r="H750" s="128" t="s">
        <v>678</v>
      </c>
      <c r="I750" s="131" t="s">
        <v>131</v>
      </c>
      <c r="J750" s="133">
        <v>18</v>
      </c>
      <c r="K750" s="129">
        <v>2</v>
      </c>
      <c r="L750" s="129">
        <v>2</v>
      </c>
      <c r="M750" s="129" t="s">
        <v>31</v>
      </c>
      <c r="N750" s="129" t="s">
        <v>32</v>
      </c>
      <c r="O750" s="139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40"/>
    </row>
    <row r="751" spans="1:26" x14ac:dyDescent="0.25">
      <c r="A751" s="203">
        <f t="shared" si="15"/>
        <v>750</v>
      </c>
      <c r="B751" s="128" t="s">
        <v>1763</v>
      </c>
      <c r="C751" s="263" t="s">
        <v>1763</v>
      </c>
      <c r="D751" s="262"/>
      <c r="E751" s="128"/>
      <c r="F751" s="138" t="s">
        <v>1764</v>
      </c>
      <c r="G751" s="142" t="s">
        <v>1758</v>
      </c>
      <c r="H751" s="128" t="s">
        <v>678</v>
      </c>
      <c r="I751" s="131" t="s">
        <v>131</v>
      </c>
      <c r="J751" s="133">
        <v>18</v>
      </c>
      <c r="K751" s="129">
        <v>2</v>
      </c>
      <c r="L751" s="129">
        <v>3</v>
      </c>
      <c r="M751" s="129" t="s">
        <v>31</v>
      </c>
      <c r="N751" s="129" t="s">
        <v>32</v>
      </c>
      <c r="O751" s="139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40"/>
    </row>
    <row r="752" spans="1:26" x14ac:dyDescent="0.25">
      <c r="A752" s="203">
        <f t="shared" si="15"/>
        <v>751</v>
      </c>
      <c r="B752" s="128" t="s">
        <v>1765</v>
      </c>
      <c r="C752" s="263" t="s">
        <v>1765</v>
      </c>
      <c r="D752" s="262"/>
      <c r="E752" s="128"/>
      <c r="F752" s="138" t="s">
        <v>1766</v>
      </c>
      <c r="G752" s="142" t="s">
        <v>1758</v>
      </c>
      <c r="H752" s="128" t="s">
        <v>678</v>
      </c>
      <c r="I752" s="131" t="s">
        <v>131</v>
      </c>
      <c r="J752" s="133">
        <v>18</v>
      </c>
      <c r="K752" s="129">
        <v>2</v>
      </c>
      <c r="L752" s="129">
        <v>8</v>
      </c>
      <c r="M752" s="129" t="s">
        <v>31</v>
      </c>
      <c r="N752" s="129" t="s">
        <v>32</v>
      </c>
      <c r="O752" s="139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59"/>
    </row>
    <row r="753" spans="1:26" x14ac:dyDescent="0.25">
      <c r="A753" s="203">
        <f t="shared" si="15"/>
        <v>752</v>
      </c>
      <c r="B753" s="128" t="s">
        <v>1767</v>
      </c>
      <c r="C753" s="263" t="s">
        <v>1767</v>
      </c>
      <c r="D753" s="262"/>
      <c r="E753" s="128"/>
      <c r="F753" s="138" t="s">
        <v>1768</v>
      </c>
      <c r="G753" s="142" t="s">
        <v>1758</v>
      </c>
      <c r="H753" s="128" t="s">
        <v>678</v>
      </c>
      <c r="I753" s="131" t="s">
        <v>131</v>
      </c>
      <c r="J753" s="133">
        <v>18</v>
      </c>
      <c r="K753" s="129">
        <v>2</v>
      </c>
      <c r="L753" s="129">
        <v>9</v>
      </c>
      <c r="M753" s="129" t="s">
        <v>31</v>
      </c>
      <c r="N753" s="129" t="s">
        <v>32</v>
      </c>
      <c r="O753" s="139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59"/>
    </row>
    <row r="754" spans="1:26" x14ac:dyDescent="0.25">
      <c r="A754" s="203">
        <f t="shared" si="15"/>
        <v>753</v>
      </c>
      <c r="B754" s="129" t="s">
        <v>1769</v>
      </c>
      <c r="C754" s="274" t="s">
        <v>1769</v>
      </c>
      <c r="D754" s="262"/>
      <c r="E754" s="128"/>
      <c r="F754" s="138" t="s">
        <v>1770</v>
      </c>
      <c r="G754" s="142" t="s">
        <v>1758</v>
      </c>
      <c r="H754" s="128" t="s">
        <v>678</v>
      </c>
      <c r="I754" s="131" t="s">
        <v>131</v>
      </c>
      <c r="J754" s="133">
        <v>18</v>
      </c>
      <c r="K754" s="129">
        <v>4</v>
      </c>
      <c r="L754" s="129">
        <v>0</v>
      </c>
      <c r="M754" s="129" t="s">
        <v>82</v>
      </c>
      <c r="N754" s="129" t="s">
        <v>83</v>
      </c>
      <c r="O754" s="139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40"/>
    </row>
    <row r="755" spans="1:26" x14ac:dyDescent="0.25">
      <c r="A755" s="203">
        <f t="shared" si="15"/>
        <v>754</v>
      </c>
      <c r="B755" s="129" t="s">
        <v>1771</v>
      </c>
      <c r="C755" s="274" t="s">
        <v>1772</v>
      </c>
      <c r="D755" s="262"/>
      <c r="E755" s="128"/>
      <c r="F755" s="138" t="s">
        <v>1773</v>
      </c>
      <c r="G755" s="142" t="s">
        <v>1758</v>
      </c>
      <c r="H755" s="128" t="s">
        <v>678</v>
      </c>
      <c r="I755" s="131" t="s">
        <v>131</v>
      </c>
      <c r="J755" s="133">
        <v>18</v>
      </c>
      <c r="K755" s="129">
        <v>4</v>
      </c>
      <c r="L755" s="129">
        <v>4</v>
      </c>
      <c r="M755" s="129" t="s">
        <v>82</v>
      </c>
      <c r="N755" s="129" t="s">
        <v>83</v>
      </c>
      <c r="O755" s="139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40"/>
    </row>
    <row r="756" spans="1:26" x14ac:dyDescent="0.25">
      <c r="A756" s="203">
        <f t="shared" si="15"/>
        <v>755</v>
      </c>
      <c r="B756" s="128" t="s">
        <v>1774</v>
      </c>
      <c r="C756" s="274" t="s">
        <v>1774</v>
      </c>
      <c r="D756" s="262"/>
      <c r="E756" s="128"/>
      <c r="F756" s="138" t="s">
        <v>1775</v>
      </c>
      <c r="G756" s="142" t="s">
        <v>1758</v>
      </c>
      <c r="H756" s="128" t="s">
        <v>678</v>
      </c>
      <c r="I756" s="131" t="s">
        <v>131</v>
      </c>
      <c r="J756" s="133">
        <v>18</v>
      </c>
      <c r="K756" s="129">
        <v>6</v>
      </c>
      <c r="L756" s="129">
        <v>5</v>
      </c>
      <c r="M756" s="129" t="s">
        <v>658</v>
      </c>
      <c r="N756" s="129" t="s">
        <v>659</v>
      </c>
      <c r="O756" s="134" t="s">
        <v>1776</v>
      </c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40"/>
    </row>
    <row r="757" spans="1:26" x14ac:dyDescent="0.25">
      <c r="A757" s="203">
        <f t="shared" si="15"/>
        <v>756</v>
      </c>
      <c r="B757" s="128" t="s">
        <v>1777</v>
      </c>
      <c r="C757" s="274" t="s">
        <v>1777</v>
      </c>
      <c r="D757" s="262"/>
      <c r="E757" s="2"/>
      <c r="F757" s="138" t="s">
        <v>1778</v>
      </c>
      <c r="G757" s="142" t="s">
        <v>1758</v>
      </c>
      <c r="H757" s="128" t="s">
        <v>678</v>
      </c>
      <c r="I757" s="131" t="s">
        <v>131</v>
      </c>
      <c r="J757" s="133">
        <v>18</v>
      </c>
      <c r="K757" s="129">
        <v>7</v>
      </c>
      <c r="L757" s="129">
        <v>5</v>
      </c>
      <c r="M757" s="129" t="s">
        <v>658</v>
      </c>
      <c r="N757" s="129" t="s">
        <v>659</v>
      </c>
      <c r="O757" s="134" t="s">
        <v>1779</v>
      </c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40"/>
    </row>
    <row r="758" spans="1:26" x14ac:dyDescent="0.25">
      <c r="A758" s="203">
        <f t="shared" si="15"/>
        <v>757</v>
      </c>
      <c r="B758" s="128" t="s">
        <v>1780</v>
      </c>
      <c r="C758" s="274" t="s">
        <v>1780</v>
      </c>
      <c r="D758" s="262"/>
      <c r="E758" s="128"/>
      <c r="F758" s="138" t="s">
        <v>1781</v>
      </c>
      <c r="G758" s="142" t="s">
        <v>1758</v>
      </c>
      <c r="H758" s="128" t="s">
        <v>678</v>
      </c>
      <c r="I758" s="131" t="s">
        <v>131</v>
      </c>
      <c r="J758" s="133">
        <v>18</v>
      </c>
      <c r="K758" s="129">
        <v>8</v>
      </c>
      <c r="L758" s="129">
        <v>1</v>
      </c>
      <c r="M758" s="129" t="s">
        <v>658</v>
      </c>
      <c r="N758" s="129" t="s">
        <v>659</v>
      </c>
      <c r="O758" s="134" t="s">
        <v>1538</v>
      </c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40"/>
    </row>
    <row r="759" spans="1:26" x14ac:dyDescent="0.25">
      <c r="A759" s="203">
        <f t="shared" si="15"/>
        <v>758</v>
      </c>
      <c r="B759" s="128" t="s">
        <v>1782</v>
      </c>
      <c r="C759" s="274" t="s">
        <v>1782</v>
      </c>
      <c r="D759" s="262"/>
      <c r="E759" s="128"/>
      <c r="F759" s="138" t="s">
        <v>1783</v>
      </c>
      <c r="G759" s="142" t="s">
        <v>1758</v>
      </c>
      <c r="H759" s="128" t="s">
        <v>678</v>
      </c>
      <c r="I759" s="131" t="s">
        <v>131</v>
      </c>
      <c r="J759" s="133">
        <v>18</v>
      </c>
      <c r="K759" s="129">
        <v>9</v>
      </c>
      <c r="L759" s="129">
        <v>0</v>
      </c>
      <c r="M759" s="129" t="s">
        <v>658</v>
      </c>
      <c r="N759" s="129" t="s">
        <v>659</v>
      </c>
      <c r="O759" s="134" t="s">
        <v>1170</v>
      </c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40"/>
    </row>
    <row r="760" spans="1:26" x14ac:dyDescent="0.25">
      <c r="A760" s="203">
        <f t="shared" si="15"/>
        <v>759</v>
      </c>
      <c r="B760" s="128" t="s">
        <v>1784</v>
      </c>
      <c r="C760" s="274" t="s">
        <v>1784</v>
      </c>
      <c r="D760" s="262"/>
      <c r="E760" s="128"/>
      <c r="F760" s="138" t="s">
        <v>1785</v>
      </c>
      <c r="G760" s="142" t="s">
        <v>1758</v>
      </c>
      <c r="H760" s="128" t="s">
        <v>678</v>
      </c>
      <c r="I760" s="131" t="s">
        <v>131</v>
      </c>
      <c r="J760" s="133">
        <v>18</v>
      </c>
      <c r="K760" s="129">
        <v>9</v>
      </c>
      <c r="L760" s="129">
        <v>1</v>
      </c>
      <c r="M760" s="129" t="s">
        <v>658</v>
      </c>
      <c r="N760" s="129" t="s">
        <v>659</v>
      </c>
      <c r="O760" s="134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40"/>
    </row>
    <row r="761" spans="1:26" x14ac:dyDescent="0.25">
      <c r="A761" s="203">
        <f t="shared" si="15"/>
        <v>760</v>
      </c>
      <c r="B761" s="128" t="s">
        <v>1786</v>
      </c>
      <c r="C761" s="274" t="s">
        <v>1786</v>
      </c>
      <c r="D761" s="262"/>
      <c r="E761" s="128"/>
      <c r="F761" s="138" t="s">
        <v>1787</v>
      </c>
      <c r="G761" s="142" t="s">
        <v>1758</v>
      </c>
      <c r="H761" s="128" t="s">
        <v>678</v>
      </c>
      <c r="I761" s="131" t="s">
        <v>131</v>
      </c>
      <c r="J761" s="133">
        <v>18</v>
      </c>
      <c r="K761" s="129">
        <v>10</v>
      </c>
      <c r="L761" s="129">
        <v>0</v>
      </c>
      <c r="M761" s="129" t="s">
        <v>658</v>
      </c>
      <c r="N761" s="129" t="s">
        <v>659</v>
      </c>
      <c r="O761" s="134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40"/>
    </row>
    <row r="762" spans="1:26" x14ac:dyDescent="0.25">
      <c r="A762" s="203">
        <f t="shared" si="15"/>
        <v>761</v>
      </c>
      <c r="B762" s="128" t="s">
        <v>1788</v>
      </c>
      <c r="C762" s="274" t="s">
        <v>1788</v>
      </c>
      <c r="D762" s="262"/>
      <c r="E762" s="128"/>
      <c r="F762" s="138" t="s">
        <v>1789</v>
      </c>
      <c r="G762" s="142" t="s">
        <v>1758</v>
      </c>
      <c r="H762" s="128" t="s">
        <v>678</v>
      </c>
      <c r="I762" s="131" t="s">
        <v>131</v>
      </c>
      <c r="J762" s="133">
        <v>18</v>
      </c>
      <c r="K762" s="129">
        <v>10</v>
      </c>
      <c r="L762" s="129">
        <v>1</v>
      </c>
      <c r="M762" s="129" t="s">
        <v>658</v>
      </c>
      <c r="N762" s="129" t="s">
        <v>659</v>
      </c>
      <c r="O762" s="134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40"/>
    </row>
    <row r="763" spans="1:26" x14ac:dyDescent="0.25">
      <c r="A763" s="203">
        <f t="shared" si="15"/>
        <v>762</v>
      </c>
      <c r="B763" s="128" t="s">
        <v>1790</v>
      </c>
      <c r="C763" s="274" t="s">
        <v>1790</v>
      </c>
      <c r="D763" s="262"/>
      <c r="E763" s="128"/>
      <c r="F763" s="138" t="s">
        <v>1791</v>
      </c>
      <c r="G763" s="142" t="s">
        <v>1758</v>
      </c>
      <c r="H763" s="128" t="s">
        <v>678</v>
      </c>
      <c r="I763" s="131" t="s">
        <v>131</v>
      </c>
      <c r="J763" s="133">
        <v>18</v>
      </c>
      <c r="K763" s="129">
        <v>10</v>
      </c>
      <c r="L763" s="129">
        <v>3</v>
      </c>
      <c r="M763" s="129" t="s">
        <v>658</v>
      </c>
      <c r="N763" s="129" t="s">
        <v>659</v>
      </c>
      <c r="O763" s="134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40"/>
    </row>
    <row r="764" spans="1:26" x14ac:dyDescent="0.25">
      <c r="A764" s="203">
        <f t="shared" si="15"/>
        <v>763</v>
      </c>
      <c r="B764" s="128" t="s">
        <v>1792</v>
      </c>
      <c r="C764" s="274" t="s">
        <v>1792</v>
      </c>
      <c r="D764" s="262"/>
      <c r="E764" s="128"/>
      <c r="F764" s="138" t="s">
        <v>1793</v>
      </c>
      <c r="G764" s="142" t="s">
        <v>1758</v>
      </c>
      <c r="H764" s="128" t="s">
        <v>678</v>
      </c>
      <c r="I764" s="131" t="s">
        <v>131</v>
      </c>
      <c r="J764" s="133">
        <v>18</v>
      </c>
      <c r="K764" s="129">
        <v>10</v>
      </c>
      <c r="L764" s="129">
        <v>4</v>
      </c>
      <c r="M764" s="129" t="s">
        <v>658</v>
      </c>
      <c r="N764" s="129" t="s">
        <v>659</v>
      </c>
      <c r="O764" s="134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40"/>
    </row>
    <row r="765" spans="1:26" x14ac:dyDescent="0.25">
      <c r="A765" s="203">
        <f t="shared" si="15"/>
        <v>764</v>
      </c>
      <c r="B765" s="128" t="s">
        <v>1794</v>
      </c>
      <c r="C765" s="274" t="s">
        <v>1794</v>
      </c>
      <c r="D765" s="262"/>
      <c r="E765" s="128"/>
      <c r="F765" s="138" t="s">
        <v>1795</v>
      </c>
      <c r="G765" s="142" t="s">
        <v>1758</v>
      </c>
      <c r="H765" s="128" t="s">
        <v>678</v>
      </c>
      <c r="I765" s="131" t="s">
        <v>131</v>
      </c>
      <c r="J765" s="133">
        <v>18</v>
      </c>
      <c r="K765" s="129">
        <v>12</v>
      </c>
      <c r="L765" s="129">
        <v>1</v>
      </c>
      <c r="M765" s="129" t="s">
        <v>664</v>
      </c>
      <c r="N765" s="129" t="s">
        <v>665</v>
      </c>
      <c r="O765" s="134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40"/>
    </row>
    <row r="766" spans="1:26" x14ac:dyDescent="0.25">
      <c r="A766" s="203">
        <f t="shared" si="15"/>
        <v>765</v>
      </c>
      <c r="B766" s="128" t="s">
        <v>1796</v>
      </c>
      <c r="C766" s="263" t="s">
        <v>1796</v>
      </c>
      <c r="D766" s="262"/>
      <c r="E766" s="128"/>
      <c r="F766" s="138" t="s">
        <v>1797</v>
      </c>
      <c r="G766" s="142" t="s">
        <v>1758</v>
      </c>
      <c r="H766" s="128" t="s">
        <v>678</v>
      </c>
      <c r="I766" s="131" t="s">
        <v>131</v>
      </c>
      <c r="J766" s="133">
        <v>18</v>
      </c>
      <c r="K766" s="129">
        <v>13</v>
      </c>
      <c r="L766" s="129">
        <v>0</v>
      </c>
      <c r="M766" s="129" t="s">
        <v>664</v>
      </c>
      <c r="N766" s="129" t="s">
        <v>665</v>
      </c>
      <c r="O766" s="134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40"/>
    </row>
    <row r="767" spans="1:26" x14ac:dyDescent="0.25">
      <c r="A767" s="203">
        <f t="shared" si="15"/>
        <v>766</v>
      </c>
      <c r="B767" s="128" t="s">
        <v>1798</v>
      </c>
      <c r="C767" s="274" t="s">
        <v>1798</v>
      </c>
      <c r="D767" s="262"/>
      <c r="E767" s="128"/>
      <c r="F767" s="138" t="s">
        <v>1799</v>
      </c>
      <c r="G767" s="142" t="s">
        <v>1758</v>
      </c>
      <c r="H767" s="128" t="s">
        <v>678</v>
      </c>
      <c r="I767" s="131" t="s">
        <v>131</v>
      </c>
      <c r="J767" s="133">
        <v>18</v>
      </c>
      <c r="K767" s="129">
        <v>13</v>
      </c>
      <c r="L767" s="129">
        <v>3</v>
      </c>
      <c r="M767" s="129" t="s">
        <v>664</v>
      </c>
      <c r="N767" s="129" t="s">
        <v>665</v>
      </c>
      <c r="O767" s="134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40"/>
    </row>
    <row r="768" spans="1:26" x14ac:dyDescent="0.25">
      <c r="A768" s="203">
        <f t="shared" si="15"/>
        <v>767</v>
      </c>
      <c r="B768" s="128" t="s">
        <v>1800</v>
      </c>
      <c r="C768" s="263" t="s">
        <v>1801</v>
      </c>
      <c r="D768" s="262"/>
      <c r="E768" s="128"/>
      <c r="F768" s="138" t="s">
        <v>1802</v>
      </c>
      <c r="G768" s="131" t="s">
        <v>1758</v>
      </c>
      <c r="H768" s="128" t="s">
        <v>1627</v>
      </c>
      <c r="I768" s="132" t="s">
        <v>1803</v>
      </c>
      <c r="J768" s="133">
        <v>20</v>
      </c>
      <c r="K768" s="129">
        <v>0</v>
      </c>
      <c r="L768" s="129">
        <v>0</v>
      </c>
      <c r="M768" s="129" t="s">
        <v>31</v>
      </c>
      <c r="N768" s="129" t="s">
        <v>32</v>
      </c>
      <c r="O768" s="139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40" t="s">
        <v>33</v>
      </c>
    </row>
    <row r="769" spans="1:26" x14ac:dyDescent="0.25">
      <c r="A769" s="203">
        <f t="shared" si="15"/>
        <v>768</v>
      </c>
      <c r="B769" s="128" t="s">
        <v>1804</v>
      </c>
      <c r="C769" s="263" t="s">
        <v>1805</v>
      </c>
      <c r="D769" s="262"/>
      <c r="E769" s="128"/>
      <c r="F769" s="138" t="s">
        <v>1806</v>
      </c>
      <c r="G769" s="131" t="s">
        <v>1758</v>
      </c>
      <c r="H769" s="128" t="s">
        <v>1627</v>
      </c>
      <c r="I769" s="132" t="s">
        <v>1803</v>
      </c>
      <c r="J769" s="133">
        <v>20</v>
      </c>
      <c r="K769" s="129">
        <v>0</v>
      </c>
      <c r="L769" s="129">
        <v>1</v>
      </c>
      <c r="M769" s="129" t="s">
        <v>31</v>
      </c>
      <c r="N769" s="129" t="s">
        <v>32</v>
      </c>
      <c r="O769" s="139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40" t="s">
        <v>33</v>
      </c>
    </row>
    <row r="770" spans="1:26" x14ac:dyDescent="0.25">
      <c r="A770" s="203">
        <f t="shared" si="15"/>
        <v>769</v>
      </c>
      <c r="B770" s="128" t="s">
        <v>1807</v>
      </c>
      <c r="C770" s="263" t="s">
        <v>1807</v>
      </c>
      <c r="D770" s="262"/>
      <c r="E770" s="128"/>
      <c r="F770" s="138" t="s">
        <v>1808</v>
      </c>
      <c r="G770" s="131" t="s">
        <v>1758</v>
      </c>
      <c r="H770" s="128" t="s">
        <v>1627</v>
      </c>
      <c r="I770" s="132" t="s">
        <v>1803</v>
      </c>
      <c r="J770" s="133">
        <v>20</v>
      </c>
      <c r="K770" s="129">
        <v>0</v>
      </c>
      <c r="L770" s="129">
        <v>2</v>
      </c>
      <c r="M770" s="129" t="s">
        <v>31</v>
      </c>
      <c r="N770" s="129" t="s">
        <v>32</v>
      </c>
      <c r="O770" s="139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59" t="s">
        <v>33</v>
      </c>
    </row>
    <row r="771" spans="1:26" x14ac:dyDescent="0.25">
      <c r="A771" s="203">
        <f t="shared" si="15"/>
        <v>770</v>
      </c>
      <c r="B771" s="128" t="s">
        <v>1809</v>
      </c>
      <c r="C771" s="263" t="s">
        <v>1809</v>
      </c>
      <c r="D771" s="262"/>
      <c r="E771" s="128"/>
      <c r="F771" s="138" t="s">
        <v>1810</v>
      </c>
      <c r="G771" s="131" t="s">
        <v>1758</v>
      </c>
      <c r="H771" s="128" t="s">
        <v>1627</v>
      </c>
      <c r="I771" s="132" t="s">
        <v>1803</v>
      </c>
      <c r="J771" s="133">
        <v>20</v>
      </c>
      <c r="K771" s="129">
        <v>0</v>
      </c>
      <c r="L771" s="129">
        <v>3</v>
      </c>
      <c r="M771" s="129" t="s">
        <v>31</v>
      </c>
      <c r="N771" s="129" t="s">
        <v>32</v>
      </c>
      <c r="O771" s="139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40" t="s">
        <v>33</v>
      </c>
    </row>
    <row r="772" spans="1:26" x14ac:dyDescent="0.25">
      <c r="A772" s="203">
        <f t="shared" si="15"/>
        <v>771</v>
      </c>
      <c r="B772" s="128" t="s">
        <v>1811</v>
      </c>
      <c r="C772" s="263" t="s">
        <v>1811</v>
      </c>
      <c r="D772" s="262"/>
      <c r="E772" s="128"/>
      <c r="F772" s="138" t="s">
        <v>1812</v>
      </c>
      <c r="G772" s="131" t="s">
        <v>1758</v>
      </c>
      <c r="H772" s="128" t="s">
        <v>1627</v>
      </c>
      <c r="I772" s="132" t="s">
        <v>1803</v>
      </c>
      <c r="J772" s="133">
        <v>20</v>
      </c>
      <c r="K772" s="129">
        <v>0</v>
      </c>
      <c r="L772" s="129">
        <v>4</v>
      </c>
      <c r="M772" s="129" t="s">
        <v>31</v>
      </c>
      <c r="N772" s="129" t="s">
        <v>32</v>
      </c>
      <c r="O772" s="139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40" t="s">
        <v>33</v>
      </c>
    </row>
    <row r="773" spans="1:26" x14ac:dyDescent="0.25">
      <c r="A773" s="203">
        <f t="shared" si="15"/>
        <v>772</v>
      </c>
      <c r="B773" s="128" t="s">
        <v>1813</v>
      </c>
      <c r="C773" s="263" t="s">
        <v>1813</v>
      </c>
      <c r="D773" s="262"/>
      <c r="E773" s="128"/>
      <c r="F773" s="138" t="s">
        <v>1814</v>
      </c>
      <c r="G773" s="131" t="s">
        <v>1758</v>
      </c>
      <c r="H773" s="128" t="s">
        <v>1627</v>
      </c>
      <c r="I773" s="132" t="s">
        <v>1803</v>
      </c>
      <c r="J773" s="133">
        <v>20</v>
      </c>
      <c r="K773" s="129">
        <v>0</v>
      </c>
      <c r="L773" s="129">
        <v>5</v>
      </c>
      <c r="M773" s="129" t="s">
        <v>31</v>
      </c>
      <c r="N773" s="129" t="s">
        <v>32</v>
      </c>
      <c r="O773" s="139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40" t="s">
        <v>33</v>
      </c>
    </row>
    <row r="774" spans="1:26" x14ac:dyDescent="0.25">
      <c r="A774" s="203">
        <f t="shared" si="15"/>
        <v>773</v>
      </c>
      <c r="B774" s="128" t="s">
        <v>1815</v>
      </c>
      <c r="C774" s="274" t="s">
        <v>1815</v>
      </c>
      <c r="D774" s="262"/>
      <c r="E774" s="128"/>
      <c r="F774" s="138" t="s">
        <v>1816</v>
      </c>
      <c r="G774" s="131" t="s">
        <v>1758</v>
      </c>
      <c r="H774" s="128" t="s">
        <v>1627</v>
      </c>
      <c r="I774" s="132" t="s">
        <v>1803</v>
      </c>
      <c r="J774" s="133">
        <v>20</v>
      </c>
      <c r="K774" s="129">
        <v>1</v>
      </c>
      <c r="L774" s="129">
        <v>0</v>
      </c>
      <c r="M774" s="129" t="s">
        <v>82</v>
      </c>
      <c r="N774" s="129" t="s">
        <v>83</v>
      </c>
      <c r="O774" s="139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40" t="s">
        <v>33</v>
      </c>
    </row>
    <row r="775" spans="1:26" x14ac:dyDescent="0.25">
      <c r="A775" s="203">
        <f t="shared" si="15"/>
        <v>774</v>
      </c>
      <c r="B775" s="128" t="s">
        <v>1817</v>
      </c>
      <c r="C775" s="274" t="s">
        <v>1817</v>
      </c>
      <c r="D775" s="262"/>
      <c r="E775" s="128"/>
      <c r="F775" s="138" t="s">
        <v>1818</v>
      </c>
      <c r="G775" s="131" t="s">
        <v>1758</v>
      </c>
      <c r="H775" s="128" t="s">
        <v>1627</v>
      </c>
      <c r="I775" s="132" t="s">
        <v>1803</v>
      </c>
      <c r="J775" s="133">
        <v>20</v>
      </c>
      <c r="K775" s="129">
        <v>1</v>
      </c>
      <c r="L775" s="129">
        <v>1</v>
      </c>
      <c r="M775" s="129" t="s">
        <v>82</v>
      </c>
      <c r="N775" s="129" t="s">
        <v>83</v>
      </c>
      <c r="O775" s="139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40" t="s">
        <v>33</v>
      </c>
    </row>
    <row r="776" spans="1:26" x14ac:dyDescent="0.25">
      <c r="A776" s="203">
        <f t="shared" si="15"/>
        <v>775</v>
      </c>
      <c r="B776" s="128" t="s">
        <v>1819</v>
      </c>
      <c r="C776" s="274" t="s">
        <v>1819</v>
      </c>
      <c r="D776" s="262"/>
      <c r="E776" s="128"/>
      <c r="F776" s="138" t="s">
        <v>1820</v>
      </c>
      <c r="G776" s="131" t="s">
        <v>1758</v>
      </c>
      <c r="H776" s="128" t="s">
        <v>1627</v>
      </c>
      <c r="I776" s="132" t="s">
        <v>1803</v>
      </c>
      <c r="J776" s="133">
        <v>20</v>
      </c>
      <c r="K776" s="129">
        <v>1</v>
      </c>
      <c r="L776" s="129">
        <v>2</v>
      </c>
      <c r="M776" s="129" t="s">
        <v>82</v>
      </c>
      <c r="N776" s="129" t="s">
        <v>83</v>
      </c>
      <c r="O776" s="139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40" t="s">
        <v>33</v>
      </c>
    </row>
    <row r="777" spans="1:26" x14ac:dyDescent="0.25">
      <c r="A777" s="203">
        <f t="shared" si="15"/>
        <v>776</v>
      </c>
      <c r="B777" s="128" t="s">
        <v>1821</v>
      </c>
      <c r="C777" s="274" t="s">
        <v>1821</v>
      </c>
      <c r="D777" s="262"/>
      <c r="E777" s="128"/>
      <c r="F777" s="138" t="s">
        <v>1822</v>
      </c>
      <c r="G777" s="131" t="s">
        <v>1758</v>
      </c>
      <c r="H777" s="128" t="s">
        <v>1627</v>
      </c>
      <c r="I777" s="132" t="s">
        <v>1803</v>
      </c>
      <c r="J777" s="133">
        <v>20</v>
      </c>
      <c r="K777" s="129">
        <v>2</v>
      </c>
      <c r="L777" s="129">
        <v>0</v>
      </c>
      <c r="M777" s="129" t="s">
        <v>658</v>
      </c>
      <c r="N777" s="129" t="s">
        <v>659</v>
      </c>
      <c r="O777" s="139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40" t="s">
        <v>33</v>
      </c>
    </row>
    <row r="778" spans="1:26" x14ac:dyDescent="0.25">
      <c r="A778" s="203">
        <f t="shared" si="15"/>
        <v>777</v>
      </c>
      <c r="B778" s="128" t="s">
        <v>1823</v>
      </c>
      <c r="C778" s="274" t="s">
        <v>1823</v>
      </c>
      <c r="D778" s="262"/>
      <c r="E778" s="128"/>
      <c r="F778" s="138" t="s">
        <v>1824</v>
      </c>
      <c r="G778" s="131" t="s">
        <v>1758</v>
      </c>
      <c r="H778" s="128" t="s">
        <v>1627</v>
      </c>
      <c r="I778" s="132" t="s">
        <v>1803</v>
      </c>
      <c r="J778" s="133">
        <v>20</v>
      </c>
      <c r="K778" s="129">
        <v>2</v>
      </c>
      <c r="L778" s="129">
        <v>1</v>
      </c>
      <c r="M778" s="129" t="s">
        <v>658</v>
      </c>
      <c r="N778" s="129" t="s">
        <v>659</v>
      </c>
      <c r="O778" s="139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40" t="s">
        <v>33</v>
      </c>
    </row>
    <row r="779" spans="1:26" x14ac:dyDescent="0.25">
      <c r="A779" s="203">
        <f t="shared" si="15"/>
        <v>778</v>
      </c>
      <c r="B779" s="128" t="s">
        <v>1825</v>
      </c>
      <c r="C779" s="274" t="s">
        <v>1825</v>
      </c>
      <c r="D779" s="262"/>
      <c r="E779" s="128"/>
      <c r="F779" s="138" t="s">
        <v>1826</v>
      </c>
      <c r="G779" s="131" t="s">
        <v>1758</v>
      </c>
      <c r="H779" s="128" t="s">
        <v>1627</v>
      </c>
      <c r="I779" s="132" t="s">
        <v>1803</v>
      </c>
      <c r="J779" s="133">
        <v>20</v>
      </c>
      <c r="K779" s="129">
        <v>2</v>
      </c>
      <c r="L779" s="129">
        <v>2</v>
      </c>
      <c r="M779" s="129" t="s">
        <v>658</v>
      </c>
      <c r="N779" s="129" t="s">
        <v>659</v>
      </c>
      <c r="O779" s="139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40" t="s">
        <v>33</v>
      </c>
    </row>
    <row r="780" spans="1:26" x14ac:dyDescent="0.25">
      <c r="A780" s="203">
        <f t="shared" si="15"/>
        <v>779</v>
      </c>
      <c r="B780" s="128" t="s">
        <v>1827</v>
      </c>
      <c r="C780" s="274" t="s">
        <v>1827</v>
      </c>
      <c r="D780" s="262"/>
      <c r="E780" s="128"/>
      <c r="F780" s="138" t="s">
        <v>1828</v>
      </c>
      <c r="G780" s="131" t="s">
        <v>1758</v>
      </c>
      <c r="H780" s="128" t="s">
        <v>1627</v>
      </c>
      <c r="I780" s="132" t="s">
        <v>1803</v>
      </c>
      <c r="J780" s="133">
        <v>20</v>
      </c>
      <c r="K780" s="129">
        <v>2</v>
      </c>
      <c r="L780" s="129">
        <v>3</v>
      </c>
      <c r="M780" s="129" t="s">
        <v>658</v>
      </c>
      <c r="N780" s="129" t="s">
        <v>659</v>
      </c>
      <c r="O780" s="139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40" t="s">
        <v>33</v>
      </c>
    </row>
    <row r="781" spans="1:26" x14ac:dyDescent="0.25">
      <c r="A781" s="203">
        <f t="shared" si="15"/>
        <v>780</v>
      </c>
      <c r="B781" s="128" t="s">
        <v>1829</v>
      </c>
      <c r="C781" s="274" t="s">
        <v>1829</v>
      </c>
      <c r="D781" s="262"/>
      <c r="E781" s="128"/>
      <c r="F781" s="138" t="s">
        <v>1830</v>
      </c>
      <c r="G781" s="131" t="s">
        <v>1758</v>
      </c>
      <c r="H781" s="128" t="s">
        <v>1627</v>
      </c>
      <c r="I781" s="132" t="s">
        <v>1803</v>
      </c>
      <c r="J781" s="133">
        <v>20</v>
      </c>
      <c r="K781" s="129">
        <v>2</v>
      </c>
      <c r="L781" s="129">
        <v>4</v>
      </c>
      <c r="M781" s="129" t="s">
        <v>658</v>
      </c>
      <c r="N781" s="129" t="s">
        <v>659</v>
      </c>
      <c r="O781" s="139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40" t="s">
        <v>33</v>
      </c>
    </row>
    <row r="782" spans="1:26" x14ac:dyDescent="0.25">
      <c r="A782" s="203">
        <f t="shared" si="15"/>
        <v>781</v>
      </c>
      <c r="B782" s="128" t="s">
        <v>1831</v>
      </c>
      <c r="C782" s="274" t="s">
        <v>1831</v>
      </c>
      <c r="D782" s="262"/>
      <c r="E782" s="128"/>
      <c r="F782" s="138" t="s">
        <v>1832</v>
      </c>
      <c r="G782" s="131" t="s">
        <v>1758</v>
      </c>
      <c r="H782" s="128" t="s">
        <v>1627</v>
      </c>
      <c r="I782" s="132" t="s">
        <v>1803</v>
      </c>
      <c r="J782" s="133">
        <v>20</v>
      </c>
      <c r="K782" s="129">
        <v>2</v>
      </c>
      <c r="L782" s="129">
        <v>5</v>
      </c>
      <c r="M782" s="129" t="s">
        <v>658</v>
      </c>
      <c r="N782" s="129" t="s">
        <v>659</v>
      </c>
      <c r="O782" s="139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40" t="s">
        <v>33</v>
      </c>
    </row>
    <row r="783" spans="1:26" x14ac:dyDescent="0.25">
      <c r="A783" s="203">
        <f t="shared" si="15"/>
        <v>782</v>
      </c>
      <c r="B783" s="128" t="s">
        <v>1833</v>
      </c>
      <c r="C783" s="274" t="s">
        <v>1833</v>
      </c>
      <c r="D783" s="262"/>
      <c r="E783" s="128"/>
      <c r="F783" s="138" t="s">
        <v>1834</v>
      </c>
      <c r="G783" s="131" t="s">
        <v>1758</v>
      </c>
      <c r="H783" s="128" t="s">
        <v>1627</v>
      </c>
      <c r="I783" s="132" t="s">
        <v>1803</v>
      </c>
      <c r="J783" s="133">
        <v>20</v>
      </c>
      <c r="K783" s="129">
        <v>2</v>
      </c>
      <c r="L783" s="129">
        <v>6</v>
      </c>
      <c r="M783" s="129" t="s">
        <v>658</v>
      </c>
      <c r="N783" s="129" t="s">
        <v>659</v>
      </c>
      <c r="O783" s="139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40" t="s">
        <v>33</v>
      </c>
    </row>
    <row r="784" spans="1:26" x14ac:dyDescent="0.25">
      <c r="A784" s="203">
        <f t="shared" si="15"/>
        <v>783</v>
      </c>
      <c r="B784" s="128" t="s">
        <v>1835</v>
      </c>
      <c r="C784" s="263" t="s">
        <v>1835</v>
      </c>
      <c r="D784" s="262"/>
      <c r="E784" s="128"/>
      <c r="F784" s="138" t="s">
        <v>1836</v>
      </c>
      <c r="G784" s="131" t="s">
        <v>1758</v>
      </c>
      <c r="H784" s="128" t="s">
        <v>1627</v>
      </c>
      <c r="I784" s="132" t="s">
        <v>1803</v>
      </c>
      <c r="J784" s="133">
        <v>20</v>
      </c>
      <c r="K784" s="129">
        <v>2</v>
      </c>
      <c r="L784" s="129">
        <v>7</v>
      </c>
      <c r="M784" s="129" t="s">
        <v>658</v>
      </c>
      <c r="N784" s="129" t="s">
        <v>659</v>
      </c>
      <c r="O784" s="139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40" t="s">
        <v>33</v>
      </c>
    </row>
    <row r="785" spans="1:26" x14ac:dyDescent="0.25">
      <c r="A785" s="203">
        <f t="shared" si="15"/>
        <v>784</v>
      </c>
      <c r="B785" s="128" t="s">
        <v>1837</v>
      </c>
      <c r="C785" s="263" t="s">
        <v>1837</v>
      </c>
      <c r="D785" s="262"/>
      <c r="E785" s="128"/>
      <c r="F785" s="138" t="s">
        <v>1838</v>
      </c>
      <c r="G785" s="131" t="s">
        <v>1758</v>
      </c>
      <c r="H785" s="128" t="s">
        <v>1627</v>
      </c>
      <c r="I785" s="132" t="s">
        <v>1803</v>
      </c>
      <c r="J785" s="133">
        <v>20</v>
      </c>
      <c r="K785" s="129">
        <v>3</v>
      </c>
      <c r="L785" s="129">
        <v>0</v>
      </c>
      <c r="M785" s="129" t="s">
        <v>658</v>
      </c>
      <c r="N785" s="129" t="s">
        <v>659</v>
      </c>
      <c r="O785" s="139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40" t="s">
        <v>33</v>
      </c>
    </row>
    <row r="786" spans="1:26" x14ac:dyDescent="0.25">
      <c r="A786" s="203">
        <f t="shared" si="15"/>
        <v>785</v>
      </c>
      <c r="B786" s="128" t="s">
        <v>1839</v>
      </c>
      <c r="C786" s="274" t="s">
        <v>1839</v>
      </c>
      <c r="D786" s="262"/>
      <c r="E786" s="128"/>
      <c r="F786" s="138" t="s">
        <v>1840</v>
      </c>
      <c r="G786" s="131" t="s">
        <v>1758</v>
      </c>
      <c r="H786" s="128" t="s">
        <v>1627</v>
      </c>
      <c r="I786" s="132" t="s">
        <v>1803</v>
      </c>
      <c r="J786" s="133">
        <v>20</v>
      </c>
      <c r="K786" s="129">
        <v>4</v>
      </c>
      <c r="L786" s="129">
        <v>0</v>
      </c>
      <c r="M786" s="129" t="s">
        <v>664</v>
      </c>
      <c r="N786" s="129" t="s">
        <v>665</v>
      </c>
      <c r="O786" s="139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40" t="s">
        <v>33</v>
      </c>
    </row>
    <row r="787" spans="1:26" x14ac:dyDescent="0.25">
      <c r="A787" s="203">
        <f t="shared" si="15"/>
        <v>786</v>
      </c>
      <c r="B787" s="128" t="s">
        <v>1841</v>
      </c>
      <c r="C787" s="274" t="s">
        <v>1841</v>
      </c>
      <c r="D787" s="262"/>
      <c r="E787" s="128"/>
      <c r="F787" s="138" t="s">
        <v>1842</v>
      </c>
      <c r="G787" s="131" t="s">
        <v>1843</v>
      </c>
      <c r="H787" s="128" t="s">
        <v>678</v>
      </c>
      <c r="I787" s="131" t="s">
        <v>131</v>
      </c>
      <c r="J787" s="133">
        <v>18</v>
      </c>
      <c r="K787" s="129">
        <v>1</v>
      </c>
      <c r="L787" s="129">
        <v>4</v>
      </c>
      <c r="M787" s="129" t="s">
        <v>31</v>
      </c>
      <c r="N787" s="129" t="s">
        <v>32</v>
      </c>
      <c r="O787" s="139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40"/>
    </row>
    <row r="788" spans="1:26" x14ac:dyDescent="0.25">
      <c r="A788" s="203">
        <f t="shared" si="15"/>
        <v>787</v>
      </c>
      <c r="B788" s="128" t="s">
        <v>1844</v>
      </c>
      <c r="C788" s="274" t="s">
        <v>1844</v>
      </c>
      <c r="D788" s="262"/>
      <c r="E788" s="128"/>
      <c r="F788" s="138" t="s">
        <v>1845</v>
      </c>
      <c r="G788" s="131" t="s">
        <v>1843</v>
      </c>
      <c r="H788" s="128" t="s">
        <v>678</v>
      </c>
      <c r="I788" s="131" t="s">
        <v>131</v>
      </c>
      <c r="J788" s="133">
        <v>18</v>
      </c>
      <c r="K788" s="129">
        <v>1</v>
      </c>
      <c r="L788" s="129">
        <v>5</v>
      </c>
      <c r="M788" s="129" t="s">
        <v>31</v>
      </c>
      <c r="N788" s="129" t="s">
        <v>32</v>
      </c>
      <c r="O788" s="139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40"/>
    </row>
    <row r="789" spans="1:26" x14ac:dyDescent="0.25">
      <c r="A789" s="203">
        <f t="shared" si="15"/>
        <v>788</v>
      </c>
      <c r="B789" s="128" t="s">
        <v>1846</v>
      </c>
      <c r="C789" s="274" t="s">
        <v>1846</v>
      </c>
      <c r="D789" s="262"/>
      <c r="E789" s="128"/>
      <c r="F789" s="138" t="s">
        <v>1847</v>
      </c>
      <c r="G789" s="131" t="s">
        <v>1843</v>
      </c>
      <c r="H789" s="128" t="s">
        <v>678</v>
      </c>
      <c r="I789" s="131" t="s">
        <v>131</v>
      </c>
      <c r="J789" s="133">
        <v>18</v>
      </c>
      <c r="K789" s="129">
        <v>2</v>
      </c>
      <c r="L789" s="129">
        <v>4</v>
      </c>
      <c r="M789" s="129" t="s">
        <v>31</v>
      </c>
      <c r="N789" s="129" t="s">
        <v>32</v>
      </c>
      <c r="O789" s="139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40"/>
    </row>
    <row r="790" spans="1:26" x14ac:dyDescent="0.25">
      <c r="A790" s="203">
        <f t="shared" si="15"/>
        <v>789</v>
      </c>
      <c r="B790" s="128" t="s">
        <v>1848</v>
      </c>
      <c r="C790" s="274" t="s">
        <v>1848</v>
      </c>
      <c r="D790" s="262"/>
      <c r="E790" s="128"/>
      <c r="F790" s="138" t="s">
        <v>1849</v>
      </c>
      <c r="G790" s="131" t="s">
        <v>1843</v>
      </c>
      <c r="H790" s="128" t="s">
        <v>678</v>
      </c>
      <c r="I790" s="131" t="s">
        <v>131</v>
      </c>
      <c r="J790" s="133">
        <v>18</v>
      </c>
      <c r="K790" s="129">
        <v>2</v>
      </c>
      <c r="L790" s="129">
        <v>5</v>
      </c>
      <c r="M790" s="129" t="s">
        <v>31</v>
      </c>
      <c r="N790" s="129" t="s">
        <v>32</v>
      </c>
      <c r="O790" s="139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40"/>
    </row>
    <row r="791" spans="1:26" x14ac:dyDescent="0.25">
      <c r="A791" s="203">
        <f t="shared" si="15"/>
        <v>790</v>
      </c>
      <c r="B791" s="128" t="s">
        <v>1850</v>
      </c>
      <c r="C791" s="274" t="s">
        <v>1850</v>
      </c>
      <c r="D791" s="262"/>
      <c r="E791" s="128"/>
      <c r="F791" s="138" t="s">
        <v>1851</v>
      </c>
      <c r="G791" s="131" t="s">
        <v>1843</v>
      </c>
      <c r="H791" s="128" t="s">
        <v>678</v>
      </c>
      <c r="I791" s="131" t="s">
        <v>131</v>
      </c>
      <c r="J791" s="133">
        <v>18</v>
      </c>
      <c r="K791" s="129">
        <v>3</v>
      </c>
      <c r="L791" s="129">
        <v>1</v>
      </c>
      <c r="M791" s="129" t="s">
        <v>82</v>
      </c>
      <c r="N791" s="129" t="s">
        <v>83</v>
      </c>
      <c r="O791" s="139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40"/>
    </row>
    <row r="792" spans="1:26" x14ac:dyDescent="0.25">
      <c r="A792" s="203">
        <f t="shared" si="15"/>
        <v>791</v>
      </c>
      <c r="B792" s="128" t="s">
        <v>1852</v>
      </c>
      <c r="C792" s="274" t="s">
        <v>1852</v>
      </c>
      <c r="D792" s="262"/>
      <c r="E792" s="128"/>
      <c r="F792" s="138" t="s">
        <v>1853</v>
      </c>
      <c r="G792" s="131" t="s">
        <v>1843</v>
      </c>
      <c r="H792" s="128" t="s">
        <v>678</v>
      </c>
      <c r="I792" s="131" t="s">
        <v>131</v>
      </c>
      <c r="J792" s="133">
        <v>18</v>
      </c>
      <c r="K792" s="129">
        <v>4</v>
      </c>
      <c r="L792" s="129">
        <v>1</v>
      </c>
      <c r="M792" s="129" t="s">
        <v>82</v>
      </c>
      <c r="N792" s="129" t="s">
        <v>83</v>
      </c>
      <c r="O792" s="139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40"/>
    </row>
    <row r="793" spans="1:26" x14ac:dyDescent="0.25">
      <c r="A793" s="203">
        <f t="shared" si="15"/>
        <v>792</v>
      </c>
      <c r="B793" s="128" t="s">
        <v>1854</v>
      </c>
      <c r="C793" s="274" t="s">
        <v>1854</v>
      </c>
      <c r="D793" s="262"/>
      <c r="E793" s="128"/>
      <c r="F793" s="138" t="s">
        <v>1855</v>
      </c>
      <c r="G793" s="131" t="s">
        <v>1843</v>
      </c>
      <c r="H793" s="128" t="s">
        <v>678</v>
      </c>
      <c r="I793" s="131" t="s">
        <v>131</v>
      </c>
      <c r="J793" s="133">
        <v>18</v>
      </c>
      <c r="K793" s="129">
        <v>6</v>
      </c>
      <c r="L793" s="129">
        <v>0</v>
      </c>
      <c r="M793" s="129" t="s">
        <v>658</v>
      </c>
      <c r="N793" s="129" t="s">
        <v>659</v>
      </c>
      <c r="O793" s="134" t="s">
        <v>1856</v>
      </c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40"/>
    </row>
    <row r="794" spans="1:26" x14ac:dyDescent="0.25">
      <c r="A794" s="203">
        <f t="shared" si="15"/>
        <v>793</v>
      </c>
      <c r="B794" s="128" t="s">
        <v>1857</v>
      </c>
      <c r="C794" s="274" t="s">
        <v>1857</v>
      </c>
      <c r="D794" s="262"/>
      <c r="E794" s="128"/>
      <c r="F794" s="138" t="s">
        <v>1858</v>
      </c>
      <c r="G794" s="131" t="s">
        <v>1843</v>
      </c>
      <c r="H794" s="128" t="s">
        <v>678</v>
      </c>
      <c r="I794" s="131" t="s">
        <v>131</v>
      </c>
      <c r="J794" s="133">
        <v>18</v>
      </c>
      <c r="K794" s="129">
        <v>6</v>
      </c>
      <c r="L794" s="129">
        <v>1</v>
      </c>
      <c r="M794" s="129" t="s">
        <v>658</v>
      </c>
      <c r="N794" s="129" t="s">
        <v>659</v>
      </c>
      <c r="O794" s="134" t="s">
        <v>1019</v>
      </c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40"/>
    </row>
    <row r="795" spans="1:26" x14ac:dyDescent="0.25">
      <c r="A795" s="203">
        <f t="shared" si="15"/>
        <v>794</v>
      </c>
      <c r="B795" s="128" t="s">
        <v>1859</v>
      </c>
      <c r="C795" s="274" t="s">
        <v>1859</v>
      </c>
      <c r="D795" s="262"/>
      <c r="E795" s="128"/>
      <c r="F795" s="138" t="s">
        <v>1860</v>
      </c>
      <c r="G795" s="131" t="s">
        <v>1843</v>
      </c>
      <c r="H795" s="128" t="s">
        <v>678</v>
      </c>
      <c r="I795" s="131" t="s">
        <v>131</v>
      </c>
      <c r="J795" s="133">
        <v>18</v>
      </c>
      <c r="K795" s="129">
        <v>6</v>
      </c>
      <c r="L795" s="129">
        <v>2</v>
      </c>
      <c r="M795" s="129" t="s">
        <v>658</v>
      </c>
      <c r="N795" s="129" t="s">
        <v>659</v>
      </c>
      <c r="O795" s="134" t="s">
        <v>1019</v>
      </c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40"/>
    </row>
    <row r="796" spans="1:26" x14ac:dyDescent="0.25">
      <c r="A796" s="203">
        <f t="shared" si="15"/>
        <v>795</v>
      </c>
      <c r="B796" s="128" t="s">
        <v>1861</v>
      </c>
      <c r="C796" s="274" t="s">
        <v>1861</v>
      </c>
      <c r="D796" s="262"/>
      <c r="E796" s="128"/>
      <c r="F796" s="138" t="s">
        <v>1862</v>
      </c>
      <c r="G796" s="131" t="s">
        <v>1843</v>
      </c>
      <c r="H796" s="128" t="s">
        <v>678</v>
      </c>
      <c r="I796" s="131" t="s">
        <v>131</v>
      </c>
      <c r="J796" s="133">
        <v>18</v>
      </c>
      <c r="K796" s="129">
        <v>6</v>
      </c>
      <c r="L796" s="129">
        <v>3</v>
      </c>
      <c r="M796" s="129" t="s">
        <v>658</v>
      </c>
      <c r="N796" s="129" t="s">
        <v>659</v>
      </c>
      <c r="O796" s="134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33" t="s">
        <v>1863</v>
      </c>
    </row>
    <row r="797" spans="1:26" x14ac:dyDescent="0.25">
      <c r="A797" s="203">
        <f t="shared" si="15"/>
        <v>796</v>
      </c>
      <c r="B797" s="128" t="s">
        <v>1864</v>
      </c>
      <c r="C797" s="274" t="s">
        <v>1864</v>
      </c>
      <c r="D797" s="262"/>
      <c r="E797" s="128"/>
      <c r="F797" s="138" t="s">
        <v>1865</v>
      </c>
      <c r="G797" s="131" t="s">
        <v>1843</v>
      </c>
      <c r="H797" s="128" t="s">
        <v>678</v>
      </c>
      <c r="I797" s="131" t="s">
        <v>131</v>
      </c>
      <c r="J797" s="133">
        <v>18</v>
      </c>
      <c r="K797" s="129">
        <v>7</v>
      </c>
      <c r="L797" s="129">
        <v>0</v>
      </c>
      <c r="M797" s="129" t="s">
        <v>658</v>
      </c>
      <c r="N797" s="129" t="s">
        <v>659</v>
      </c>
      <c r="O797" s="134" t="s">
        <v>1856</v>
      </c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40"/>
    </row>
    <row r="798" spans="1:26" x14ac:dyDescent="0.25">
      <c r="A798" s="203">
        <f t="shared" si="15"/>
        <v>797</v>
      </c>
      <c r="B798" s="128" t="s">
        <v>1866</v>
      </c>
      <c r="C798" s="274" t="s">
        <v>1866</v>
      </c>
      <c r="D798" s="262"/>
      <c r="E798" s="128"/>
      <c r="F798" s="138" t="s">
        <v>1867</v>
      </c>
      <c r="G798" s="131" t="s">
        <v>1843</v>
      </c>
      <c r="H798" s="128" t="s">
        <v>678</v>
      </c>
      <c r="I798" s="131" t="s">
        <v>131</v>
      </c>
      <c r="J798" s="133">
        <v>18</v>
      </c>
      <c r="K798" s="129">
        <v>7</v>
      </c>
      <c r="L798" s="129">
        <v>1</v>
      </c>
      <c r="M798" s="129" t="s">
        <v>658</v>
      </c>
      <c r="N798" s="129" t="s">
        <v>659</v>
      </c>
      <c r="O798" s="134" t="s">
        <v>1019</v>
      </c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40"/>
    </row>
    <row r="799" spans="1:26" x14ac:dyDescent="0.25">
      <c r="A799" s="203">
        <f t="shared" si="15"/>
        <v>798</v>
      </c>
      <c r="B799" s="128" t="s">
        <v>1868</v>
      </c>
      <c r="C799" s="274" t="s">
        <v>1868</v>
      </c>
      <c r="D799" s="262"/>
      <c r="E799" s="128"/>
      <c r="F799" s="138" t="s">
        <v>1869</v>
      </c>
      <c r="G799" s="131" t="s">
        <v>1843</v>
      </c>
      <c r="H799" s="128" t="s">
        <v>678</v>
      </c>
      <c r="I799" s="131" t="s">
        <v>131</v>
      </c>
      <c r="J799" s="133">
        <v>18</v>
      </c>
      <c r="K799" s="129">
        <v>7</v>
      </c>
      <c r="L799" s="129">
        <v>2</v>
      </c>
      <c r="M799" s="129" t="s">
        <v>658</v>
      </c>
      <c r="N799" s="129" t="s">
        <v>659</v>
      </c>
      <c r="O799" s="134" t="s">
        <v>1019</v>
      </c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40"/>
    </row>
    <row r="800" spans="1:26" x14ac:dyDescent="0.25">
      <c r="A800" s="203">
        <f t="shared" si="15"/>
        <v>799</v>
      </c>
      <c r="B800" s="128" t="s">
        <v>1870</v>
      </c>
      <c r="C800" s="274" t="s">
        <v>1870</v>
      </c>
      <c r="D800" s="262"/>
      <c r="E800" s="128"/>
      <c r="F800" s="138" t="s">
        <v>1871</v>
      </c>
      <c r="G800" s="131" t="s">
        <v>1843</v>
      </c>
      <c r="H800" s="128" t="s">
        <v>678</v>
      </c>
      <c r="I800" s="131" t="s">
        <v>131</v>
      </c>
      <c r="J800" s="133">
        <v>18</v>
      </c>
      <c r="K800" s="129">
        <v>7</v>
      </c>
      <c r="L800" s="129">
        <v>3</v>
      </c>
      <c r="M800" s="129" t="s">
        <v>658</v>
      </c>
      <c r="N800" s="129" t="s">
        <v>659</v>
      </c>
      <c r="O800" s="134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33" t="s">
        <v>1872</v>
      </c>
    </row>
    <row r="801" spans="1:26" x14ac:dyDescent="0.25">
      <c r="A801" s="203">
        <f t="shared" si="15"/>
        <v>800</v>
      </c>
      <c r="B801" s="133"/>
      <c r="C801" s="275" t="s">
        <v>1873</v>
      </c>
      <c r="D801" s="264"/>
      <c r="E801" s="133"/>
      <c r="F801" s="141" t="s">
        <v>1874</v>
      </c>
      <c r="G801" s="142" t="s">
        <v>1843</v>
      </c>
      <c r="H801" s="133" t="s">
        <v>678</v>
      </c>
      <c r="I801" s="131" t="s">
        <v>131</v>
      </c>
      <c r="J801" s="133">
        <v>18</v>
      </c>
      <c r="K801" s="129">
        <v>8</v>
      </c>
      <c r="L801" s="129">
        <v>3</v>
      </c>
      <c r="M801" s="129" t="s">
        <v>658</v>
      </c>
      <c r="N801" s="129" t="s">
        <v>659</v>
      </c>
      <c r="O801" s="160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3"/>
    </row>
    <row r="802" spans="1:26" x14ac:dyDescent="0.25">
      <c r="A802" s="203">
        <f t="shared" si="15"/>
        <v>801</v>
      </c>
      <c r="B802" s="128" t="s">
        <v>1875</v>
      </c>
      <c r="C802" s="274" t="s">
        <v>1875</v>
      </c>
      <c r="D802" s="262"/>
      <c r="E802" s="128"/>
      <c r="F802" s="138" t="s">
        <v>1876</v>
      </c>
      <c r="G802" s="131" t="s">
        <v>1843</v>
      </c>
      <c r="H802" s="128" t="s">
        <v>678</v>
      </c>
      <c r="I802" s="131" t="s">
        <v>131</v>
      </c>
      <c r="J802" s="133">
        <v>18</v>
      </c>
      <c r="K802" s="129">
        <v>12</v>
      </c>
      <c r="L802" s="129">
        <v>0</v>
      </c>
      <c r="M802" s="129" t="s">
        <v>664</v>
      </c>
      <c r="N802" s="129" t="s">
        <v>665</v>
      </c>
      <c r="O802" s="134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40"/>
    </row>
    <row r="803" spans="1:26" x14ac:dyDescent="0.25">
      <c r="A803" s="203">
        <f t="shared" si="15"/>
        <v>802</v>
      </c>
      <c r="B803" s="128" t="s">
        <v>1877</v>
      </c>
      <c r="C803" s="274" t="s">
        <v>1877</v>
      </c>
      <c r="D803" s="262"/>
      <c r="E803" s="128"/>
      <c r="F803" s="138" t="s">
        <v>1878</v>
      </c>
      <c r="G803" s="131" t="s">
        <v>1879</v>
      </c>
      <c r="H803" s="128" t="s">
        <v>678</v>
      </c>
      <c r="I803" s="131" t="s">
        <v>131</v>
      </c>
      <c r="J803" s="133">
        <v>18</v>
      </c>
      <c r="K803" s="129">
        <v>8</v>
      </c>
      <c r="L803" s="129">
        <v>0</v>
      </c>
      <c r="M803" s="129" t="s">
        <v>658</v>
      </c>
      <c r="N803" s="129" t="s">
        <v>659</v>
      </c>
      <c r="O803" s="134" t="s">
        <v>1019</v>
      </c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8" t="s">
        <v>1880</v>
      </c>
    </row>
    <row r="804" spans="1:26" x14ac:dyDescent="0.25">
      <c r="A804" s="203">
        <f t="shared" si="15"/>
        <v>803</v>
      </c>
      <c r="B804" s="129" t="s">
        <v>1881</v>
      </c>
      <c r="C804" s="263" t="s">
        <v>1881</v>
      </c>
      <c r="D804" s="262"/>
      <c r="E804" s="128"/>
      <c r="F804" s="138" t="s">
        <v>1882</v>
      </c>
      <c r="G804" s="131" t="s">
        <v>1883</v>
      </c>
      <c r="H804" s="128" t="s">
        <v>678</v>
      </c>
      <c r="I804" s="131" t="s">
        <v>131</v>
      </c>
      <c r="J804" s="133">
        <v>18</v>
      </c>
      <c r="K804" s="129">
        <v>3</v>
      </c>
      <c r="L804" s="129">
        <v>0</v>
      </c>
      <c r="M804" s="129" t="s">
        <v>82</v>
      </c>
      <c r="N804" s="129" t="s">
        <v>83</v>
      </c>
      <c r="O804" s="139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40"/>
    </row>
    <row r="805" spans="1:26" x14ac:dyDescent="0.25">
      <c r="A805" s="203">
        <f t="shared" si="15"/>
        <v>804</v>
      </c>
      <c r="B805" s="128" t="s">
        <v>1884</v>
      </c>
      <c r="C805" s="263" t="s">
        <v>1884</v>
      </c>
      <c r="D805" s="262"/>
      <c r="E805" s="128"/>
      <c r="F805" s="138" t="s">
        <v>1885</v>
      </c>
      <c r="G805" s="131" t="s">
        <v>1883</v>
      </c>
      <c r="H805" s="128" t="s">
        <v>678</v>
      </c>
      <c r="I805" s="131" t="s">
        <v>131</v>
      </c>
      <c r="J805" s="133">
        <v>18</v>
      </c>
      <c r="K805" s="129">
        <v>13</v>
      </c>
      <c r="L805" s="129">
        <v>1</v>
      </c>
      <c r="M805" s="129" t="s">
        <v>664</v>
      </c>
      <c r="N805" s="129" t="s">
        <v>665</v>
      </c>
      <c r="O805" s="134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40"/>
    </row>
    <row r="806" spans="1:26" x14ac:dyDescent="0.25">
      <c r="A806" s="203">
        <f t="shared" si="15"/>
        <v>805</v>
      </c>
      <c r="B806" s="128" t="s">
        <v>1886</v>
      </c>
      <c r="C806" s="263" t="s">
        <v>1886</v>
      </c>
      <c r="D806" s="262"/>
      <c r="E806" s="128"/>
      <c r="F806" s="163" t="s">
        <v>1887</v>
      </c>
      <c r="G806" s="131" t="s">
        <v>1888</v>
      </c>
      <c r="H806" s="128" t="s">
        <v>678</v>
      </c>
      <c r="I806" s="142" t="s">
        <v>1169</v>
      </c>
      <c r="J806" s="133">
        <v>19</v>
      </c>
      <c r="K806" s="129">
        <v>3</v>
      </c>
      <c r="L806" s="129">
        <v>9</v>
      </c>
      <c r="M806" s="129" t="s">
        <v>31</v>
      </c>
      <c r="N806" s="129" t="s">
        <v>32</v>
      </c>
      <c r="O806" s="139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40"/>
    </row>
    <row r="807" spans="1:26" x14ac:dyDescent="0.25">
      <c r="A807" s="203">
        <f t="shared" si="15"/>
        <v>806</v>
      </c>
      <c r="B807" s="128" t="s">
        <v>1889</v>
      </c>
      <c r="C807" s="263" t="s">
        <v>1889</v>
      </c>
      <c r="D807" s="262"/>
      <c r="E807" s="128"/>
      <c r="F807" s="138" t="s">
        <v>1890</v>
      </c>
      <c r="G807" s="131" t="s">
        <v>1891</v>
      </c>
      <c r="H807" s="128" t="s">
        <v>678</v>
      </c>
      <c r="I807" s="142" t="s">
        <v>1169</v>
      </c>
      <c r="J807" s="133">
        <v>19</v>
      </c>
      <c r="K807" s="129">
        <v>3</v>
      </c>
      <c r="L807" s="129">
        <v>8</v>
      </c>
      <c r="M807" s="129" t="s">
        <v>31</v>
      </c>
      <c r="N807" s="129" t="s">
        <v>32</v>
      </c>
      <c r="O807" s="139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40"/>
    </row>
    <row r="808" spans="1:26" x14ac:dyDescent="0.25">
      <c r="A808" s="203">
        <f t="shared" si="15"/>
        <v>807</v>
      </c>
      <c r="B808" s="128" t="s">
        <v>1892</v>
      </c>
      <c r="C808" s="263" t="s">
        <v>1892</v>
      </c>
      <c r="D808" s="262"/>
      <c r="E808" s="128"/>
      <c r="F808" s="138" t="s">
        <v>1893</v>
      </c>
      <c r="G808" s="131" t="s">
        <v>1891</v>
      </c>
      <c r="H808" s="128" t="s">
        <v>678</v>
      </c>
      <c r="I808" s="142" t="s">
        <v>1169</v>
      </c>
      <c r="J808" s="133">
        <v>19</v>
      </c>
      <c r="K808" s="129">
        <v>3</v>
      </c>
      <c r="L808" s="129">
        <v>10</v>
      </c>
      <c r="M808" s="129" t="s">
        <v>31</v>
      </c>
      <c r="N808" s="129" t="s">
        <v>32</v>
      </c>
      <c r="O808" s="139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40"/>
    </row>
    <row r="809" spans="1:26" x14ac:dyDescent="0.25">
      <c r="A809" s="203">
        <f t="shared" ref="A809:A825" si="16">ROW()-1</f>
        <v>808</v>
      </c>
      <c r="B809" s="128" t="s">
        <v>1894</v>
      </c>
      <c r="C809" s="263" t="s">
        <v>1894</v>
      </c>
      <c r="D809" s="262"/>
      <c r="E809" s="128"/>
      <c r="F809" s="138" t="s">
        <v>1895</v>
      </c>
      <c r="G809" s="131" t="s">
        <v>1891</v>
      </c>
      <c r="H809" s="128" t="s">
        <v>678</v>
      </c>
      <c r="I809" s="142" t="s">
        <v>1169</v>
      </c>
      <c r="J809" s="133">
        <v>19</v>
      </c>
      <c r="K809" s="129">
        <v>6</v>
      </c>
      <c r="L809" s="129">
        <v>0</v>
      </c>
      <c r="M809" s="129" t="s">
        <v>82</v>
      </c>
      <c r="N809" s="129" t="s">
        <v>83</v>
      </c>
      <c r="O809" s="139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40"/>
    </row>
    <row r="810" spans="1:26" x14ac:dyDescent="0.25">
      <c r="A810" s="203">
        <f t="shared" si="16"/>
        <v>809</v>
      </c>
      <c r="B810" s="128" t="s">
        <v>1896</v>
      </c>
      <c r="C810" s="263" t="s">
        <v>1896</v>
      </c>
      <c r="D810" s="262"/>
      <c r="E810" s="128"/>
      <c r="F810" s="138" t="s">
        <v>1897</v>
      </c>
      <c r="G810" s="131" t="s">
        <v>1891</v>
      </c>
      <c r="H810" s="128" t="s">
        <v>678</v>
      </c>
      <c r="I810" s="142" t="s">
        <v>1169</v>
      </c>
      <c r="J810" s="133">
        <v>19</v>
      </c>
      <c r="K810" s="129">
        <v>6</v>
      </c>
      <c r="L810" s="129">
        <v>1</v>
      </c>
      <c r="M810" s="129" t="s">
        <v>82</v>
      </c>
      <c r="N810" s="129" t="s">
        <v>83</v>
      </c>
      <c r="O810" s="139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40"/>
    </row>
    <row r="811" spans="1:26" x14ac:dyDescent="0.25">
      <c r="A811" s="203">
        <f t="shared" si="16"/>
        <v>810</v>
      </c>
      <c r="B811" s="128" t="s">
        <v>1898</v>
      </c>
      <c r="C811" s="263" t="s">
        <v>1898</v>
      </c>
      <c r="D811" s="262"/>
      <c r="E811" s="128"/>
      <c r="F811" s="138" t="s">
        <v>1899</v>
      </c>
      <c r="G811" s="131" t="s">
        <v>1891</v>
      </c>
      <c r="H811" s="128" t="s">
        <v>678</v>
      </c>
      <c r="I811" s="142" t="s">
        <v>1169</v>
      </c>
      <c r="J811" s="133">
        <v>19</v>
      </c>
      <c r="K811" s="129">
        <v>6</v>
      </c>
      <c r="L811" s="129">
        <v>2</v>
      </c>
      <c r="M811" s="129" t="s">
        <v>82</v>
      </c>
      <c r="N811" s="129" t="s">
        <v>83</v>
      </c>
      <c r="O811" s="139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40"/>
    </row>
    <row r="812" spans="1:26" x14ac:dyDescent="0.25">
      <c r="A812" s="203">
        <f t="shared" si="16"/>
        <v>811</v>
      </c>
      <c r="B812" s="128" t="s">
        <v>1900</v>
      </c>
      <c r="C812" s="263" t="s">
        <v>1900</v>
      </c>
      <c r="D812" s="262"/>
      <c r="E812" s="128"/>
      <c r="F812" s="138" t="s">
        <v>1901</v>
      </c>
      <c r="G812" s="131" t="s">
        <v>1891</v>
      </c>
      <c r="H812" s="128" t="s">
        <v>678</v>
      </c>
      <c r="I812" s="142" t="s">
        <v>1169</v>
      </c>
      <c r="J812" s="133">
        <v>19</v>
      </c>
      <c r="K812" s="129">
        <v>6</v>
      </c>
      <c r="L812" s="129">
        <v>3</v>
      </c>
      <c r="M812" s="129" t="s">
        <v>82</v>
      </c>
      <c r="N812" s="129" t="s">
        <v>83</v>
      </c>
      <c r="O812" s="139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40"/>
    </row>
    <row r="813" spans="1:26" x14ac:dyDescent="0.25">
      <c r="A813" s="203">
        <f t="shared" si="16"/>
        <v>812</v>
      </c>
      <c r="B813" s="128" t="s">
        <v>1902</v>
      </c>
      <c r="C813" s="263" t="s">
        <v>1902</v>
      </c>
      <c r="D813" s="262"/>
      <c r="E813" s="128"/>
      <c r="F813" s="138" t="s">
        <v>1903</v>
      </c>
      <c r="G813" s="131" t="s">
        <v>1891</v>
      </c>
      <c r="H813" s="128" t="s">
        <v>678</v>
      </c>
      <c r="I813" s="142" t="s">
        <v>1169</v>
      </c>
      <c r="J813" s="133">
        <v>19</v>
      </c>
      <c r="K813" s="129">
        <v>6</v>
      </c>
      <c r="L813" s="129">
        <v>4</v>
      </c>
      <c r="M813" s="129" t="s">
        <v>82</v>
      </c>
      <c r="N813" s="129" t="s">
        <v>83</v>
      </c>
      <c r="O813" s="139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40"/>
    </row>
    <row r="814" spans="1:26" x14ac:dyDescent="0.25">
      <c r="A814" s="203">
        <f t="shared" si="16"/>
        <v>813</v>
      </c>
      <c r="B814" s="128" t="s">
        <v>1904</v>
      </c>
      <c r="C814" s="263" t="s">
        <v>1904</v>
      </c>
      <c r="D814" s="262"/>
      <c r="E814" s="128"/>
      <c r="F814" s="138" t="s">
        <v>1905</v>
      </c>
      <c r="G814" s="131" t="s">
        <v>1891</v>
      </c>
      <c r="H814" s="128" t="s">
        <v>678</v>
      </c>
      <c r="I814" s="142" t="s">
        <v>1169</v>
      </c>
      <c r="J814" s="133">
        <v>19</v>
      </c>
      <c r="K814" s="129">
        <v>6</v>
      </c>
      <c r="L814" s="129">
        <v>5</v>
      </c>
      <c r="M814" s="129" t="s">
        <v>82</v>
      </c>
      <c r="N814" s="129" t="s">
        <v>83</v>
      </c>
      <c r="O814" s="139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40"/>
    </row>
    <row r="815" spans="1:26" x14ac:dyDescent="0.25">
      <c r="A815" s="203">
        <f t="shared" si="16"/>
        <v>814</v>
      </c>
      <c r="B815" s="128" t="s">
        <v>1906</v>
      </c>
      <c r="C815" s="263" t="s">
        <v>1906</v>
      </c>
      <c r="D815" s="262"/>
      <c r="E815" s="128"/>
      <c r="F815" s="138" t="s">
        <v>1907</v>
      </c>
      <c r="G815" s="131" t="s">
        <v>1891</v>
      </c>
      <c r="H815" s="128" t="s">
        <v>678</v>
      </c>
      <c r="I815" s="142" t="s">
        <v>1169</v>
      </c>
      <c r="J815" s="133">
        <v>19</v>
      </c>
      <c r="K815" s="129">
        <v>6</v>
      </c>
      <c r="L815" s="129">
        <v>6</v>
      </c>
      <c r="M815" s="129" t="s">
        <v>82</v>
      </c>
      <c r="N815" s="129" t="s">
        <v>83</v>
      </c>
      <c r="O815" s="139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40"/>
    </row>
    <row r="816" spans="1:26" x14ac:dyDescent="0.25">
      <c r="A816" s="203">
        <f t="shared" si="16"/>
        <v>815</v>
      </c>
      <c r="B816" s="128" t="s">
        <v>1908</v>
      </c>
      <c r="C816" s="263" t="s">
        <v>1908</v>
      </c>
      <c r="D816" s="262"/>
      <c r="E816" s="128"/>
      <c r="F816" s="138" t="s">
        <v>1909</v>
      </c>
      <c r="G816" s="131" t="s">
        <v>1891</v>
      </c>
      <c r="H816" s="128" t="s">
        <v>678</v>
      </c>
      <c r="I816" s="142" t="s">
        <v>1169</v>
      </c>
      <c r="J816" s="133">
        <v>19</v>
      </c>
      <c r="K816" s="129">
        <v>6</v>
      </c>
      <c r="L816" s="129">
        <v>7</v>
      </c>
      <c r="M816" s="129" t="s">
        <v>82</v>
      </c>
      <c r="N816" s="129" t="s">
        <v>83</v>
      </c>
      <c r="O816" s="139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40"/>
    </row>
    <row r="817" spans="1:26" x14ac:dyDescent="0.25">
      <c r="A817" s="203">
        <f t="shared" si="16"/>
        <v>816</v>
      </c>
      <c r="B817" s="128" t="s">
        <v>1880</v>
      </c>
      <c r="C817" s="263" t="s">
        <v>1880</v>
      </c>
      <c r="D817" s="262"/>
      <c r="E817" s="128"/>
      <c r="F817" s="138" t="s">
        <v>1910</v>
      </c>
      <c r="G817" s="131" t="s">
        <v>1891</v>
      </c>
      <c r="H817" s="128" t="s">
        <v>678</v>
      </c>
      <c r="I817" s="142" t="s">
        <v>1169</v>
      </c>
      <c r="J817" s="133">
        <v>19</v>
      </c>
      <c r="K817" s="129">
        <v>9</v>
      </c>
      <c r="L817" s="129">
        <v>0</v>
      </c>
      <c r="M817" s="129" t="s">
        <v>658</v>
      </c>
      <c r="N817" s="129" t="s">
        <v>659</v>
      </c>
      <c r="O817" s="134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8" t="s">
        <v>1880</v>
      </c>
    </row>
    <row r="818" spans="1:26" x14ac:dyDescent="0.25">
      <c r="A818" s="203">
        <f t="shared" si="16"/>
        <v>817</v>
      </c>
      <c r="B818" s="128" t="s">
        <v>1911</v>
      </c>
      <c r="C818" s="263" t="s">
        <v>1911</v>
      </c>
      <c r="D818" s="262"/>
      <c r="E818" s="128"/>
      <c r="F818" s="138" t="s">
        <v>1912</v>
      </c>
      <c r="G818" s="131" t="s">
        <v>1891</v>
      </c>
      <c r="H818" s="128" t="s">
        <v>678</v>
      </c>
      <c r="I818" s="142" t="s">
        <v>1169</v>
      </c>
      <c r="J818" s="133">
        <v>19</v>
      </c>
      <c r="K818" s="129">
        <v>9</v>
      </c>
      <c r="L818" s="129">
        <v>1</v>
      </c>
      <c r="M818" s="129" t="s">
        <v>658</v>
      </c>
      <c r="N818" s="129" t="s">
        <v>659</v>
      </c>
      <c r="O818" s="134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33" t="s">
        <v>1863</v>
      </c>
    </row>
    <row r="819" spans="1:26" x14ac:dyDescent="0.25">
      <c r="A819" s="203">
        <f t="shared" si="16"/>
        <v>818</v>
      </c>
      <c r="B819" s="128" t="s">
        <v>1913</v>
      </c>
      <c r="C819" s="263" t="s">
        <v>1913</v>
      </c>
      <c r="D819" s="262"/>
      <c r="E819" s="128"/>
      <c r="F819" s="138" t="s">
        <v>1914</v>
      </c>
      <c r="G819" s="131" t="s">
        <v>1891</v>
      </c>
      <c r="H819" s="128" t="s">
        <v>678</v>
      </c>
      <c r="I819" s="142" t="s">
        <v>1169</v>
      </c>
      <c r="J819" s="133">
        <v>19</v>
      </c>
      <c r="K819" s="129">
        <v>9</v>
      </c>
      <c r="L819" s="129">
        <v>2</v>
      </c>
      <c r="M819" s="129" t="s">
        <v>658</v>
      </c>
      <c r="N819" s="129" t="s">
        <v>659</v>
      </c>
      <c r="O819" s="134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33" t="s">
        <v>1872</v>
      </c>
    </row>
    <row r="820" spans="1:26" x14ac:dyDescent="0.25">
      <c r="A820" s="203">
        <f t="shared" si="16"/>
        <v>819</v>
      </c>
      <c r="B820" s="128" t="s">
        <v>1915</v>
      </c>
      <c r="C820" s="263" t="s">
        <v>1915</v>
      </c>
      <c r="D820" s="262"/>
      <c r="E820" s="128"/>
      <c r="F820" s="138" t="s">
        <v>1916</v>
      </c>
      <c r="G820" s="131" t="s">
        <v>1891</v>
      </c>
      <c r="H820" s="128" t="s">
        <v>678</v>
      </c>
      <c r="I820" s="142" t="s">
        <v>1169</v>
      </c>
      <c r="J820" s="133">
        <v>19</v>
      </c>
      <c r="K820" s="129">
        <v>9</v>
      </c>
      <c r="L820" s="129">
        <v>3</v>
      </c>
      <c r="M820" s="129" t="s">
        <v>658</v>
      </c>
      <c r="N820" s="129" t="s">
        <v>659</v>
      </c>
      <c r="O820" s="134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33" t="s">
        <v>1020</v>
      </c>
    </row>
    <row r="821" spans="1:26" x14ac:dyDescent="0.25">
      <c r="A821" s="203">
        <f t="shared" si="16"/>
        <v>820</v>
      </c>
      <c r="B821" s="128" t="s">
        <v>1917</v>
      </c>
      <c r="C821" s="263" t="s">
        <v>1917</v>
      </c>
      <c r="D821" s="262"/>
      <c r="E821" s="128"/>
      <c r="F821" s="138" t="s">
        <v>1918</v>
      </c>
      <c r="G821" s="131" t="s">
        <v>1891</v>
      </c>
      <c r="H821" s="128" t="s">
        <v>678</v>
      </c>
      <c r="I821" s="142" t="s">
        <v>1169</v>
      </c>
      <c r="J821" s="133">
        <v>19</v>
      </c>
      <c r="K821" s="129">
        <v>9</v>
      </c>
      <c r="L821" s="129">
        <v>4</v>
      </c>
      <c r="M821" s="129" t="s">
        <v>658</v>
      </c>
      <c r="N821" s="129" t="s">
        <v>659</v>
      </c>
      <c r="O821" s="134" t="s">
        <v>1919</v>
      </c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33" t="s">
        <v>1920</v>
      </c>
    </row>
    <row r="822" spans="1:26" x14ac:dyDescent="0.25">
      <c r="A822" s="203">
        <f t="shared" si="16"/>
        <v>821</v>
      </c>
      <c r="B822" s="128" t="s">
        <v>1921</v>
      </c>
      <c r="C822" s="263" t="s">
        <v>1921</v>
      </c>
      <c r="D822" s="262"/>
      <c r="E822" s="128"/>
      <c r="F822" s="138" t="s">
        <v>1922</v>
      </c>
      <c r="G822" s="131" t="s">
        <v>1891</v>
      </c>
      <c r="H822" s="128" t="s">
        <v>678</v>
      </c>
      <c r="I822" s="142" t="s">
        <v>1169</v>
      </c>
      <c r="J822" s="133">
        <v>19</v>
      </c>
      <c r="K822" s="129">
        <v>9</v>
      </c>
      <c r="L822" s="129">
        <v>5</v>
      </c>
      <c r="M822" s="129" t="s">
        <v>658</v>
      </c>
      <c r="N822" s="129" t="s">
        <v>659</v>
      </c>
      <c r="O822" s="134" t="s">
        <v>1919</v>
      </c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33" t="s">
        <v>1923</v>
      </c>
    </row>
    <row r="823" spans="1:26" x14ac:dyDescent="0.25">
      <c r="A823" s="203">
        <f t="shared" si="16"/>
        <v>822</v>
      </c>
      <c r="B823" s="128" t="s">
        <v>1924</v>
      </c>
      <c r="C823" s="263" t="s">
        <v>1924</v>
      </c>
      <c r="D823" s="262"/>
      <c r="E823" s="128"/>
      <c r="F823" s="138" t="s">
        <v>1925</v>
      </c>
      <c r="G823" s="131" t="s">
        <v>1891</v>
      </c>
      <c r="H823" s="128" t="s">
        <v>678</v>
      </c>
      <c r="I823" s="142" t="s">
        <v>1169</v>
      </c>
      <c r="J823" s="133">
        <v>19</v>
      </c>
      <c r="K823" s="129">
        <v>9</v>
      </c>
      <c r="L823" s="129">
        <v>6</v>
      </c>
      <c r="M823" s="129" t="s">
        <v>658</v>
      </c>
      <c r="N823" s="129" t="s">
        <v>659</v>
      </c>
      <c r="O823" s="134" t="s">
        <v>1919</v>
      </c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33" t="s">
        <v>1020</v>
      </c>
    </row>
    <row r="824" spans="1:26" x14ac:dyDescent="0.25">
      <c r="A824" s="203">
        <f t="shared" si="16"/>
        <v>823</v>
      </c>
      <c r="B824" s="128" t="s">
        <v>1926</v>
      </c>
      <c r="C824" s="263" t="s">
        <v>1926</v>
      </c>
      <c r="D824" s="278"/>
      <c r="E824" s="128"/>
      <c r="F824" s="138" t="s">
        <v>1927</v>
      </c>
      <c r="G824" s="131" t="s">
        <v>1891</v>
      </c>
      <c r="H824" s="128" t="s">
        <v>678</v>
      </c>
      <c r="I824" s="142" t="s">
        <v>1169</v>
      </c>
      <c r="J824" s="133">
        <v>19</v>
      </c>
      <c r="K824" s="129">
        <v>13</v>
      </c>
      <c r="L824" s="129">
        <v>2</v>
      </c>
      <c r="M824" s="129" t="s">
        <v>664</v>
      </c>
      <c r="N824" s="129" t="s">
        <v>665</v>
      </c>
      <c r="O824" s="134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40"/>
    </row>
    <row r="825" spans="1:26" x14ac:dyDescent="0.25">
      <c r="A825" s="203">
        <f t="shared" si="16"/>
        <v>824</v>
      </c>
      <c r="B825" s="128" t="s">
        <v>1928</v>
      </c>
      <c r="C825" s="263" t="s">
        <v>1928</v>
      </c>
      <c r="D825" s="262"/>
      <c r="E825" s="128"/>
      <c r="F825" s="138" t="s">
        <v>1929</v>
      </c>
      <c r="G825" s="131" t="s">
        <v>1891</v>
      </c>
      <c r="H825" s="128" t="s">
        <v>678</v>
      </c>
      <c r="I825" s="142" t="s">
        <v>1169</v>
      </c>
      <c r="J825" s="133">
        <v>19</v>
      </c>
      <c r="K825" s="129">
        <v>14</v>
      </c>
      <c r="L825" s="129">
        <v>0</v>
      </c>
      <c r="M825" s="129" t="s">
        <v>1930</v>
      </c>
      <c r="N825" s="129" t="s">
        <v>1931</v>
      </c>
      <c r="O825" s="134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40"/>
    </row>
    <row r="826" spans="1:26" x14ac:dyDescent="0.25">
      <c r="A826" s="202"/>
      <c r="B826" s="119"/>
      <c r="C826" s="265"/>
      <c r="D826" s="279"/>
      <c r="E826" s="119"/>
      <c r="F826" s="119"/>
      <c r="G826" s="118"/>
      <c r="H826" s="123"/>
      <c r="I826" s="119"/>
      <c r="J826" s="124">
        <v>0</v>
      </c>
      <c r="K826" s="124">
        <v>0</v>
      </c>
      <c r="L826" s="124">
        <v>0</v>
      </c>
      <c r="M826" s="120"/>
      <c r="N826" s="120"/>
      <c r="O826" s="125"/>
      <c r="P826" s="120"/>
      <c r="Q826" s="120"/>
      <c r="R826" s="121"/>
      <c r="S826" s="120"/>
      <c r="T826" s="120"/>
      <c r="U826" s="120"/>
      <c r="V826" s="120"/>
      <c r="W826" s="120"/>
      <c r="X826" s="121"/>
      <c r="Y826" s="121"/>
      <c r="Z826" s="126"/>
    </row>
    <row r="827" spans="1:26" x14ac:dyDescent="0.25">
      <c r="A827" s="203">
        <f t="shared" ref="A827:A858" si="17">ROW()-2</f>
        <v>825</v>
      </c>
      <c r="B827" s="128" t="s">
        <v>1932</v>
      </c>
      <c r="C827" s="263"/>
      <c r="D827" s="262"/>
      <c r="E827" s="128"/>
      <c r="F827" s="130" t="s">
        <v>1933</v>
      </c>
      <c r="G827" s="131"/>
      <c r="H827" s="128"/>
      <c r="I827" s="132" t="s">
        <v>159</v>
      </c>
      <c r="J827" s="133">
        <v>1</v>
      </c>
      <c r="K827" s="128">
        <v>4</v>
      </c>
      <c r="L827" s="128">
        <v>2</v>
      </c>
      <c r="M827" s="132" t="s">
        <v>138</v>
      </c>
      <c r="N827" s="132" t="s">
        <v>139</v>
      </c>
      <c r="O827" s="134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35"/>
    </row>
    <row r="828" spans="1:26" x14ac:dyDescent="0.25">
      <c r="A828" s="203">
        <f t="shared" si="17"/>
        <v>826</v>
      </c>
      <c r="B828" s="128" t="s">
        <v>1932</v>
      </c>
      <c r="C828" s="263"/>
      <c r="D828" s="262"/>
      <c r="E828" s="128"/>
      <c r="F828" s="130" t="s">
        <v>1933</v>
      </c>
      <c r="G828" s="131"/>
      <c r="H828" s="128"/>
      <c r="I828" s="132" t="s">
        <v>159</v>
      </c>
      <c r="J828" s="133">
        <v>1</v>
      </c>
      <c r="K828" s="128">
        <v>4</v>
      </c>
      <c r="L828" s="128">
        <v>3</v>
      </c>
      <c r="M828" s="132" t="s">
        <v>138</v>
      </c>
      <c r="N828" s="132" t="s">
        <v>139</v>
      </c>
      <c r="O828" s="134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35"/>
    </row>
    <row r="829" spans="1:26" x14ac:dyDescent="0.25">
      <c r="A829" s="203">
        <f t="shared" si="17"/>
        <v>827</v>
      </c>
      <c r="B829" s="128" t="s">
        <v>203</v>
      </c>
      <c r="C829" s="263"/>
      <c r="D829" s="262"/>
      <c r="E829" s="128"/>
      <c r="F829" s="130" t="s">
        <v>1933</v>
      </c>
      <c r="G829" s="131"/>
      <c r="H829" s="128"/>
      <c r="I829" s="132" t="s">
        <v>159</v>
      </c>
      <c r="J829" s="133">
        <v>1</v>
      </c>
      <c r="K829" s="128">
        <v>4</v>
      </c>
      <c r="L829" s="128">
        <v>4</v>
      </c>
      <c r="M829" s="132" t="s">
        <v>138</v>
      </c>
      <c r="N829" s="132" t="s">
        <v>139</v>
      </c>
      <c r="O829" s="134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35"/>
    </row>
    <row r="830" spans="1:26" x14ac:dyDescent="0.25">
      <c r="A830" s="203">
        <f t="shared" si="17"/>
        <v>828</v>
      </c>
      <c r="B830" s="128" t="s">
        <v>203</v>
      </c>
      <c r="C830" s="263"/>
      <c r="D830" s="262"/>
      <c r="E830" s="128"/>
      <c r="F830" s="130" t="s">
        <v>1933</v>
      </c>
      <c r="G830" s="131"/>
      <c r="H830" s="128"/>
      <c r="I830" s="132" t="s">
        <v>159</v>
      </c>
      <c r="J830" s="133">
        <v>1</v>
      </c>
      <c r="K830" s="128">
        <v>4</v>
      </c>
      <c r="L830" s="128">
        <v>5</v>
      </c>
      <c r="M830" s="132" t="s">
        <v>138</v>
      </c>
      <c r="N830" s="132" t="s">
        <v>139</v>
      </c>
      <c r="O830" s="134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35"/>
    </row>
    <row r="831" spans="1:26" x14ac:dyDescent="0.25">
      <c r="A831" s="203">
        <f t="shared" si="17"/>
        <v>829</v>
      </c>
      <c r="B831" s="128" t="s">
        <v>1934</v>
      </c>
      <c r="C831" s="263"/>
      <c r="D831" s="262"/>
      <c r="E831" s="128"/>
      <c r="F831" s="137" t="s">
        <v>1933</v>
      </c>
      <c r="G831" s="131"/>
      <c r="H831" s="128"/>
      <c r="I831" s="132" t="s">
        <v>159</v>
      </c>
      <c r="J831" s="133">
        <v>1</v>
      </c>
      <c r="K831" s="129">
        <v>5</v>
      </c>
      <c r="L831" s="129">
        <v>0</v>
      </c>
      <c r="M831" s="131" t="s">
        <v>138</v>
      </c>
      <c r="N831" s="131" t="s">
        <v>139</v>
      </c>
      <c r="O831" s="134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35"/>
    </row>
    <row r="832" spans="1:26" x14ac:dyDescent="0.25">
      <c r="A832" s="203">
        <f t="shared" si="17"/>
        <v>830</v>
      </c>
      <c r="B832" s="128" t="s">
        <v>1934</v>
      </c>
      <c r="C832" s="263"/>
      <c r="D832" s="262"/>
      <c r="E832" s="128"/>
      <c r="F832" s="137" t="s">
        <v>1933</v>
      </c>
      <c r="G832" s="131"/>
      <c r="H832" s="128"/>
      <c r="I832" s="132" t="s">
        <v>159</v>
      </c>
      <c r="J832" s="133">
        <v>1</v>
      </c>
      <c r="K832" s="129">
        <v>5</v>
      </c>
      <c r="L832" s="129">
        <v>1</v>
      </c>
      <c r="M832" s="131" t="s">
        <v>138</v>
      </c>
      <c r="N832" s="131" t="s">
        <v>139</v>
      </c>
      <c r="O832" s="134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35"/>
    </row>
    <row r="833" spans="1:26" x14ac:dyDescent="0.25">
      <c r="A833" s="203">
        <f t="shared" si="17"/>
        <v>831</v>
      </c>
      <c r="B833" s="128"/>
      <c r="C833" s="263"/>
      <c r="D833" s="262"/>
      <c r="E833" s="128"/>
      <c r="F833" s="130" t="s">
        <v>1933</v>
      </c>
      <c r="G833" s="131"/>
      <c r="H833" s="128"/>
      <c r="I833" s="132" t="s">
        <v>159</v>
      </c>
      <c r="J833" s="133">
        <v>1</v>
      </c>
      <c r="K833" s="129">
        <v>5</v>
      </c>
      <c r="L833" s="129">
        <v>2</v>
      </c>
      <c r="M833" s="131" t="s">
        <v>138</v>
      </c>
      <c r="N833" s="131" t="s">
        <v>139</v>
      </c>
      <c r="O833" s="134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35"/>
    </row>
    <row r="834" spans="1:26" x14ac:dyDescent="0.25">
      <c r="A834" s="203">
        <f t="shared" si="17"/>
        <v>832</v>
      </c>
      <c r="B834" s="128"/>
      <c r="C834" s="263"/>
      <c r="D834" s="262"/>
      <c r="E834" s="128"/>
      <c r="F834" s="130" t="s">
        <v>1933</v>
      </c>
      <c r="G834" s="131"/>
      <c r="H834" s="128"/>
      <c r="I834" s="132" t="s">
        <v>159</v>
      </c>
      <c r="J834" s="133">
        <v>1</v>
      </c>
      <c r="K834" s="129">
        <v>5</v>
      </c>
      <c r="L834" s="129">
        <v>3</v>
      </c>
      <c r="M834" s="131" t="s">
        <v>138</v>
      </c>
      <c r="N834" s="131" t="s">
        <v>139</v>
      </c>
      <c r="O834" s="134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35"/>
    </row>
    <row r="835" spans="1:26" x14ac:dyDescent="0.25">
      <c r="A835" s="203">
        <f t="shared" si="17"/>
        <v>833</v>
      </c>
      <c r="B835" s="128"/>
      <c r="C835" s="263"/>
      <c r="D835" s="262"/>
      <c r="E835" s="128"/>
      <c r="F835" s="130" t="s">
        <v>1933</v>
      </c>
      <c r="G835" s="131"/>
      <c r="H835" s="128"/>
      <c r="I835" s="132" t="s">
        <v>159</v>
      </c>
      <c r="J835" s="133">
        <v>1</v>
      </c>
      <c r="K835" s="129">
        <v>5</v>
      </c>
      <c r="L835" s="129">
        <v>4</v>
      </c>
      <c r="M835" s="131" t="s">
        <v>138</v>
      </c>
      <c r="N835" s="131" t="s">
        <v>139</v>
      </c>
      <c r="O835" s="134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35"/>
    </row>
    <row r="836" spans="1:26" x14ac:dyDescent="0.25">
      <c r="A836" s="203">
        <f t="shared" si="17"/>
        <v>834</v>
      </c>
      <c r="B836" s="128"/>
      <c r="C836" s="263"/>
      <c r="D836" s="262"/>
      <c r="E836" s="128"/>
      <c r="F836" s="130" t="s">
        <v>1933</v>
      </c>
      <c r="G836" s="131"/>
      <c r="H836" s="128"/>
      <c r="I836" s="132" t="s">
        <v>159</v>
      </c>
      <c r="J836" s="133">
        <v>1</v>
      </c>
      <c r="K836" s="129">
        <v>5</v>
      </c>
      <c r="L836" s="129">
        <v>5</v>
      </c>
      <c r="M836" s="131" t="s">
        <v>138</v>
      </c>
      <c r="N836" s="131" t="s">
        <v>139</v>
      </c>
      <c r="O836" s="134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35"/>
    </row>
    <row r="837" spans="1:26" x14ac:dyDescent="0.25">
      <c r="A837" s="203">
        <f t="shared" si="17"/>
        <v>835</v>
      </c>
      <c r="B837" s="128"/>
      <c r="C837" s="263"/>
      <c r="D837" s="262"/>
      <c r="E837" s="128"/>
      <c r="F837" s="130" t="s">
        <v>1933</v>
      </c>
      <c r="G837" s="131"/>
      <c r="H837" s="128"/>
      <c r="I837" s="132" t="s">
        <v>159</v>
      </c>
      <c r="J837" s="133">
        <v>1</v>
      </c>
      <c r="K837" s="129">
        <v>5</v>
      </c>
      <c r="L837" s="129">
        <v>6</v>
      </c>
      <c r="M837" s="131" t="s">
        <v>138</v>
      </c>
      <c r="N837" s="131" t="s">
        <v>139</v>
      </c>
      <c r="O837" s="134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35"/>
    </row>
    <row r="838" spans="1:26" x14ac:dyDescent="0.25">
      <c r="A838" s="203">
        <f t="shared" si="17"/>
        <v>836</v>
      </c>
      <c r="B838" s="128"/>
      <c r="C838" s="263"/>
      <c r="D838" s="262"/>
      <c r="E838" s="128"/>
      <c r="F838" s="130" t="s">
        <v>1933</v>
      </c>
      <c r="G838" s="131"/>
      <c r="H838" s="128"/>
      <c r="I838" s="132" t="s">
        <v>159</v>
      </c>
      <c r="J838" s="133">
        <v>1</v>
      </c>
      <c r="K838" s="129">
        <v>5</v>
      </c>
      <c r="L838" s="129">
        <v>7</v>
      </c>
      <c r="M838" s="131" t="s">
        <v>138</v>
      </c>
      <c r="N838" s="131" t="s">
        <v>139</v>
      </c>
      <c r="O838" s="134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35"/>
    </row>
    <row r="839" spans="1:26" x14ac:dyDescent="0.25">
      <c r="A839" s="203">
        <f t="shared" si="17"/>
        <v>837</v>
      </c>
      <c r="B839" s="128"/>
      <c r="C839" s="263"/>
      <c r="D839" s="262"/>
      <c r="E839" s="128"/>
      <c r="F839" s="138" t="s">
        <v>1933</v>
      </c>
      <c r="G839" s="131"/>
      <c r="H839" s="128"/>
      <c r="I839" s="132" t="s">
        <v>159</v>
      </c>
      <c r="J839" s="133">
        <v>1</v>
      </c>
      <c r="K839" s="129">
        <v>6</v>
      </c>
      <c r="L839" s="129">
        <v>1</v>
      </c>
      <c r="M839" s="131" t="s">
        <v>31</v>
      </c>
      <c r="N839" s="129" t="s">
        <v>32</v>
      </c>
      <c r="O839" s="139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40"/>
    </row>
    <row r="840" spans="1:26" x14ac:dyDescent="0.25">
      <c r="A840" s="203">
        <f t="shared" si="17"/>
        <v>838</v>
      </c>
      <c r="B840" s="128" t="s">
        <v>210</v>
      </c>
      <c r="C840" s="263"/>
      <c r="D840" s="262"/>
      <c r="E840" s="133"/>
      <c r="F840" s="138" t="s">
        <v>1933</v>
      </c>
      <c r="G840" s="131"/>
      <c r="H840" s="128"/>
      <c r="I840" s="132" t="s">
        <v>159</v>
      </c>
      <c r="J840" s="133">
        <v>1</v>
      </c>
      <c r="K840" s="128">
        <v>6</v>
      </c>
      <c r="L840" s="128">
        <v>2</v>
      </c>
      <c r="M840" s="132" t="s">
        <v>31</v>
      </c>
      <c r="N840" s="128" t="s">
        <v>32</v>
      </c>
      <c r="O840" s="139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40"/>
    </row>
    <row r="841" spans="1:26" x14ac:dyDescent="0.25">
      <c r="A841" s="203">
        <f t="shared" si="17"/>
        <v>839</v>
      </c>
      <c r="B841" s="128"/>
      <c r="C841" s="263"/>
      <c r="D841" s="262"/>
      <c r="E841" s="128"/>
      <c r="F841" s="138" t="s">
        <v>1933</v>
      </c>
      <c r="G841" s="129"/>
      <c r="H841" s="128"/>
      <c r="I841" s="132" t="s">
        <v>159</v>
      </c>
      <c r="J841" s="133">
        <v>1</v>
      </c>
      <c r="K841" s="129">
        <v>6</v>
      </c>
      <c r="L841" s="129">
        <v>3</v>
      </c>
      <c r="M841" s="131" t="s">
        <v>31</v>
      </c>
      <c r="N841" s="129" t="s">
        <v>32</v>
      </c>
      <c r="O841" s="139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40"/>
    </row>
    <row r="842" spans="1:26" x14ac:dyDescent="0.25">
      <c r="A842" s="203">
        <f t="shared" si="17"/>
        <v>840</v>
      </c>
      <c r="B842" s="128"/>
      <c r="C842" s="263"/>
      <c r="D842" s="262"/>
      <c r="E842" s="128"/>
      <c r="F842" s="138" t="s">
        <v>1933</v>
      </c>
      <c r="G842" s="131"/>
      <c r="H842" s="128"/>
      <c r="I842" s="132" t="s">
        <v>159</v>
      </c>
      <c r="J842" s="133">
        <v>1</v>
      </c>
      <c r="K842" s="129">
        <v>6</v>
      </c>
      <c r="L842" s="129">
        <v>4</v>
      </c>
      <c r="M842" s="131" t="s">
        <v>31</v>
      </c>
      <c r="N842" s="129" t="s">
        <v>32</v>
      </c>
      <c r="O842" s="139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40"/>
    </row>
    <row r="843" spans="1:26" x14ac:dyDescent="0.25">
      <c r="A843" s="203">
        <f t="shared" si="17"/>
        <v>841</v>
      </c>
      <c r="B843" s="128"/>
      <c r="C843" s="263"/>
      <c r="D843" s="262"/>
      <c r="E843" s="128"/>
      <c r="F843" s="138" t="s">
        <v>1933</v>
      </c>
      <c r="G843" s="131"/>
      <c r="H843" s="128"/>
      <c r="I843" s="132" t="s">
        <v>159</v>
      </c>
      <c r="J843" s="133">
        <v>1</v>
      </c>
      <c r="K843" s="129">
        <v>6</v>
      </c>
      <c r="L843" s="129">
        <v>5</v>
      </c>
      <c r="M843" s="131" t="s">
        <v>31</v>
      </c>
      <c r="N843" s="129" t="s">
        <v>32</v>
      </c>
      <c r="O843" s="139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40"/>
    </row>
    <row r="844" spans="1:26" x14ac:dyDescent="0.25">
      <c r="A844" s="203">
        <f t="shared" si="17"/>
        <v>842</v>
      </c>
      <c r="B844" s="128"/>
      <c r="C844" s="263"/>
      <c r="D844" s="262"/>
      <c r="E844" s="128"/>
      <c r="F844" s="138" t="s">
        <v>1933</v>
      </c>
      <c r="G844" s="131"/>
      <c r="H844" s="128"/>
      <c r="I844" s="132" t="s">
        <v>159</v>
      </c>
      <c r="J844" s="133">
        <v>1</v>
      </c>
      <c r="K844" s="129">
        <v>6</v>
      </c>
      <c r="L844" s="129">
        <v>6</v>
      </c>
      <c r="M844" s="131" t="s">
        <v>31</v>
      </c>
      <c r="N844" s="129" t="s">
        <v>32</v>
      </c>
      <c r="O844" s="139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40"/>
    </row>
    <row r="845" spans="1:26" x14ac:dyDescent="0.25">
      <c r="A845" s="203">
        <f t="shared" si="17"/>
        <v>843</v>
      </c>
      <c r="B845" s="128"/>
      <c r="C845" s="263"/>
      <c r="D845" s="262"/>
      <c r="E845" s="128"/>
      <c r="F845" s="138" t="s">
        <v>1933</v>
      </c>
      <c r="G845" s="131"/>
      <c r="H845" s="128"/>
      <c r="I845" s="132" t="s">
        <v>159</v>
      </c>
      <c r="J845" s="133">
        <v>1</v>
      </c>
      <c r="K845" s="129">
        <v>6</v>
      </c>
      <c r="L845" s="129">
        <v>7</v>
      </c>
      <c r="M845" s="131" t="s">
        <v>31</v>
      </c>
      <c r="N845" s="129" t="s">
        <v>32</v>
      </c>
      <c r="O845" s="139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40"/>
    </row>
    <row r="846" spans="1:26" x14ac:dyDescent="0.25">
      <c r="A846" s="203">
        <f t="shared" si="17"/>
        <v>844</v>
      </c>
      <c r="B846" s="128"/>
      <c r="C846" s="263"/>
      <c r="D846" s="262"/>
      <c r="E846" s="128"/>
      <c r="F846" s="138" t="s">
        <v>1933</v>
      </c>
      <c r="G846" s="131"/>
      <c r="H846" s="128"/>
      <c r="I846" s="132" t="s">
        <v>159</v>
      </c>
      <c r="J846" s="133">
        <v>1</v>
      </c>
      <c r="K846" s="129">
        <v>6</v>
      </c>
      <c r="L846" s="129">
        <v>8</v>
      </c>
      <c r="M846" s="131" t="s">
        <v>31</v>
      </c>
      <c r="N846" s="129" t="s">
        <v>32</v>
      </c>
      <c r="O846" s="139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40"/>
    </row>
    <row r="847" spans="1:26" x14ac:dyDescent="0.25">
      <c r="A847" s="203">
        <f t="shared" si="17"/>
        <v>845</v>
      </c>
      <c r="B847" s="128"/>
      <c r="C847" s="263"/>
      <c r="D847" s="262"/>
      <c r="E847" s="128"/>
      <c r="F847" s="138" t="s">
        <v>1933</v>
      </c>
      <c r="G847" s="131"/>
      <c r="H847" s="128"/>
      <c r="I847" s="132" t="s">
        <v>159</v>
      </c>
      <c r="J847" s="133">
        <v>1</v>
      </c>
      <c r="K847" s="129">
        <v>6</v>
      </c>
      <c r="L847" s="129">
        <v>9</v>
      </c>
      <c r="M847" s="131" t="s">
        <v>31</v>
      </c>
      <c r="N847" s="129" t="s">
        <v>32</v>
      </c>
      <c r="O847" s="139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40"/>
    </row>
    <row r="848" spans="1:26" x14ac:dyDescent="0.25">
      <c r="A848" s="203">
        <f t="shared" si="17"/>
        <v>846</v>
      </c>
      <c r="B848" s="128"/>
      <c r="C848" s="263"/>
      <c r="D848" s="262"/>
      <c r="E848" s="128"/>
      <c r="F848" s="138" t="s">
        <v>1933</v>
      </c>
      <c r="G848" s="131"/>
      <c r="H848" s="128"/>
      <c r="I848" s="132" t="s">
        <v>159</v>
      </c>
      <c r="J848" s="133">
        <v>1</v>
      </c>
      <c r="K848" s="129">
        <v>6</v>
      </c>
      <c r="L848" s="129">
        <v>10</v>
      </c>
      <c r="M848" s="131" t="s">
        <v>31</v>
      </c>
      <c r="N848" s="129" t="s">
        <v>32</v>
      </c>
      <c r="O848" s="139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40"/>
    </row>
    <row r="849" spans="1:26" x14ac:dyDescent="0.25">
      <c r="A849" s="203">
        <f t="shared" si="17"/>
        <v>847</v>
      </c>
      <c r="B849" s="128"/>
      <c r="C849" s="263"/>
      <c r="D849" s="262"/>
      <c r="E849" s="128"/>
      <c r="F849" s="138" t="s">
        <v>1933</v>
      </c>
      <c r="G849" s="131"/>
      <c r="H849" s="128"/>
      <c r="I849" s="132" t="s">
        <v>159</v>
      </c>
      <c r="J849" s="133">
        <v>1</v>
      </c>
      <c r="K849" s="129">
        <v>6</v>
      </c>
      <c r="L849" s="129">
        <v>11</v>
      </c>
      <c r="M849" s="131" t="s">
        <v>31</v>
      </c>
      <c r="N849" s="129" t="s">
        <v>32</v>
      </c>
      <c r="O849" s="139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40"/>
    </row>
    <row r="850" spans="1:26" x14ac:dyDescent="0.25">
      <c r="A850" s="203">
        <f t="shared" si="17"/>
        <v>848</v>
      </c>
      <c r="B850" s="128"/>
      <c r="C850" s="263"/>
      <c r="D850" s="262"/>
      <c r="E850" s="128"/>
      <c r="F850" s="138" t="s">
        <v>1933</v>
      </c>
      <c r="G850" s="131"/>
      <c r="H850" s="128"/>
      <c r="I850" s="132" t="s">
        <v>159</v>
      </c>
      <c r="J850" s="133">
        <v>1</v>
      </c>
      <c r="K850" s="129">
        <v>6</v>
      </c>
      <c r="L850" s="129">
        <v>12</v>
      </c>
      <c r="M850" s="131" t="s">
        <v>31</v>
      </c>
      <c r="N850" s="129" t="s">
        <v>32</v>
      </c>
      <c r="O850" s="139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40"/>
    </row>
    <row r="851" spans="1:26" x14ac:dyDescent="0.25">
      <c r="A851" s="203">
        <f t="shared" si="17"/>
        <v>849</v>
      </c>
      <c r="B851" s="128"/>
      <c r="C851" s="263"/>
      <c r="D851" s="262"/>
      <c r="E851" s="128"/>
      <c r="F851" s="138" t="s">
        <v>1933</v>
      </c>
      <c r="G851" s="131"/>
      <c r="H851" s="128"/>
      <c r="I851" s="132" t="s">
        <v>159</v>
      </c>
      <c r="J851" s="133">
        <v>1</v>
      </c>
      <c r="K851" s="129">
        <v>6</v>
      </c>
      <c r="L851" s="129">
        <v>13</v>
      </c>
      <c r="M851" s="131" t="s">
        <v>31</v>
      </c>
      <c r="N851" s="129" t="s">
        <v>32</v>
      </c>
      <c r="O851" s="139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40"/>
    </row>
    <row r="852" spans="1:26" x14ac:dyDescent="0.25">
      <c r="A852" s="203">
        <f t="shared" si="17"/>
        <v>850</v>
      </c>
      <c r="B852" s="128"/>
      <c r="C852" s="263"/>
      <c r="D852" s="262"/>
      <c r="E852" s="128"/>
      <c r="F852" s="138" t="s">
        <v>1933</v>
      </c>
      <c r="G852" s="131"/>
      <c r="H852" s="128"/>
      <c r="I852" s="132" t="s">
        <v>159</v>
      </c>
      <c r="J852" s="133">
        <v>1</v>
      </c>
      <c r="K852" s="129">
        <v>6</v>
      </c>
      <c r="L852" s="129">
        <v>14</v>
      </c>
      <c r="M852" s="131" t="s">
        <v>31</v>
      </c>
      <c r="N852" s="129" t="s">
        <v>32</v>
      </c>
      <c r="O852" s="139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40"/>
    </row>
    <row r="853" spans="1:26" x14ac:dyDescent="0.25">
      <c r="A853" s="203">
        <f t="shared" si="17"/>
        <v>851</v>
      </c>
      <c r="B853" s="128"/>
      <c r="C853" s="263"/>
      <c r="D853" s="262"/>
      <c r="E853" s="128"/>
      <c r="F853" s="138" t="s">
        <v>1933</v>
      </c>
      <c r="G853" s="131"/>
      <c r="H853" s="128"/>
      <c r="I853" s="132" t="s">
        <v>159</v>
      </c>
      <c r="J853" s="133">
        <v>1</v>
      </c>
      <c r="K853" s="129">
        <v>6</v>
      </c>
      <c r="L853" s="129">
        <v>15</v>
      </c>
      <c r="M853" s="131" t="s">
        <v>31</v>
      </c>
      <c r="N853" s="129" t="s">
        <v>32</v>
      </c>
      <c r="O853" s="139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40"/>
    </row>
    <row r="854" spans="1:26" x14ac:dyDescent="0.25">
      <c r="A854" s="203">
        <f t="shared" si="17"/>
        <v>852</v>
      </c>
      <c r="B854" s="128"/>
      <c r="C854" s="263"/>
      <c r="D854" s="262"/>
      <c r="E854" s="128"/>
      <c r="F854" s="138" t="s">
        <v>1935</v>
      </c>
      <c r="G854" s="131"/>
      <c r="H854" s="128"/>
      <c r="I854" s="132" t="s">
        <v>159</v>
      </c>
      <c r="J854" s="133">
        <v>1</v>
      </c>
      <c r="K854" s="129">
        <v>7</v>
      </c>
      <c r="L854" s="129">
        <v>0</v>
      </c>
      <c r="M854" s="131" t="s">
        <v>1936</v>
      </c>
      <c r="N854" s="129" t="s">
        <v>295</v>
      </c>
      <c r="O854" s="139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40"/>
    </row>
    <row r="855" spans="1:26" x14ac:dyDescent="0.25">
      <c r="A855" s="203">
        <f t="shared" si="17"/>
        <v>853</v>
      </c>
      <c r="B855" s="128"/>
      <c r="C855" s="263"/>
      <c r="D855" s="262"/>
      <c r="E855" s="128"/>
      <c r="F855" s="138" t="s">
        <v>1933</v>
      </c>
      <c r="G855" s="131"/>
      <c r="H855" s="128"/>
      <c r="I855" s="132" t="s">
        <v>159</v>
      </c>
      <c r="J855" s="133">
        <v>1</v>
      </c>
      <c r="K855" s="129">
        <v>8</v>
      </c>
      <c r="L855" s="129">
        <v>0</v>
      </c>
      <c r="M855" s="131" t="s">
        <v>82</v>
      </c>
      <c r="N855" s="129" t="s">
        <v>83</v>
      </c>
      <c r="O855" s="139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40"/>
    </row>
    <row r="856" spans="1:26" x14ac:dyDescent="0.25">
      <c r="A856" s="203">
        <f t="shared" si="17"/>
        <v>854</v>
      </c>
      <c r="B856" s="128"/>
      <c r="C856" s="263"/>
      <c r="D856" s="280"/>
      <c r="E856" s="132"/>
      <c r="F856" s="138" t="s">
        <v>1933</v>
      </c>
      <c r="G856" s="131"/>
      <c r="H856" s="128"/>
      <c r="I856" s="132" t="s">
        <v>159</v>
      </c>
      <c r="J856" s="133">
        <v>1</v>
      </c>
      <c r="K856" s="129">
        <v>8</v>
      </c>
      <c r="L856" s="129">
        <v>8</v>
      </c>
      <c r="M856" s="131" t="s">
        <v>82</v>
      </c>
      <c r="N856" s="129" t="s">
        <v>83</v>
      </c>
      <c r="O856" s="139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40"/>
    </row>
    <row r="857" spans="1:26" x14ac:dyDescent="0.25">
      <c r="A857" s="203">
        <f t="shared" si="17"/>
        <v>855</v>
      </c>
      <c r="B857" s="128"/>
      <c r="C857" s="263"/>
      <c r="D857" s="280"/>
      <c r="E857" s="132"/>
      <c r="F857" s="138" t="s">
        <v>1933</v>
      </c>
      <c r="G857" s="131"/>
      <c r="H857" s="128"/>
      <c r="I857" s="132" t="s">
        <v>159</v>
      </c>
      <c r="J857" s="133">
        <v>1</v>
      </c>
      <c r="K857" s="129">
        <v>8</v>
      </c>
      <c r="L857" s="129">
        <v>9</v>
      </c>
      <c r="M857" s="131" t="s">
        <v>82</v>
      </c>
      <c r="N857" s="129" t="s">
        <v>83</v>
      </c>
      <c r="O857" s="139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40"/>
    </row>
    <row r="858" spans="1:26" x14ac:dyDescent="0.25">
      <c r="A858" s="203">
        <f t="shared" si="17"/>
        <v>856</v>
      </c>
      <c r="B858" s="128"/>
      <c r="C858" s="263"/>
      <c r="D858" s="280"/>
      <c r="E858" s="132"/>
      <c r="F858" s="138" t="s">
        <v>1933</v>
      </c>
      <c r="G858" s="131"/>
      <c r="H858" s="128"/>
      <c r="I858" s="132" t="s">
        <v>159</v>
      </c>
      <c r="J858" s="133">
        <v>1</v>
      </c>
      <c r="K858" s="129">
        <v>8</v>
      </c>
      <c r="L858" s="129">
        <v>10</v>
      </c>
      <c r="M858" s="131" t="s">
        <v>82</v>
      </c>
      <c r="N858" s="129" t="s">
        <v>83</v>
      </c>
      <c r="O858" s="139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40"/>
    </row>
    <row r="859" spans="1:26" x14ac:dyDescent="0.25">
      <c r="A859" s="203">
        <f t="shared" ref="A859:A890" si="18">ROW()-2</f>
        <v>857</v>
      </c>
      <c r="B859" s="128"/>
      <c r="C859" s="263"/>
      <c r="D859" s="280"/>
      <c r="E859" s="132"/>
      <c r="F859" s="138" t="s">
        <v>1933</v>
      </c>
      <c r="G859" s="131"/>
      <c r="H859" s="128"/>
      <c r="I859" s="132" t="s">
        <v>159</v>
      </c>
      <c r="J859" s="133">
        <v>1</v>
      </c>
      <c r="K859" s="129">
        <v>8</v>
      </c>
      <c r="L859" s="129">
        <v>12</v>
      </c>
      <c r="M859" s="131" t="s">
        <v>82</v>
      </c>
      <c r="N859" s="129" t="s">
        <v>83</v>
      </c>
      <c r="O859" s="139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40"/>
    </row>
    <row r="860" spans="1:26" x14ac:dyDescent="0.25">
      <c r="A860" s="203">
        <f t="shared" si="18"/>
        <v>858</v>
      </c>
      <c r="B860" s="128"/>
      <c r="C860" s="263"/>
      <c r="D860" s="280"/>
      <c r="E860" s="132"/>
      <c r="F860" s="138" t="s">
        <v>1933</v>
      </c>
      <c r="G860" s="131"/>
      <c r="H860" s="128"/>
      <c r="I860" s="132" t="s">
        <v>159</v>
      </c>
      <c r="J860" s="133">
        <v>1</v>
      </c>
      <c r="K860" s="129">
        <v>8</v>
      </c>
      <c r="L860" s="129">
        <v>13</v>
      </c>
      <c r="M860" s="131" t="s">
        <v>82</v>
      </c>
      <c r="N860" s="129" t="s">
        <v>83</v>
      </c>
      <c r="O860" s="139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40"/>
    </row>
    <row r="861" spans="1:26" x14ac:dyDescent="0.25">
      <c r="A861" s="203">
        <f t="shared" si="18"/>
        <v>859</v>
      </c>
      <c r="B861" s="128"/>
      <c r="C861" s="263"/>
      <c r="D861" s="280"/>
      <c r="E861" s="132"/>
      <c r="F861" s="138" t="s">
        <v>1933</v>
      </c>
      <c r="G861" s="131"/>
      <c r="H861" s="128"/>
      <c r="I861" s="132" t="s">
        <v>159</v>
      </c>
      <c r="J861" s="133">
        <v>1</v>
      </c>
      <c r="K861" s="129">
        <v>8</v>
      </c>
      <c r="L861" s="129">
        <v>14</v>
      </c>
      <c r="M861" s="131" t="s">
        <v>82</v>
      </c>
      <c r="N861" s="129" t="s">
        <v>83</v>
      </c>
      <c r="O861" s="139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40"/>
    </row>
    <row r="862" spans="1:26" x14ac:dyDescent="0.25">
      <c r="A862" s="203">
        <f t="shared" si="18"/>
        <v>860</v>
      </c>
      <c r="B862" s="128"/>
      <c r="C862" s="263"/>
      <c r="D862" s="262"/>
      <c r="E862" s="128"/>
      <c r="F862" s="138" t="s">
        <v>1933</v>
      </c>
      <c r="G862" s="131"/>
      <c r="H862" s="128"/>
      <c r="I862" s="132" t="s">
        <v>159</v>
      </c>
      <c r="J862" s="133">
        <v>1</v>
      </c>
      <c r="K862" s="129">
        <v>9</v>
      </c>
      <c r="L862" s="129">
        <v>0</v>
      </c>
      <c r="M862" s="131" t="s">
        <v>82</v>
      </c>
      <c r="N862" s="129" t="s">
        <v>83</v>
      </c>
      <c r="O862" s="139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40"/>
    </row>
    <row r="863" spans="1:26" x14ac:dyDescent="0.25">
      <c r="A863" s="203">
        <f t="shared" si="18"/>
        <v>861</v>
      </c>
      <c r="B863" s="128"/>
      <c r="C863" s="263"/>
      <c r="D863" s="262"/>
      <c r="E863" s="128"/>
      <c r="F863" s="138" t="s">
        <v>1933</v>
      </c>
      <c r="G863" s="131"/>
      <c r="H863" s="128"/>
      <c r="I863" s="132" t="s">
        <v>159</v>
      </c>
      <c r="J863" s="133">
        <v>1</v>
      </c>
      <c r="K863" s="129">
        <v>9</v>
      </c>
      <c r="L863" s="129">
        <v>2</v>
      </c>
      <c r="M863" s="131" t="s">
        <v>82</v>
      </c>
      <c r="N863" s="129" t="s">
        <v>83</v>
      </c>
      <c r="O863" s="139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40"/>
    </row>
    <row r="864" spans="1:26" x14ac:dyDescent="0.25">
      <c r="A864" s="203">
        <f t="shared" si="18"/>
        <v>862</v>
      </c>
      <c r="B864" s="128"/>
      <c r="C864" s="263"/>
      <c r="D864" s="262"/>
      <c r="E864" s="128"/>
      <c r="F864" s="138" t="s">
        <v>1933</v>
      </c>
      <c r="G864" s="129"/>
      <c r="H864" s="128"/>
      <c r="I864" s="132" t="s">
        <v>159</v>
      </c>
      <c r="J864" s="133">
        <v>1</v>
      </c>
      <c r="K864" s="129">
        <v>9</v>
      </c>
      <c r="L864" s="129">
        <v>3</v>
      </c>
      <c r="M864" s="131" t="s">
        <v>82</v>
      </c>
      <c r="N864" s="129" t="s">
        <v>83</v>
      </c>
      <c r="O864" s="139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40"/>
    </row>
    <row r="865" spans="1:26" x14ac:dyDescent="0.25">
      <c r="A865" s="203">
        <f t="shared" si="18"/>
        <v>863</v>
      </c>
      <c r="B865" s="128"/>
      <c r="C865" s="263"/>
      <c r="D865" s="262"/>
      <c r="E865" s="128"/>
      <c r="F865" s="138" t="s">
        <v>1933</v>
      </c>
      <c r="G865" s="131"/>
      <c r="H865" s="128"/>
      <c r="I865" s="132" t="s">
        <v>159</v>
      </c>
      <c r="J865" s="133">
        <v>1</v>
      </c>
      <c r="K865" s="129">
        <v>9</v>
      </c>
      <c r="L865" s="129">
        <v>4</v>
      </c>
      <c r="M865" s="131" t="s">
        <v>82</v>
      </c>
      <c r="N865" s="129" t="s">
        <v>83</v>
      </c>
      <c r="O865" s="139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40"/>
    </row>
    <row r="866" spans="1:26" x14ac:dyDescent="0.25">
      <c r="A866" s="203">
        <f t="shared" si="18"/>
        <v>864</v>
      </c>
      <c r="B866" s="128"/>
      <c r="C866" s="263"/>
      <c r="D866" s="262"/>
      <c r="E866" s="128"/>
      <c r="F866" s="138" t="s">
        <v>1933</v>
      </c>
      <c r="G866" s="131"/>
      <c r="H866" s="128"/>
      <c r="I866" s="132" t="s">
        <v>159</v>
      </c>
      <c r="J866" s="133">
        <v>1</v>
      </c>
      <c r="K866" s="129">
        <v>9</v>
      </c>
      <c r="L866" s="129">
        <v>5</v>
      </c>
      <c r="M866" s="131" t="s">
        <v>82</v>
      </c>
      <c r="N866" s="129" t="s">
        <v>83</v>
      </c>
      <c r="O866" s="139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40"/>
    </row>
    <row r="867" spans="1:26" x14ac:dyDescent="0.25">
      <c r="A867" s="203">
        <f t="shared" si="18"/>
        <v>865</v>
      </c>
      <c r="B867" s="128"/>
      <c r="C867" s="263"/>
      <c r="D867" s="262"/>
      <c r="E867" s="128"/>
      <c r="F867" s="138" t="s">
        <v>1933</v>
      </c>
      <c r="G867" s="131"/>
      <c r="H867" s="128"/>
      <c r="I867" s="132" t="s">
        <v>159</v>
      </c>
      <c r="J867" s="133">
        <v>1</v>
      </c>
      <c r="K867" s="129">
        <v>9</v>
      </c>
      <c r="L867" s="129">
        <v>6</v>
      </c>
      <c r="M867" s="131" t="s">
        <v>82</v>
      </c>
      <c r="N867" s="129" t="s">
        <v>83</v>
      </c>
      <c r="O867" s="139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40"/>
    </row>
    <row r="868" spans="1:26" x14ac:dyDescent="0.25">
      <c r="A868" s="203">
        <f t="shared" si="18"/>
        <v>866</v>
      </c>
      <c r="B868" s="128"/>
      <c r="C868" s="263"/>
      <c r="D868" s="262"/>
      <c r="E868" s="128"/>
      <c r="F868" s="138" t="s">
        <v>1933</v>
      </c>
      <c r="G868" s="131"/>
      <c r="H868" s="128"/>
      <c r="I868" s="132" t="s">
        <v>159</v>
      </c>
      <c r="J868" s="133">
        <v>1</v>
      </c>
      <c r="K868" s="129">
        <v>9</v>
      </c>
      <c r="L868" s="129">
        <v>7</v>
      </c>
      <c r="M868" s="131" t="s">
        <v>82</v>
      </c>
      <c r="N868" s="129" t="s">
        <v>83</v>
      </c>
      <c r="O868" s="139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40"/>
    </row>
    <row r="869" spans="1:26" x14ac:dyDescent="0.25">
      <c r="A869" s="203">
        <f t="shared" si="18"/>
        <v>867</v>
      </c>
      <c r="B869" s="128"/>
      <c r="C869" s="263"/>
      <c r="D869" s="262"/>
      <c r="E869" s="128"/>
      <c r="F869" s="138" t="s">
        <v>1933</v>
      </c>
      <c r="G869" s="131"/>
      <c r="H869" s="128"/>
      <c r="I869" s="132" t="s">
        <v>159</v>
      </c>
      <c r="J869" s="133">
        <v>1</v>
      </c>
      <c r="K869" s="129">
        <v>9</v>
      </c>
      <c r="L869" s="129">
        <v>8</v>
      </c>
      <c r="M869" s="131" t="s">
        <v>82</v>
      </c>
      <c r="N869" s="129" t="s">
        <v>83</v>
      </c>
      <c r="O869" s="139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40"/>
    </row>
    <row r="870" spans="1:26" x14ac:dyDescent="0.25">
      <c r="A870" s="203">
        <f t="shared" si="18"/>
        <v>868</v>
      </c>
      <c r="B870" s="128"/>
      <c r="C870" s="263"/>
      <c r="D870" s="262"/>
      <c r="E870" s="128"/>
      <c r="F870" s="138" t="s">
        <v>1933</v>
      </c>
      <c r="G870" s="131"/>
      <c r="H870" s="128"/>
      <c r="I870" s="132" t="s">
        <v>159</v>
      </c>
      <c r="J870" s="133">
        <v>1</v>
      </c>
      <c r="K870" s="129">
        <v>9</v>
      </c>
      <c r="L870" s="129">
        <v>9</v>
      </c>
      <c r="M870" s="131" t="s">
        <v>82</v>
      </c>
      <c r="N870" s="129" t="s">
        <v>83</v>
      </c>
      <c r="O870" s="139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40"/>
    </row>
    <row r="871" spans="1:26" x14ac:dyDescent="0.25">
      <c r="A871" s="203">
        <f t="shared" si="18"/>
        <v>869</v>
      </c>
      <c r="B871" s="128"/>
      <c r="C871" s="263"/>
      <c r="D871" s="262"/>
      <c r="E871" s="128"/>
      <c r="F871" s="138" t="s">
        <v>1933</v>
      </c>
      <c r="G871" s="131"/>
      <c r="H871" s="128"/>
      <c r="I871" s="132" t="s">
        <v>159</v>
      </c>
      <c r="J871" s="133">
        <v>1</v>
      </c>
      <c r="K871" s="129">
        <v>9</v>
      </c>
      <c r="L871" s="129">
        <v>10</v>
      </c>
      <c r="M871" s="131" t="s">
        <v>82</v>
      </c>
      <c r="N871" s="129" t="s">
        <v>83</v>
      </c>
      <c r="O871" s="139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40"/>
    </row>
    <row r="872" spans="1:26" x14ac:dyDescent="0.25">
      <c r="A872" s="203">
        <f t="shared" si="18"/>
        <v>870</v>
      </c>
      <c r="B872" s="128"/>
      <c r="C872" s="263"/>
      <c r="D872" s="262"/>
      <c r="E872" s="128"/>
      <c r="F872" s="138" t="s">
        <v>1933</v>
      </c>
      <c r="G872" s="131"/>
      <c r="H872" s="128"/>
      <c r="I872" s="132" t="s">
        <v>159</v>
      </c>
      <c r="J872" s="133">
        <v>1</v>
      </c>
      <c r="K872" s="129">
        <v>9</v>
      </c>
      <c r="L872" s="129">
        <v>11</v>
      </c>
      <c r="M872" s="131" t="s">
        <v>82</v>
      </c>
      <c r="N872" s="129" t="s">
        <v>83</v>
      </c>
      <c r="O872" s="139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40"/>
    </row>
    <row r="873" spans="1:26" x14ac:dyDescent="0.25">
      <c r="A873" s="203">
        <f t="shared" si="18"/>
        <v>871</v>
      </c>
      <c r="B873" s="128"/>
      <c r="C873" s="263"/>
      <c r="D873" s="262"/>
      <c r="E873" s="128"/>
      <c r="F873" s="138" t="s">
        <v>1933</v>
      </c>
      <c r="G873" s="131"/>
      <c r="H873" s="128"/>
      <c r="I873" s="132" t="s">
        <v>159</v>
      </c>
      <c r="J873" s="133">
        <v>1</v>
      </c>
      <c r="K873" s="129">
        <v>9</v>
      </c>
      <c r="L873" s="129">
        <v>12</v>
      </c>
      <c r="M873" s="131" t="s">
        <v>82</v>
      </c>
      <c r="N873" s="129" t="s">
        <v>83</v>
      </c>
      <c r="O873" s="139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40"/>
    </row>
    <row r="874" spans="1:26" x14ac:dyDescent="0.25">
      <c r="A874" s="203">
        <f t="shared" si="18"/>
        <v>872</v>
      </c>
      <c r="B874" s="128"/>
      <c r="C874" s="263"/>
      <c r="D874" s="262"/>
      <c r="E874" s="128"/>
      <c r="F874" s="138" t="s">
        <v>1933</v>
      </c>
      <c r="G874" s="131"/>
      <c r="H874" s="128"/>
      <c r="I874" s="132" t="s">
        <v>159</v>
      </c>
      <c r="J874" s="133">
        <v>1</v>
      </c>
      <c r="K874" s="129">
        <v>9</v>
      </c>
      <c r="L874" s="129">
        <v>13</v>
      </c>
      <c r="M874" s="131" t="s">
        <v>82</v>
      </c>
      <c r="N874" s="129" t="s">
        <v>83</v>
      </c>
      <c r="O874" s="139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40"/>
    </row>
    <row r="875" spans="1:26" x14ac:dyDescent="0.25">
      <c r="A875" s="203">
        <f t="shared" si="18"/>
        <v>873</v>
      </c>
      <c r="B875" s="128"/>
      <c r="C875" s="263"/>
      <c r="D875" s="262"/>
      <c r="E875" s="128"/>
      <c r="F875" s="138" t="s">
        <v>1933</v>
      </c>
      <c r="G875" s="131"/>
      <c r="H875" s="128"/>
      <c r="I875" s="132" t="s">
        <v>159</v>
      </c>
      <c r="J875" s="133">
        <v>1</v>
      </c>
      <c r="K875" s="129">
        <v>9</v>
      </c>
      <c r="L875" s="129">
        <v>14</v>
      </c>
      <c r="M875" s="131" t="s">
        <v>82</v>
      </c>
      <c r="N875" s="129" t="s">
        <v>83</v>
      </c>
      <c r="O875" s="139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40"/>
    </row>
    <row r="876" spans="1:26" x14ac:dyDescent="0.25">
      <c r="A876" s="203">
        <f t="shared" si="18"/>
        <v>874</v>
      </c>
      <c r="B876" s="128"/>
      <c r="C876" s="263"/>
      <c r="D876" s="262"/>
      <c r="E876" s="128"/>
      <c r="F876" s="138" t="s">
        <v>1933</v>
      </c>
      <c r="G876" s="131"/>
      <c r="H876" s="128"/>
      <c r="I876" s="132" t="s">
        <v>159</v>
      </c>
      <c r="J876" s="133">
        <v>1</v>
      </c>
      <c r="K876" s="129">
        <v>9</v>
      </c>
      <c r="L876" s="129">
        <v>15</v>
      </c>
      <c r="M876" s="131" t="s">
        <v>82</v>
      </c>
      <c r="N876" s="129" t="s">
        <v>83</v>
      </c>
      <c r="O876" s="139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40"/>
    </row>
    <row r="877" spans="1:26" x14ac:dyDescent="0.25">
      <c r="A877" s="203">
        <f t="shared" si="18"/>
        <v>875</v>
      </c>
      <c r="B877" s="128"/>
      <c r="C877" s="262"/>
      <c r="D877" s="262"/>
      <c r="E877" s="128"/>
      <c r="F877" s="138" t="s">
        <v>1933</v>
      </c>
      <c r="G877" s="131"/>
      <c r="H877" s="128"/>
      <c r="I877" s="132" t="s">
        <v>30</v>
      </c>
      <c r="J877" s="133">
        <v>2</v>
      </c>
      <c r="K877" s="129">
        <v>2</v>
      </c>
      <c r="L877" s="129">
        <v>8</v>
      </c>
      <c r="M877" s="129" t="s">
        <v>31</v>
      </c>
      <c r="N877" s="129" t="s">
        <v>32</v>
      </c>
      <c r="O877" s="139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40" t="s">
        <v>33</v>
      </c>
    </row>
    <row r="878" spans="1:26" x14ac:dyDescent="0.25">
      <c r="A878" s="203">
        <f t="shared" si="18"/>
        <v>876</v>
      </c>
      <c r="B878" s="128"/>
      <c r="C878" s="262"/>
      <c r="D878" s="262"/>
      <c r="E878" s="128"/>
      <c r="F878" s="138" t="s">
        <v>1933</v>
      </c>
      <c r="G878" s="131"/>
      <c r="H878" s="128"/>
      <c r="I878" s="132" t="s">
        <v>30</v>
      </c>
      <c r="J878" s="133">
        <v>2</v>
      </c>
      <c r="K878" s="129">
        <v>2</v>
      </c>
      <c r="L878" s="129">
        <v>9</v>
      </c>
      <c r="M878" s="129" t="s">
        <v>31</v>
      </c>
      <c r="N878" s="129" t="s">
        <v>32</v>
      </c>
      <c r="O878" s="139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40" t="s">
        <v>33</v>
      </c>
    </row>
    <row r="879" spans="1:26" x14ac:dyDescent="0.25">
      <c r="A879" s="203">
        <f t="shared" si="18"/>
        <v>877</v>
      </c>
      <c r="B879" s="128"/>
      <c r="C879" s="262"/>
      <c r="D879" s="262"/>
      <c r="E879" s="128"/>
      <c r="F879" s="138" t="s">
        <v>1933</v>
      </c>
      <c r="G879" s="131"/>
      <c r="H879" s="128"/>
      <c r="I879" s="132" t="s">
        <v>30</v>
      </c>
      <c r="J879" s="133">
        <v>2</v>
      </c>
      <c r="K879" s="129">
        <v>2</v>
      </c>
      <c r="L879" s="129">
        <v>10</v>
      </c>
      <c r="M879" s="129" t="s">
        <v>31</v>
      </c>
      <c r="N879" s="129" t="s">
        <v>32</v>
      </c>
      <c r="O879" s="139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40" t="s">
        <v>33</v>
      </c>
    </row>
    <row r="880" spans="1:26" x14ac:dyDescent="0.25">
      <c r="A880" s="203">
        <f t="shared" si="18"/>
        <v>878</v>
      </c>
      <c r="B880" s="128"/>
      <c r="C880" s="262"/>
      <c r="D880" s="262"/>
      <c r="E880" s="128"/>
      <c r="F880" s="138" t="s">
        <v>1933</v>
      </c>
      <c r="G880" s="131"/>
      <c r="H880" s="128"/>
      <c r="I880" s="132" t="s">
        <v>30</v>
      </c>
      <c r="J880" s="133">
        <v>2</v>
      </c>
      <c r="K880" s="129">
        <v>2</v>
      </c>
      <c r="L880" s="129">
        <v>11</v>
      </c>
      <c r="M880" s="129" t="s">
        <v>31</v>
      </c>
      <c r="N880" s="129" t="s">
        <v>32</v>
      </c>
      <c r="O880" s="139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40" t="s">
        <v>33</v>
      </c>
    </row>
    <row r="881" spans="1:26" x14ac:dyDescent="0.25">
      <c r="A881" s="203">
        <f t="shared" si="18"/>
        <v>879</v>
      </c>
      <c r="B881" s="128"/>
      <c r="C881" s="262"/>
      <c r="D881" s="262"/>
      <c r="E881" s="128"/>
      <c r="F881" s="138" t="s">
        <v>1933</v>
      </c>
      <c r="G881" s="131"/>
      <c r="H881" s="128"/>
      <c r="I881" s="132" t="s">
        <v>30</v>
      </c>
      <c r="J881" s="133">
        <v>2</v>
      </c>
      <c r="K881" s="129">
        <v>2</v>
      </c>
      <c r="L881" s="129">
        <v>12</v>
      </c>
      <c r="M881" s="129" t="s">
        <v>31</v>
      </c>
      <c r="N881" s="129" t="s">
        <v>32</v>
      </c>
      <c r="O881" s="139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40" t="s">
        <v>33</v>
      </c>
    </row>
    <row r="882" spans="1:26" x14ac:dyDescent="0.25">
      <c r="A882" s="203">
        <f t="shared" si="18"/>
        <v>880</v>
      </c>
      <c r="B882" s="128"/>
      <c r="C882" s="262"/>
      <c r="D882" s="262"/>
      <c r="E882" s="128"/>
      <c r="F882" s="138" t="s">
        <v>1933</v>
      </c>
      <c r="G882" s="131"/>
      <c r="H882" s="128"/>
      <c r="I882" s="132" t="s">
        <v>30</v>
      </c>
      <c r="J882" s="133">
        <v>2</v>
      </c>
      <c r="K882" s="129">
        <v>2</v>
      </c>
      <c r="L882" s="129">
        <v>13</v>
      </c>
      <c r="M882" s="129" t="s">
        <v>31</v>
      </c>
      <c r="N882" s="129" t="s">
        <v>32</v>
      </c>
      <c r="O882" s="139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40" t="s">
        <v>33</v>
      </c>
    </row>
    <row r="883" spans="1:26" x14ac:dyDescent="0.25">
      <c r="A883" s="203">
        <f t="shared" si="18"/>
        <v>881</v>
      </c>
      <c r="B883" s="128"/>
      <c r="C883" s="262"/>
      <c r="D883" s="262"/>
      <c r="E883" s="128"/>
      <c r="F883" s="138" t="s">
        <v>1933</v>
      </c>
      <c r="G883" s="131"/>
      <c r="H883" s="128"/>
      <c r="I883" s="132" t="s">
        <v>30</v>
      </c>
      <c r="J883" s="133">
        <v>2</v>
      </c>
      <c r="K883" s="129">
        <v>2</v>
      </c>
      <c r="L883" s="129">
        <v>14</v>
      </c>
      <c r="M883" s="129" t="s">
        <v>31</v>
      </c>
      <c r="N883" s="129" t="s">
        <v>32</v>
      </c>
      <c r="O883" s="139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40" t="s">
        <v>33</v>
      </c>
    </row>
    <row r="884" spans="1:26" x14ac:dyDescent="0.25">
      <c r="A884" s="203">
        <f t="shared" si="18"/>
        <v>882</v>
      </c>
      <c r="B884" s="128"/>
      <c r="C884" s="262"/>
      <c r="D884" s="262"/>
      <c r="E884" s="128"/>
      <c r="F884" s="138" t="s">
        <v>1933</v>
      </c>
      <c r="G884" s="131"/>
      <c r="H884" s="128"/>
      <c r="I884" s="132" t="s">
        <v>30</v>
      </c>
      <c r="J884" s="133">
        <v>2</v>
      </c>
      <c r="K884" s="129">
        <v>2</v>
      </c>
      <c r="L884" s="129">
        <v>15</v>
      </c>
      <c r="M884" s="129" t="s">
        <v>31</v>
      </c>
      <c r="N884" s="129" t="s">
        <v>32</v>
      </c>
      <c r="O884" s="139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40" t="s">
        <v>33</v>
      </c>
    </row>
    <row r="885" spans="1:26" x14ac:dyDescent="0.25">
      <c r="A885" s="203">
        <f t="shared" si="18"/>
        <v>883</v>
      </c>
      <c r="B885" s="128"/>
      <c r="C885" s="263"/>
      <c r="D885" s="262"/>
      <c r="E885" s="128"/>
      <c r="F885" s="138" t="s">
        <v>1933</v>
      </c>
      <c r="G885" s="131"/>
      <c r="H885" s="128"/>
      <c r="I885" s="132" t="s">
        <v>30</v>
      </c>
      <c r="J885" s="133">
        <v>2</v>
      </c>
      <c r="K885" s="129">
        <v>3</v>
      </c>
      <c r="L885" s="129">
        <v>15</v>
      </c>
      <c r="M885" s="129" t="s">
        <v>82</v>
      </c>
      <c r="N885" s="129" t="s">
        <v>83</v>
      </c>
      <c r="O885" s="139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40" t="s">
        <v>33</v>
      </c>
    </row>
    <row r="886" spans="1:26" x14ac:dyDescent="0.25">
      <c r="A886" s="203">
        <f t="shared" si="18"/>
        <v>884</v>
      </c>
      <c r="B886" s="128"/>
      <c r="C886" s="263"/>
      <c r="D886" s="262"/>
      <c r="E886" s="128"/>
      <c r="F886" s="138" t="s">
        <v>1933</v>
      </c>
      <c r="G886" s="131"/>
      <c r="H886" s="128"/>
      <c r="I886" s="132" t="s">
        <v>30</v>
      </c>
      <c r="J886" s="133">
        <v>2</v>
      </c>
      <c r="K886" s="129">
        <v>4</v>
      </c>
      <c r="L886" s="129">
        <v>0</v>
      </c>
      <c r="M886" s="129" t="s">
        <v>82</v>
      </c>
      <c r="N886" s="129" t="s">
        <v>83</v>
      </c>
      <c r="O886" s="139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40" t="s">
        <v>33</v>
      </c>
    </row>
    <row r="887" spans="1:26" x14ac:dyDescent="0.25">
      <c r="A887" s="203">
        <f t="shared" si="18"/>
        <v>885</v>
      </c>
      <c r="B887" s="128"/>
      <c r="C887" s="263"/>
      <c r="D887" s="262"/>
      <c r="E887" s="128"/>
      <c r="F887" s="138" t="s">
        <v>1933</v>
      </c>
      <c r="G887" s="131"/>
      <c r="H887" s="128"/>
      <c r="I887" s="132" t="s">
        <v>30</v>
      </c>
      <c r="J887" s="133">
        <v>2</v>
      </c>
      <c r="K887" s="129">
        <v>4</v>
      </c>
      <c r="L887" s="129">
        <v>1</v>
      </c>
      <c r="M887" s="129" t="s">
        <v>82</v>
      </c>
      <c r="N887" s="129" t="s">
        <v>83</v>
      </c>
      <c r="O887" s="139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40" t="s">
        <v>33</v>
      </c>
    </row>
    <row r="888" spans="1:26" x14ac:dyDescent="0.25">
      <c r="A888" s="203">
        <f t="shared" si="18"/>
        <v>886</v>
      </c>
      <c r="B888" s="128"/>
      <c r="C888" s="263"/>
      <c r="D888" s="262"/>
      <c r="E888" s="128"/>
      <c r="F888" s="138" t="s">
        <v>1933</v>
      </c>
      <c r="G888" s="131"/>
      <c r="H888" s="128"/>
      <c r="I888" s="132" t="s">
        <v>30</v>
      </c>
      <c r="J888" s="133">
        <v>2</v>
      </c>
      <c r="K888" s="129">
        <v>4</v>
      </c>
      <c r="L888" s="129">
        <v>2</v>
      </c>
      <c r="M888" s="129" t="s">
        <v>82</v>
      </c>
      <c r="N888" s="129" t="s">
        <v>83</v>
      </c>
      <c r="O888" s="139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40" t="s">
        <v>33</v>
      </c>
    </row>
    <row r="889" spans="1:26" x14ac:dyDescent="0.25">
      <c r="A889" s="203">
        <f t="shared" si="18"/>
        <v>887</v>
      </c>
      <c r="B889" s="128"/>
      <c r="C889" s="263"/>
      <c r="D889" s="262"/>
      <c r="E889" s="128"/>
      <c r="F889" s="138" t="s">
        <v>1933</v>
      </c>
      <c r="G889" s="131"/>
      <c r="H889" s="128"/>
      <c r="I889" s="132" t="s">
        <v>30</v>
      </c>
      <c r="J889" s="133">
        <v>2</v>
      </c>
      <c r="K889" s="129">
        <v>4</v>
      </c>
      <c r="L889" s="129">
        <v>3</v>
      </c>
      <c r="M889" s="129" t="s">
        <v>82</v>
      </c>
      <c r="N889" s="129" t="s">
        <v>83</v>
      </c>
      <c r="O889" s="139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40" t="s">
        <v>33</v>
      </c>
    </row>
    <row r="890" spans="1:26" x14ac:dyDescent="0.25">
      <c r="A890" s="203">
        <f t="shared" si="18"/>
        <v>888</v>
      </c>
      <c r="B890" s="128"/>
      <c r="C890" s="263"/>
      <c r="D890" s="262"/>
      <c r="E890" s="128"/>
      <c r="F890" s="138" t="s">
        <v>1933</v>
      </c>
      <c r="G890" s="131"/>
      <c r="H890" s="128"/>
      <c r="I890" s="132" t="s">
        <v>30</v>
      </c>
      <c r="J890" s="133">
        <v>2</v>
      </c>
      <c r="K890" s="129">
        <v>4</v>
      </c>
      <c r="L890" s="129">
        <v>4</v>
      </c>
      <c r="M890" s="129" t="s">
        <v>82</v>
      </c>
      <c r="N890" s="129" t="s">
        <v>83</v>
      </c>
      <c r="O890" s="139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40" t="s">
        <v>33</v>
      </c>
    </row>
    <row r="891" spans="1:26" x14ac:dyDescent="0.25">
      <c r="A891" s="203">
        <f t="shared" ref="A891:A901" si="19">ROW()-2</f>
        <v>889</v>
      </c>
      <c r="B891" s="128"/>
      <c r="C891" s="263"/>
      <c r="D891" s="262"/>
      <c r="E891" s="128"/>
      <c r="F891" s="138" t="s">
        <v>1933</v>
      </c>
      <c r="G891" s="131"/>
      <c r="H891" s="128"/>
      <c r="I891" s="132" t="s">
        <v>30</v>
      </c>
      <c r="J891" s="133">
        <v>2</v>
      </c>
      <c r="K891" s="129">
        <v>4</v>
      </c>
      <c r="L891" s="129">
        <v>5</v>
      </c>
      <c r="M891" s="129" t="s">
        <v>82</v>
      </c>
      <c r="N891" s="129" t="s">
        <v>83</v>
      </c>
      <c r="O891" s="139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40" t="s">
        <v>33</v>
      </c>
    </row>
    <row r="892" spans="1:26" x14ac:dyDescent="0.25">
      <c r="A892" s="203">
        <f t="shared" si="19"/>
        <v>890</v>
      </c>
      <c r="B892" s="128"/>
      <c r="C892" s="263"/>
      <c r="D892" s="262"/>
      <c r="E892" s="128"/>
      <c r="F892" s="138" t="s">
        <v>1933</v>
      </c>
      <c r="G892" s="131"/>
      <c r="H892" s="128"/>
      <c r="I892" s="132" t="s">
        <v>30</v>
      </c>
      <c r="J892" s="133">
        <v>2</v>
      </c>
      <c r="K892" s="129">
        <v>4</v>
      </c>
      <c r="L892" s="129">
        <v>6</v>
      </c>
      <c r="M892" s="129" t="s">
        <v>82</v>
      </c>
      <c r="N892" s="129" t="s">
        <v>83</v>
      </c>
      <c r="O892" s="139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40" t="s">
        <v>33</v>
      </c>
    </row>
    <row r="893" spans="1:26" x14ac:dyDescent="0.25">
      <c r="A893" s="203">
        <f t="shared" si="19"/>
        <v>891</v>
      </c>
      <c r="B893" s="128"/>
      <c r="C893" s="263"/>
      <c r="D893" s="262"/>
      <c r="E893" s="128"/>
      <c r="F893" s="138" t="s">
        <v>1933</v>
      </c>
      <c r="G893" s="131"/>
      <c r="H893" s="128"/>
      <c r="I893" s="132" t="s">
        <v>30</v>
      </c>
      <c r="J893" s="133">
        <v>2</v>
      </c>
      <c r="K893" s="129">
        <v>4</v>
      </c>
      <c r="L893" s="129">
        <v>7</v>
      </c>
      <c r="M893" s="129" t="s">
        <v>82</v>
      </c>
      <c r="N893" s="129" t="s">
        <v>83</v>
      </c>
      <c r="O893" s="139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40" t="s">
        <v>33</v>
      </c>
    </row>
    <row r="894" spans="1:26" x14ac:dyDescent="0.25">
      <c r="A894" s="203">
        <f t="shared" si="19"/>
        <v>892</v>
      </c>
      <c r="B894" s="128"/>
      <c r="C894" s="263"/>
      <c r="D894" s="262"/>
      <c r="E894" s="128"/>
      <c r="F894" s="138" t="s">
        <v>1933</v>
      </c>
      <c r="G894" s="131"/>
      <c r="H894" s="128"/>
      <c r="I894" s="132" t="s">
        <v>30</v>
      </c>
      <c r="J894" s="133">
        <v>2</v>
      </c>
      <c r="K894" s="129">
        <v>4</v>
      </c>
      <c r="L894" s="129">
        <v>8</v>
      </c>
      <c r="M894" s="129" t="s">
        <v>82</v>
      </c>
      <c r="N894" s="129" t="s">
        <v>83</v>
      </c>
      <c r="O894" s="139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40" t="s">
        <v>33</v>
      </c>
    </row>
    <row r="895" spans="1:26" x14ac:dyDescent="0.25">
      <c r="A895" s="203">
        <f t="shared" si="19"/>
        <v>893</v>
      </c>
      <c r="B895" s="128"/>
      <c r="C895" s="263"/>
      <c r="D895" s="262"/>
      <c r="E895" s="128"/>
      <c r="F895" s="138" t="s">
        <v>1933</v>
      </c>
      <c r="G895" s="131"/>
      <c r="H895" s="128"/>
      <c r="I895" s="132" t="s">
        <v>30</v>
      </c>
      <c r="J895" s="133">
        <v>2</v>
      </c>
      <c r="K895" s="129">
        <v>4</v>
      </c>
      <c r="L895" s="129">
        <v>9</v>
      </c>
      <c r="M895" s="129" t="s">
        <v>82</v>
      </c>
      <c r="N895" s="129" t="s">
        <v>83</v>
      </c>
      <c r="O895" s="139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40" t="s">
        <v>33</v>
      </c>
    </row>
    <row r="896" spans="1:26" x14ac:dyDescent="0.25">
      <c r="A896" s="203">
        <f t="shared" si="19"/>
        <v>894</v>
      </c>
      <c r="B896" s="128"/>
      <c r="C896" s="263"/>
      <c r="D896" s="262"/>
      <c r="E896" s="128"/>
      <c r="F896" s="138" t="s">
        <v>1933</v>
      </c>
      <c r="G896" s="131"/>
      <c r="H896" s="128"/>
      <c r="I896" s="132" t="s">
        <v>30</v>
      </c>
      <c r="J896" s="133">
        <v>2</v>
      </c>
      <c r="K896" s="129">
        <v>4</v>
      </c>
      <c r="L896" s="129">
        <v>10</v>
      </c>
      <c r="M896" s="129" t="s">
        <v>82</v>
      </c>
      <c r="N896" s="129" t="s">
        <v>83</v>
      </c>
      <c r="O896" s="139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40" t="s">
        <v>33</v>
      </c>
    </row>
    <row r="897" spans="1:26" x14ac:dyDescent="0.25">
      <c r="A897" s="203">
        <f t="shared" si="19"/>
        <v>895</v>
      </c>
      <c r="B897" s="128"/>
      <c r="C897" s="263"/>
      <c r="D897" s="262"/>
      <c r="E897" s="128"/>
      <c r="F897" s="138" t="s">
        <v>1933</v>
      </c>
      <c r="G897" s="131"/>
      <c r="H897" s="128"/>
      <c r="I897" s="132" t="s">
        <v>30</v>
      </c>
      <c r="J897" s="133">
        <v>2</v>
      </c>
      <c r="K897" s="129">
        <v>4</v>
      </c>
      <c r="L897" s="129">
        <v>11</v>
      </c>
      <c r="M897" s="129" t="s">
        <v>82</v>
      </c>
      <c r="N897" s="129" t="s">
        <v>83</v>
      </c>
      <c r="O897" s="139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40" t="s">
        <v>33</v>
      </c>
    </row>
    <row r="898" spans="1:26" x14ac:dyDescent="0.25">
      <c r="A898" s="203">
        <f t="shared" si="19"/>
        <v>896</v>
      </c>
      <c r="B898" s="128"/>
      <c r="C898" s="263"/>
      <c r="D898" s="262"/>
      <c r="E898" s="128"/>
      <c r="F898" s="138" t="s">
        <v>1933</v>
      </c>
      <c r="G898" s="131"/>
      <c r="H898" s="128"/>
      <c r="I898" s="132" t="s">
        <v>30</v>
      </c>
      <c r="J898" s="133">
        <v>2</v>
      </c>
      <c r="K898" s="129">
        <v>4</v>
      </c>
      <c r="L898" s="129">
        <v>12</v>
      </c>
      <c r="M898" s="129" t="s">
        <v>82</v>
      </c>
      <c r="N898" s="129" t="s">
        <v>83</v>
      </c>
      <c r="O898" s="139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40" t="s">
        <v>33</v>
      </c>
    </row>
    <row r="899" spans="1:26" x14ac:dyDescent="0.25">
      <c r="A899" s="203">
        <f t="shared" si="19"/>
        <v>897</v>
      </c>
      <c r="B899" s="128"/>
      <c r="C899" s="263"/>
      <c r="D899" s="262"/>
      <c r="E899" s="128"/>
      <c r="F899" s="138" t="s">
        <v>1933</v>
      </c>
      <c r="G899" s="131"/>
      <c r="H899" s="128"/>
      <c r="I899" s="132" t="s">
        <v>30</v>
      </c>
      <c r="J899" s="133">
        <v>2</v>
      </c>
      <c r="K899" s="129">
        <v>4</v>
      </c>
      <c r="L899" s="129">
        <v>13</v>
      </c>
      <c r="M899" s="129" t="s">
        <v>82</v>
      </c>
      <c r="N899" s="129" t="s">
        <v>83</v>
      </c>
      <c r="O899" s="139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40" t="s">
        <v>33</v>
      </c>
    </row>
    <row r="900" spans="1:26" x14ac:dyDescent="0.25">
      <c r="A900" s="203">
        <f t="shared" si="19"/>
        <v>898</v>
      </c>
      <c r="B900" s="128"/>
      <c r="C900" s="263"/>
      <c r="D900" s="262"/>
      <c r="E900" s="128"/>
      <c r="F900" s="138" t="s">
        <v>1933</v>
      </c>
      <c r="G900" s="131"/>
      <c r="H900" s="128"/>
      <c r="I900" s="132" t="s">
        <v>30</v>
      </c>
      <c r="J900" s="133">
        <v>2</v>
      </c>
      <c r="K900" s="129">
        <v>4</v>
      </c>
      <c r="L900" s="129">
        <v>14</v>
      </c>
      <c r="M900" s="129" t="s">
        <v>82</v>
      </c>
      <c r="N900" s="129" t="s">
        <v>83</v>
      </c>
      <c r="O900" s="139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40" t="s">
        <v>33</v>
      </c>
    </row>
    <row r="901" spans="1:26" x14ac:dyDescent="0.25">
      <c r="A901" s="203">
        <f t="shared" si="19"/>
        <v>899</v>
      </c>
      <c r="B901" s="128"/>
      <c r="C901" s="263"/>
      <c r="D901" s="262"/>
      <c r="E901" s="128"/>
      <c r="F901" s="138" t="s">
        <v>1933</v>
      </c>
      <c r="G901" s="131"/>
      <c r="H901" s="128"/>
      <c r="I901" s="132" t="s">
        <v>30</v>
      </c>
      <c r="J901" s="133">
        <v>2</v>
      </c>
      <c r="K901" s="129">
        <v>4</v>
      </c>
      <c r="L901" s="129">
        <v>15</v>
      </c>
      <c r="M901" s="129" t="s">
        <v>82</v>
      </c>
      <c r="N901" s="129" t="s">
        <v>83</v>
      </c>
      <c r="O901" s="139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40" t="s">
        <v>33</v>
      </c>
    </row>
    <row r="902" spans="1:26" x14ac:dyDescent="0.25">
      <c r="A902" s="203">
        <f>ROW()-3</f>
        <v>899</v>
      </c>
      <c r="B902" s="128"/>
      <c r="C902" s="263"/>
      <c r="D902" s="263"/>
      <c r="E902" s="128"/>
      <c r="F902" s="138" t="s">
        <v>1933</v>
      </c>
      <c r="G902" s="131"/>
      <c r="H902" s="128"/>
      <c r="I902" s="132" t="s">
        <v>266</v>
      </c>
      <c r="J902" s="133">
        <v>3</v>
      </c>
      <c r="K902" s="129">
        <v>1</v>
      </c>
      <c r="L902" s="129">
        <v>0</v>
      </c>
      <c r="M902" s="131" t="s">
        <v>138</v>
      </c>
      <c r="N902" s="131" t="s">
        <v>139</v>
      </c>
      <c r="O902" s="134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35"/>
    </row>
    <row r="903" spans="1:26" x14ac:dyDescent="0.25">
      <c r="A903" s="203">
        <f t="shared" ref="A903:A934" si="20">ROW()-2</f>
        <v>901</v>
      </c>
      <c r="B903" s="128"/>
      <c r="C903" s="263"/>
      <c r="D903" s="263"/>
      <c r="E903" s="128"/>
      <c r="F903" s="138" t="s">
        <v>1933</v>
      </c>
      <c r="G903" s="131"/>
      <c r="H903" s="128"/>
      <c r="I903" s="132" t="s">
        <v>266</v>
      </c>
      <c r="J903" s="133">
        <v>3</v>
      </c>
      <c r="K903" s="129">
        <v>1</v>
      </c>
      <c r="L903" s="129">
        <v>1</v>
      </c>
      <c r="M903" s="131" t="s">
        <v>138</v>
      </c>
      <c r="N903" s="131" t="s">
        <v>139</v>
      </c>
      <c r="O903" s="134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35"/>
    </row>
    <row r="904" spans="1:26" x14ac:dyDescent="0.25">
      <c r="A904" s="203">
        <f t="shared" si="20"/>
        <v>902</v>
      </c>
      <c r="B904" s="128"/>
      <c r="C904" s="263"/>
      <c r="D904" s="263"/>
      <c r="E904" s="128"/>
      <c r="F904" s="138" t="s">
        <v>1933</v>
      </c>
      <c r="G904" s="131"/>
      <c r="H904" s="128"/>
      <c r="I904" s="132" t="s">
        <v>266</v>
      </c>
      <c r="J904" s="133">
        <v>3</v>
      </c>
      <c r="K904" s="129">
        <v>1</v>
      </c>
      <c r="L904" s="129">
        <v>2</v>
      </c>
      <c r="M904" s="131" t="s">
        <v>138</v>
      </c>
      <c r="N904" s="131" t="s">
        <v>139</v>
      </c>
      <c r="O904" s="134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35"/>
    </row>
    <row r="905" spans="1:26" x14ac:dyDescent="0.25">
      <c r="A905" s="203">
        <f t="shared" si="20"/>
        <v>903</v>
      </c>
      <c r="B905" s="128"/>
      <c r="C905" s="263"/>
      <c r="D905" s="263"/>
      <c r="E905" s="128"/>
      <c r="F905" s="138" t="s">
        <v>1933</v>
      </c>
      <c r="G905" s="131"/>
      <c r="H905" s="128"/>
      <c r="I905" s="132" t="s">
        <v>266</v>
      </c>
      <c r="J905" s="133">
        <v>3</v>
      </c>
      <c r="K905" s="129">
        <v>1</v>
      </c>
      <c r="L905" s="129">
        <v>3</v>
      </c>
      <c r="M905" s="131" t="s">
        <v>138</v>
      </c>
      <c r="N905" s="131" t="s">
        <v>139</v>
      </c>
      <c r="O905" s="134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35"/>
    </row>
    <row r="906" spans="1:26" x14ac:dyDescent="0.25">
      <c r="A906" s="203">
        <f t="shared" si="20"/>
        <v>904</v>
      </c>
      <c r="B906" s="128"/>
      <c r="C906" s="263"/>
      <c r="D906" s="263"/>
      <c r="E906" s="128"/>
      <c r="F906" s="138" t="s">
        <v>1933</v>
      </c>
      <c r="G906" s="131"/>
      <c r="H906" s="128"/>
      <c r="I906" s="132" t="s">
        <v>266</v>
      </c>
      <c r="J906" s="133">
        <v>3</v>
      </c>
      <c r="K906" s="129">
        <v>1</v>
      </c>
      <c r="L906" s="129">
        <v>4</v>
      </c>
      <c r="M906" s="131" t="s">
        <v>138</v>
      </c>
      <c r="N906" s="131" t="s">
        <v>139</v>
      </c>
      <c r="O906" s="134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35"/>
    </row>
    <row r="907" spans="1:26" x14ac:dyDescent="0.25">
      <c r="A907" s="203">
        <f t="shared" si="20"/>
        <v>905</v>
      </c>
      <c r="B907" s="128"/>
      <c r="C907" s="263"/>
      <c r="D907" s="263"/>
      <c r="E907" s="128"/>
      <c r="F907" s="138" t="s">
        <v>1933</v>
      </c>
      <c r="G907" s="131"/>
      <c r="H907" s="128"/>
      <c r="I907" s="132" t="s">
        <v>266</v>
      </c>
      <c r="J907" s="133">
        <v>3</v>
      </c>
      <c r="K907" s="129">
        <v>1</v>
      </c>
      <c r="L907" s="129">
        <v>5</v>
      </c>
      <c r="M907" s="131" t="s">
        <v>138</v>
      </c>
      <c r="N907" s="131" t="s">
        <v>139</v>
      </c>
      <c r="O907" s="134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35"/>
    </row>
    <row r="908" spans="1:26" x14ac:dyDescent="0.25">
      <c r="A908" s="203">
        <f t="shared" si="20"/>
        <v>906</v>
      </c>
      <c r="B908" s="128"/>
      <c r="C908" s="263"/>
      <c r="D908" s="263"/>
      <c r="E908" s="128"/>
      <c r="F908" s="138" t="s">
        <v>1933</v>
      </c>
      <c r="G908" s="131"/>
      <c r="H908" s="128"/>
      <c r="I908" s="132" t="s">
        <v>266</v>
      </c>
      <c r="J908" s="133">
        <v>3</v>
      </c>
      <c r="K908" s="129">
        <v>1</v>
      </c>
      <c r="L908" s="129">
        <v>6</v>
      </c>
      <c r="M908" s="131" t="s">
        <v>138</v>
      </c>
      <c r="N908" s="131" t="s">
        <v>139</v>
      </c>
      <c r="O908" s="134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35"/>
    </row>
    <row r="909" spans="1:26" s="136" customFormat="1" x14ac:dyDescent="0.25">
      <c r="A909" s="203">
        <f t="shared" si="20"/>
        <v>907</v>
      </c>
      <c r="B909" s="128"/>
      <c r="C909" s="263"/>
      <c r="D909" s="263"/>
      <c r="E909" s="128"/>
      <c r="F909" s="138" t="s">
        <v>1933</v>
      </c>
      <c r="G909" s="131"/>
      <c r="H909" s="128"/>
      <c r="I909" s="132" t="s">
        <v>266</v>
      </c>
      <c r="J909" s="133">
        <v>3</v>
      </c>
      <c r="K909" s="129">
        <v>1</v>
      </c>
      <c r="L909" s="129">
        <v>7</v>
      </c>
      <c r="M909" s="131" t="s">
        <v>138</v>
      </c>
      <c r="N909" s="131" t="s">
        <v>139</v>
      </c>
      <c r="O909" s="134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35"/>
    </row>
    <row r="910" spans="1:26" s="136" customFormat="1" x14ac:dyDescent="0.25">
      <c r="A910" s="203">
        <f t="shared" si="20"/>
        <v>908</v>
      </c>
      <c r="B910" s="128"/>
      <c r="C910" s="263"/>
      <c r="D910" s="262"/>
      <c r="E910" s="128"/>
      <c r="F910" s="138" t="s">
        <v>1935</v>
      </c>
      <c r="G910" s="131"/>
      <c r="H910" s="128"/>
      <c r="I910" s="132" t="s">
        <v>266</v>
      </c>
      <c r="J910" s="133">
        <v>3</v>
      </c>
      <c r="K910" s="129">
        <v>2</v>
      </c>
      <c r="L910" s="129">
        <v>0</v>
      </c>
      <c r="M910" s="129" t="s">
        <v>1936</v>
      </c>
      <c r="N910" s="129" t="s">
        <v>295</v>
      </c>
      <c r="O910" s="139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40"/>
    </row>
    <row r="911" spans="1:26" x14ac:dyDescent="0.25">
      <c r="A911" s="203">
        <f t="shared" si="20"/>
        <v>909</v>
      </c>
      <c r="B911" s="128"/>
      <c r="C911" s="263"/>
      <c r="D911" s="262"/>
      <c r="E911" s="128"/>
      <c r="F911" s="141" t="s">
        <v>1933</v>
      </c>
      <c r="G911" s="131"/>
      <c r="H911" s="128"/>
      <c r="I911" s="132" t="s">
        <v>266</v>
      </c>
      <c r="J911" s="133">
        <v>3</v>
      </c>
      <c r="K911" s="129">
        <v>3</v>
      </c>
      <c r="L911" s="129">
        <v>10</v>
      </c>
      <c r="M911" s="131" t="s">
        <v>31</v>
      </c>
      <c r="N911" s="131" t="s">
        <v>139</v>
      </c>
      <c r="O911" s="134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35"/>
    </row>
    <row r="912" spans="1:26" x14ac:dyDescent="0.25">
      <c r="A912" s="203">
        <f t="shared" si="20"/>
        <v>910</v>
      </c>
      <c r="B912" s="128"/>
      <c r="C912" s="263"/>
      <c r="D912" s="262"/>
      <c r="E912" s="128"/>
      <c r="F912" s="138" t="s">
        <v>1933</v>
      </c>
      <c r="G912" s="131"/>
      <c r="H912" s="128"/>
      <c r="I912" s="132" t="s">
        <v>266</v>
      </c>
      <c r="J912" s="133">
        <v>3</v>
      </c>
      <c r="K912" s="129">
        <v>3</v>
      </c>
      <c r="L912" s="129">
        <v>11</v>
      </c>
      <c r="M912" s="131" t="s">
        <v>31</v>
      </c>
      <c r="N912" s="131" t="s">
        <v>139</v>
      </c>
      <c r="O912" s="134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35"/>
    </row>
    <row r="913" spans="1:26" s="136" customFormat="1" x14ac:dyDescent="0.25">
      <c r="A913" s="203">
        <f t="shared" si="20"/>
        <v>911</v>
      </c>
      <c r="B913" s="128"/>
      <c r="C913" s="263"/>
      <c r="D913" s="262"/>
      <c r="E913" s="128"/>
      <c r="F913" s="138" t="s">
        <v>1933</v>
      </c>
      <c r="G913" s="131"/>
      <c r="H913" s="128"/>
      <c r="I913" s="132" t="s">
        <v>266</v>
      </c>
      <c r="J913" s="133">
        <v>3</v>
      </c>
      <c r="K913" s="129">
        <v>3</v>
      </c>
      <c r="L913" s="129">
        <v>12</v>
      </c>
      <c r="M913" s="131" t="s">
        <v>31</v>
      </c>
      <c r="N913" s="131" t="s">
        <v>139</v>
      </c>
      <c r="O913" s="134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35"/>
    </row>
    <row r="914" spans="1:26" s="136" customFormat="1" x14ac:dyDescent="0.25">
      <c r="A914" s="203">
        <f t="shared" si="20"/>
        <v>912</v>
      </c>
      <c r="B914" s="128"/>
      <c r="C914" s="263"/>
      <c r="D914" s="262"/>
      <c r="E914" s="128"/>
      <c r="F914" s="138" t="s">
        <v>1933</v>
      </c>
      <c r="G914" s="131"/>
      <c r="H914" s="128"/>
      <c r="I914" s="132" t="s">
        <v>266</v>
      </c>
      <c r="J914" s="133">
        <v>3</v>
      </c>
      <c r="K914" s="129">
        <v>3</v>
      </c>
      <c r="L914" s="129">
        <v>13</v>
      </c>
      <c r="M914" s="131" t="s">
        <v>31</v>
      </c>
      <c r="N914" s="131" t="s">
        <v>139</v>
      </c>
      <c r="O914" s="134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35"/>
    </row>
    <row r="915" spans="1:26" x14ac:dyDescent="0.25">
      <c r="A915" s="203">
        <f t="shared" si="20"/>
        <v>913</v>
      </c>
      <c r="B915" s="128"/>
      <c r="C915" s="263"/>
      <c r="D915" s="262"/>
      <c r="E915" s="128"/>
      <c r="F915" s="138" t="s">
        <v>1933</v>
      </c>
      <c r="G915" s="131"/>
      <c r="H915" s="128"/>
      <c r="I915" s="132" t="s">
        <v>266</v>
      </c>
      <c r="J915" s="133">
        <v>3</v>
      </c>
      <c r="K915" s="129">
        <v>3</v>
      </c>
      <c r="L915" s="129">
        <v>14</v>
      </c>
      <c r="M915" s="131" t="s">
        <v>31</v>
      </c>
      <c r="N915" s="131" t="s">
        <v>139</v>
      </c>
      <c r="O915" s="134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35"/>
    </row>
    <row r="916" spans="1:26" x14ac:dyDescent="0.25">
      <c r="A916" s="203">
        <f t="shared" si="20"/>
        <v>914</v>
      </c>
      <c r="B916" s="128"/>
      <c r="C916" s="263"/>
      <c r="D916" s="262"/>
      <c r="E916" s="128"/>
      <c r="F916" s="138" t="s">
        <v>1933</v>
      </c>
      <c r="G916" s="131"/>
      <c r="H916" s="128"/>
      <c r="I916" s="132" t="s">
        <v>266</v>
      </c>
      <c r="J916" s="133">
        <v>3</v>
      </c>
      <c r="K916" s="129">
        <v>3</v>
      </c>
      <c r="L916" s="129">
        <v>15</v>
      </c>
      <c r="M916" s="131" t="s">
        <v>31</v>
      </c>
      <c r="N916" s="131" t="s">
        <v>139</v>
      </c>
      <c r="O916" s="134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35"/>
    </row>
    <row r="917" spans="1:26" x14ac:dyDescent="0.25">
      <c r="A917" s="203">
        <f t="shared" si="20"/>
        <v>915</v>
      </c>
      <c r="B917" s="128"/>
      <c r="C917" s="263"/>
      <c r="D917" s="264"/>
      <c r="E917" s="133"/>
      <c r="F917" s="138" t="s">
        <v>1933</v>
      </c>
      <c r="G917" s="131"/>
      <c r="H917" s="128"/>
      <c r="I917" s="132" t="s">
        <v>266</v>
      </c>
      <c r="J917" s="133">
        <v>3</v>
      </c>
      <c r="K917" s="129">
        <v>4</v>
      </c>
      <c r="L917" s="129">
        <v>12</v>
      </c>
      <c r="M917" s="131" t="s">
        <v>82</v>
      </c>
      <c r="N917" s="129" t="s">
        <v>32</v>
      </c>
      <c r="O917" s="139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40"/>
    </row>
    <row r="918" spans="1:26" x14ac:dyDescent="0.25">
      <c r="A918" s="203">
        <f t="shared" si="20"/>
        <v>916</v>
      </c>
      <c r="B918" s="128"/>
      <c r="C918" s="263"/>
      <c r="D918" s="264"/>
      <c r="E918" s="133"/>
      <c r="F918" s="138" t="s">
        <v>1933</v>
      </c>
      <c r="G918" s="131"/>
      <c r="H918" s="128"/>
      <c r="I918" s="132" t="s">
        <v>266</v>
      </c>
      <c r="J918" s="133">
        <v>3</v>
      </c>
      <c r="K918" s="129">
        <v>4</v>
      </c>
      <c r="L918" s="129">
        <v>13</v>
      </c>
      <c r="M918" s="131" t="s">
        <v>82</v>
      </c>
      <c r="N918" s="129" t="s">
        <v>32</v>
      </c>
      <c r="O918" s="139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40"/>
    </row>
    <row r="919" spans="1:26" x14ac:dyDescent="0.25">
      <c r="A919" s="203">
        <f t="shared" si="20"/>
        <v>917</v>
      </c>
      <c r="B919" s="128"/>
      <c r="C919" s="263"/>
      <c r="D919" s="264"/>
      <c r="E919" s="133"/>
      <c r="F919" s="138" t="s">
        <v>1933</v>
      </c>
      <c r="G919" s="142"/>
      <c r="H919" s="133"/>
      <c r="I919" s="132" t="s">
        <v>266</v>
      </c>
      <c r="J919" s="133">
        <v>3</v>
      </c>
      <c r="K919" s="129">
        <v>4</v>
      </c>
      <c r="L919" s="129">
        <v>14</v>
      </c>
      <c r="M919" s="131" t="s">
        <v>82</v>
      </c>
      <c r="N919" s="129" t="s">
        <v>32</v>
      </c>
      <c r="O919" s="139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40"/>
    </row>
    <row r="920" spans="1:26" x14ac:dyDescent="0.25">
      <c r="A920" s="203">
        <f t="shared" si="20"/>
        <v>918</v>
      </c>
      <c r="B920" s="128"/>
      <c r="C920" s="263"/>
      <c r="D920" s="264"/>
      <c r="E920" s="133"/>
      <c r="F920" s="138" t="s">
        <v>1933</v>
      </c>
      <c r="G920" s="142"/>
      <c r="H920" s="133"/>
      <c r="I920" s="132" t="s">
        <v>266</v>
      </c>
      <c r="J920" s="133">
        <v>3</v>
      </c>
      <c r="K920" s="129">
        <v>4</v>
      </c>
      <c r="L920" s="129">
        <v>15</v>
      </c>
      <c r="M920" s="131" t="s">
        <v>82</v>
      </c>
      <c r="N920" s="129" t="s">
        <v>32</v>
      </c>
      <c r="O920" s="139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40"/>
    </row>
    <row r="921" spans="1:26" x14ac:dyDescent="0.25">
      <c r="A921" s="203">
        <f t="shared" si="20"/>
        <v>919</v>
      </c>
      <c r="B921" s="128" t="s">
        <v>345</v>
      </c>
      <c r="C921" s="263"/>
      <c r="D921" s="263"/>
      <c r="E921" s="128"/>
      <c r="F921" s="138" t="s">
        <v>1933</v>
      </c>
      <c r="G921" s="131"/>
      <c r="H921" s="128"/>
      <c r="I921" s="132" t="s">
        <v>326</v>
      </c>
      <c r="J921" s="133">
        <v>4</v>
      </c>
      <c r="K921" s="129">
        <v>2</v>
      </c>
      <c r="L921" s="129">
        <v>6</v>
      </c>
      <c r="M921" s="131" t="s">
        <v>138</v>
      </c>
      <c r="N921" s="131" t="s">
        <v>139</v>
      </c>
      <c r="O921" s="134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35"/>
    </row>
    <row r="922" spans="1:26" x14ac:dyDescent="0.25">
      <c r="A922" s="203">
        <f t="shared" si="20"/>
        <v>920</v>
      </c>
      <c r="B922" s="128" t="s">
        <v>345</v>
      </c>
      <c r="C922" s="263"/>
      <c r="D922" s="263"/>
      <c r="E922" s="128"/>
      <c r="F922" s="138" t="s">
        <v>1933</v>
      </c>
      <c r="G922" s="131"/>
      <c r="H922" s="128"/>
      <c r="I922" s="132" t="s">
        <v>326</v>
      </c>
      <c r="J922" s="133">
        <v>4</v>
      </c>
      <c r="K922" s="129">
        <v>2</v>
      </c>
      <c r="L922" s="129">
        <v>7</v>
      </c>
      <c r="M922" s="131" t="s">
        <v>138</v>
      </c>
      <c r="N922" s="131" t="s">
        <v>139</v>
      </c>
      <c r="O922" s="134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35"/>
    </row>
    <row r="923" spans="1:26" x14ac:dyDescent="0.25">
      <c r="A923" s="203">
        <f t="shared" si="20"/>
        <v>921</v>
      </c>
      <c r="B923" s="128"/>
      <c r="C923" s="263"/>
      <c r="D923" s="262"/>
      <c r="E923" s="128"/>
      <c r="F923" s="138" t="s">
        <v>1933</v>
      </c>
      <c r="G923" s="131"/>
      <c r="H923" s="128"/>
      <c r="I923" s="132" t="s">
        <v>326</v>
      </c>
      <c r="J923" s="133">
        <v>4</v>
      </c>
      <c r="K923" s="129">
        <v>3</v>
      </c>
      <c r="L923" s="129">
        <v>0</v>
      </c>
      <c r="M923" s="131" t="s">
        <v>138</v>
      </c>
      <c r="N923" s="131" t="s">
        <v>139</v>
      </c>
      <c r="O923" s="134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35"/>
    </row>
    <row r="924" spans="1:26" x14ac:dyDescent="0.25">
      <c r="A924" s="203">
        <f t="shared" si="20"/>
        <v>922</v>
      </c>
      <c r="B924" s="128"/>
      <c r="C924" s="263"/>
      <c r="D924" s="262"/>
      <c r="E924" s="128"/>
      <c r="F924" s="138" t="s">
        <v>1933</v>
      </c>
      <c r="G924" s="131"/>
      <c r="H924" s="128"/>
      <c r="I924" s="132" t="s">
        <v>326</v>
      </c>
      <c r="J924" s="133">
        <v>4</v>
      </c>
      <c r="K924" s="129">
        <v>3</v>
      </c>
      <c r="L924" s="129">
        <v>1</v>
      </c>
      <c r="M924" s="131" t="s">
        <v>138</v>
      </c>
      <c r="N924" s="131" t="s">
        <v>139</v>
      </c>
      <c r="O924" s="134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35"/>
    </row>
    <row r="925" spans="1:26" x14ac:dyDescent="0.25">
      <c r="A925" s="203">
        <f t="shared" si="20"/>
        <v>923</v>
      </c>
      <c r="B925" s="128"/>
      <c r="C925" s="263"/>
      <c r="D925" s="262"/>
      <c r="E925" s="128"/>
      <c r="F925" s="138" t="s">
        <v>1933</v>
      </c>
      <c r="G925" s="131"/>
      <c r="H925" s="128"/>
      <c r="I925" s="132" t="s">
        <v>326</v>
      </c>
      <c r="J925" s="133">
        <v>4</v>
      </c>
      <c r="K925" s="129">
        <v>3</v>
      </c>
      <c r="L925" s="129">
        <v>2</v>
      </c>
      <c r="M925" s="131" t="s">
        <v>138</v>
      </c>
      <c r="N925" s="131" t="s">
        <v>139</v>
      </c>
      <c r="O925" s="134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35"/>
    </row>
    <row r="926" spans="1:26" x14ac:dyDescent="0.25">
      <c r="A926" s="203">
        <f t="shared" si="20"/>
        <v>924</v>
      </c>
      <c r="B926" s="128"/>
      <c r="C926" s="263"/>
      <c r="D926" s="262"/>
      <c r="E926" s="128"/>
      <c r="F926" s="138" t="s">
        <v>1933</v>
      </c>
      <c r="G926" s="131"/>
      <c r="H926" s="128"/>
      <c r="I926" s="132" t="s">
        <v>326</v>
      </c>
      <c r="J926" s="133">
        <v>4</v>
      </c>
      <c r="K926" s="129">
        <v>3</v>
      </c>
      <c r="L926" s="129">
        <v>3</v>
      </c>
      <c r="M926" s="131" t="s">
        <v>138</v>
      </c>
      <c r="N926" s="131" t="s">
        <v>139</v>
      </c>
      <c r="O926" s="134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35"/>
    </row>
    <row r="927" spans="1:26" x14ac:dyDescent="0.25">
      <c r="A927" s="203">
        <f t="shared" si="20"/>
        <v>925</v>
      </c>
      <c r="B927" s="128"/>
      <c r="C927" s="263"/>
      <c r="D927" s="262"/>
      <c r="E927" s="128"/>
      <c r="F927" s="138" t="s">
        <v>1933</v>
      </c>
      <c r="G927" s="131"/>
      <c r="H927" s="128"/>
      <c r="I927" s="132" t="s">
        <v>326</v>
      </c>
      <c r="J927" s="133">
        <v>4</v>
      </c>
      <c r="K927" s="129">
        <v>3</v>
      </c>
      <c r="L927" s="129">
        <v>4</v>
      </c>
      <c r="M927" s="131" t="s">
        <v>138</v>
      </c>
      <c r="N927" s="131" t="s">
        <v>139</v>
      </c>
      <c r="O927" s="134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35"/>
    </row>
    <row r="928" spans="1:26" x14ac:dyDescent="0.25">
      <c r="A928" s="203">
        <f t="shared" si="20"/>
        <v>926</v>
      </c>
      <c r="B928" s="128"/>
      <c r="C928" s="263"/>
      <c r="D928" s="262"/>
      <c r="E928" s="128"/>
      <c r="F928" s="138" t="s">
        <v>1933</v>
      </c>
      <c r="G928" s="131"/>
      <c r="H928" s="128"/>
      <c r="I928" s="132" t="s">
        <v>326</v>
      </c>
      <c r="J928" s="133">
        <v>4</v>
      </c>
      <c r="K928" s="129">
        <v>3</v>
      </c>
      <c r="L928" s="129">
        <v>5</v>
      </c>
      <c r="M928" s="131" t="s">
        <v>138</v>
      </c>
      <c r="N928" s="131" t="s">
        <v>139</v>
      </c>
      <c r="O928" s="134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35"/>
    </row>
    <row r="929" spans="1:26" x14ac:dyDescent="0.25">
      <c r="A929" s="203">
        <f t="shared" si="20"/>
        <v>927</v>
      </c>
      <c r="B929" s="128"/>
      <c r="C929" s="263"/>
      <c r="D929" s="262"/>
      <c r="E929" s="128"/>
      <c r="F929" s="138" t="s">
        <v>1933</v>
      </c>
      <c r="G929" s="131"/>
      <c r="H929" s="128"/>
      <c r="I929" s="132" t="s">
        <v>326</v>
      </c>
      <c r="J929" s="133">
        <v>4</v>
      </c>
      <c r="K929" s="129">
        <v>3</v>
      </c>
      <c r="L929" s="129">
        <v>6</v>
      </c>
      <c r="M929" s="131" t="s">
        <v>138</v>
      </c>
      <c r="N929" s="131" t="s">
        <v>139</v>
      </c>
      <c r="O929" s="134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35"/>
    </row>
    <row r="930" spans="1:26" x14ac:dyDescent="0.25">
      <c r="A930" s="203">
        <f t="shared" si="20"/>
        <v>928</v>
      </c>
      <c r="B930" s="128"/>
      <c r="C930" s="263"/>
      <c r="D930" s="262"/>
      <c r="E930" s="128"/>
      <c r="F930" s="138" t="s">
        <v>1933</v>
      </c>
      <c r="G930" s="131"/>
      <c r="H930" s="128"/>
      <c r="I930" s="132" t="s">
        <v>326</v>
      </c>
      <c r="J930" s="133">
        <v>4</v>
      </c>
      <c r="K930" s="129">
        <v>3</v>
      </c>
      <c r="L930" s="129">
        <v>7</v>
      </c>
      <c r="M930" s="131" t="s">
        <v>138</v>
      </c>
      <c r="N930" s="131" t="s">
        <v>139</v>
      </c>
      <c r="O930" s="134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35"/>
    </row>
    <row r="931" spans="1:26" x14ac:dyDescent="0.25">
      <c r="A931" s="203">
        <f t="shared" si="20"/>
        <v>929</v>
      </c>
      <c r="B931" s="128"/>
      <c r="C931" s="263"/>
      <c r="D931" s="262"/>
      <c r="E931" s="128"/>
      <c r="F931" s="138" t="s">
        <v>1935</v>
      </c>
      <c r="G931" s="131"/>
      <c r="H931" s="128"/>
      <c r="I931" s="132" t="s">
        <v>326</v>
      </c>
      <c r="J931" s="133">
        <v>4</v>
      </c>
      <c r="K931" s="129">
        <v>4</v>
      </c>
      <c r="L931" s="129">
        <v>0</v>
      </c>
      <c r="M931" s="129" t="s">
        <v>1936</v>
      </c>
      <c r="N931" s="129" t="s">
        <v>295</v>
      </c>
      <c r="O931" s="139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40"/>
    </row>
    <row r="932" spans="1:26" x14ac:dyDescent="0.25">
      <c r="A932" s="203">
        <f t="shared" si="20"/>
        <v>930</v>
      </c>
      <c r="B932" s="128" t="s">
        <v>262</v>
      </c>
      <c r="C932" s="263"/>
      <c r="D932" s="264"/>
      <c r="E932" s="133"/>
      <c r="F932" s="141" t="s">
        <v>1933</v>
      </c>
      <c r="G932" s="131"/>
      <c r="H932" s="128"/>
      <c r="I932" s="132" t="s">
        <v>326</v>
      </c>
      <c r="J932" s="133">
        <v>4</v>
      </c>
      <c r="K932" s="129">
        <v>5</v>
      </c>
      <c r="L932" s="129">
        <v>0</v>
      </c>
      <c r="M932" s="131" t="s">
        <v>31</v>
      </c>
      <c r="N932" s="129" t="s">
        <v>32</v>
      </c>
      <c r="O932" s="139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40"/>
    </row>
    <row r="933" spans="1:26" x14ac:dyDescent="0.25">
      <c r="A933" s="203">
        <f t="shared" si="20"/>
        <v>931</v>
      </c>
      <c r="B933" s="128" t="s">
        <v>267</v>
      </c>
      <c r="C933" s="263"/>
      <c r="D933" s="264"/>
      <c r="E933" s="133"/>
      <c r="F933" s="141" t="s">
        <v>1933</v>
      </c>
      <c r="G933" s="131"/>
      <c r="H933" s="128"/>
      <c r="I933" s="132" t="s">
        <v>326</v>
      </c>
      <c r="J933" s="133">
        <v>4</v>
      </c>
      <c r="K933" s="129">
        <v>5</v>
      </c>
      <c r="L933" s="129">
        <v>1</v>
      </c>
      <c r="M933" s="131" t="s">
        <v>31</v>
      </c>
      <c r="N933" s="129" t="s">
        <v>32</v>
      </c>
      <c r="O933" s="139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40"/>
    </row>
    <row r="934" spans="1:26" x14ac:dyDescent="0.25">
      <c r="A934" s="203">
        <f t="shared" si="20"/>
        <v>932</v>
      </c>
      <c r="B934" s="128" t="s">
        <v>270</v>
      </c>
      <c r="C934" s="263"/>
      <c r="D934" s="264"/>
      <c r="E934" s="133"/>
      <c r="F934" s="141" t="s">
        <v>1933</v>
      </c>
      <c r="G934" s="131"/>
      <c r="H934" s="128"/>
      <c r="I934" s="132" t="s">
        <v>326</v>
      </c>
      <c r="J934" s="133">
        <v>4</v>
      </c>
      <c r="K934" s="129">
        <v>5</v>
      </c>
      <c r="L934" s="129">
        <v>2</v>
      </c>
      <c r="M934" s="131" t="s">
        <v>31</v>
      </c>
      <c r="N934" s="129" t="s">
        <v>32</v>
      </c>
      <c r="O934" s="139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40"/>
    </row>
    <row r="935" spans="1:26" x14ac:dyDescent="0.25">
      <c r="A935" s="203">
        <f t="shared" ref="A935:A966" si="21">ROW()-2</f>
        <v>933</v>
      </c>
      <c r="B935" s="128" t="s">
        <v>273</v>
      </c>
      <c r="C935" s="263"/>
      <c r="D935" s="264"/>
      <c r="E935" s="133"/>
      <c r="F935" s="141" t="s">
        <v>1933</v>
      </c>
      <c r="G935" s="131"/>
      <c r="H935" s="128"/>
      <c r="I935" s="132" t="s">
        <v>326</v>
      </c>
      <c r="J935" s="133">
        <v>4</v>
      </c>
      <c r="K935" s="129">
        <v>5</v>
      </c>
      <c r="L935" s="129">
        <v>3</v>
      </c>
      <c r="M935" s="131" t="s">
        <v>31</v>
      </c>
      <c r="N935" s="129" t="s">
        <v>32</v>
      </c>
      <c r="O935" s="139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40"/>
    </row>
    <row r="936" spans="1:26" x14ac:dyDescent="0.25">
      <c r="A936" s="203">
        <f t="shared" si="21"/>
        <v>934</v>
      </c>
      <c r="B936" s="128" t="s">
        <v>276</v>
      </c>
      <c r="C936" s="263"/>
      <c r="D936" s="264"/>
      <c r="E936" s="133"/>
      <c r="F936" s="141" t="s">
        <v>1933</v>
      </c>
      <c r="G936" s="131"/>
      <c r="H936" s="128"/>
      <c r="I936" s="132" t="s">
        <v>326</v>
      </c>
      <c r="J936" s="133">
        <v>4</v>
      </c>
      <c r="K936" s="129">
        <v>5</v>
      </c>
      <c r="L936" s="129">
        <v>4</v>
      </c>
      <c r="M936" s="131" t="s">
        <v>31</v>
      </c>
      <c r="N936" s="129" t="s">
        <v>32</v>
      </c>
      <c r="O936" s="139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40"/>
    </row>
    <row r="937" spans="1:26" x14ac:dyDescent="0.25">
      <c r="A937" s="203">
        <f t="shared" si="21"/>
        <v>935</v>
      </c>
      <c r="B937" s="128" t="s">
        <v>279</v>
      </c>
      <c r="C937" s="263"/>
      <c r="D937" s="264"/>
      <c r="E937" s="133"/>
      <c r="F937" s="141" t="s">
        <v>1933</v>
      </c>
      <c r="G937" s="142"/>
      <c r="H937" s="133"/>
      <c r="I937" s="132" t="s">
        <v>326</v>
      </c>
      <c r="J937" s="133">
        <v>4</v>
      </c>
      <c r="K937" s="129">
        <v>5</v>
      </c>
      <c r="L937" s="129">
        <v>5</v>
      </c>
      <c r="M937" s="131" t="s">
        <v>31</v>
      </c>
      <c r="N937" s="129" t="s">
        <v>32</v>
      </c>
      <c r="O937" s="139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40"/>
    </row>
    <row r="938" spans="1:26" x14ac:dyDescent="0.25">
      <c r="A938" s="203">
        <f t="shared" si="21"/>
        <v>936</v>
      </c>
      <c r="B938" s="128" t="s">
        <v>282</v>
      </c>
      <c r="C938" s="263"/>
      <c r="D938" s="264"/>
      <c r="E938" s="133"/>
      <c r="F938" s="141" t="s">
        <v>1933</v>
      </c>
      <c r="G938" s="142"/>
      <c r="H938" s="133"/>
      <c r="I938" s="132" t="s">
        <v>326</v>
      </c>
      <c r="J938" s="133">
        <v>4</v>
      </c>
      <c r="K938" s="129">
        <v>5</v>
      </c>
      <c r="L938" s="129">
        <v>6</v>
      </c>
      <c r="M938" s="131" t="s">
        <v>31</v>
      </c>
      <c r="N938" s="129" t="s">
        <v>32</v>
      </c>
      <c r="O938" s="139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40"/>
    </row>
    <row r="939" spans="1:26" x14ac:dyDescent="0.25">
      <c r="A939" s="203">
        <f t="shared" si="21"/>
        <v>937</v>
      </c>
      <c r="B939" s="128" t="s">
        <v>284</v>
      </c>
      <c r="C939" s="263"/>
      <c r="D939" s="264"/>
      <c r="E939" s="133"/>
      <c r="F939" s="141" t="s">
        <v>1933</v>
      </c>
      <c r="G939" s="142"/>
      <c r="H939" s="133"/>
      <c r="I939" s="132" t="s">
        <v>326</v>
      </c>
      <c r="J939" s="133">
        <v>4</v>
      </c>
      <c r="K939" s="129">
        <v>5</v>
      </c>
      <c r="L939" s="129">
        <v>7</v>
      </c>
      <c r="M939" s="131" t="s">
        <v>31</v>
      </c>
      <c r="N939" s="129" t="s">
        <v>32</v>
      </c>
      <c r="O939" s="139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40"/>
    </row>
    <row r="940" spans="1:26" x14ac:dyDescent="0.25">
      <c r="A940" s="203">
        <f t="shared" si="21"/>
        <v>938</v>
      </c>
      <c r="B940" s="128"/>
      <c r="C940" s="263"/>
      <c r="D940" s="264"/>
      <c r="E940" s="133"/>
      <c r="F940" s="141" t="s">
        <v>1933</v>
      </c>
      <c r="G940" s="142"/>
      <c r="H940" s="133"/>
      <c r="I940" s="132" t="s">
        <v>326</v>
      </c>
      <c r="J940" s="133">
        <v>4</v>
      </c>
      <c r="K940" s="129">
        <v>5</v>
      </c>
      <c r="L940" s="129">
        <v>8</v>
      </c>
      <c r="M940" s="131" t="s">
        <v>31</v>
      </c>
      <c r="N940" s="129" t="s">
        <v>32</v>
      </c>
      <c r="O940" s="139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43"/>
    </row>
    <row r="941" spans="1:26" x14ac:dyDescent="0.25">
      <c r="A941" s="203">
        <f t="shared" si="21"/>
        <v>939</v>
      </c>
      <c r="B941" s="128"/>
      <c r="C941" s="263"/>
      <c r="D941" s="264"/>
      <c r="E941" s="133"/>
      <c r="F941" s="141" t="s">
        <v>1933</v>
      </c>
      <c r="G941" s="142"/>
      <c r="H941" s="133"/>
      <c r="I941" s="132" t="s">
        <v>326</v>
      </c>
      <c r="J941" s="133">
        <v>4</v>
      </c>
      <c r="K941" s="129">
        <v>5</v>
      </c>
      <c r="L941" s="129">
        <v>9</v>
      </c>
      <c r="M941" s="131" t="s">
        <v>31</v>
      </c>
      <c r="N941" s="129" t="s">
        <v>32</v>
      </c>
      <c r="O941" s="139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40"/>
    </row>
    <row r="942" spans="1:26" x14ac:dyDescent="0.25">
      <c r="A942" s="203">
        <f t="shared" si="21"/>
        <v>940</v>
      </c>
      <c r="B942" s="128"/>
      <c r="C942" s="263"/>
      <c r="D942" s="264"/>
      <c r="E942" s="133"/>
      <c r="F942" s="141" t="s">
        <v>1933</v>
      </c>
      <c r="G942" s="142"/>
      <c r="H942" s="133"/>
      <c r="I942" s="132" t="s">
        <v>326</v>
      </c>
      <c r="J942" s="133">
        <v>4</v>
      </c>
      <c r="K942" s="129">
        <v>5</v>
      </c>
      <c r="L942" s="129">
        <v>10</v>
      </c>
      <c r="M942" s="131" t="s">
        <v>31</v>
      </c>
      <c r="N942" s="129" t="s">
        <v>32</v>
      </c>
      <c r="O942" s="139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40"/>
    </row>
    <row r="943" spans="1:26" x14ac:dyDescent="0.25">
      <c r="A943" s="203">
        <f t="shared" si="21"/>
        <v>941</v>
      </c>
      <c r="B943" s="128"/>
      <c r="C943" s="263"/>
      <c r="D943" s="262"/>
      <c r="E943" s="128"/>
      <c r="F943" s="138" t="s">
        <v>1933</v>
      </c>
      <c r="G943" s="131"/>
      <c r="H943" s="128"/>
      <c r="I943" s="132" t="s">
        <v>326</v>
      </c>
      <c r="J943" s="133">
        <v>4</v>
      </c>
      <c r="K943" s="129">
        <v>5</v>
      </c>
      <c r="L943" s="129">
        <v>11</v>
      </c>
      <c r="M943" s="131" t="s">
        <v>31</v>
      </c>
      <c r="N943" s="129" t="s">
        <v>32</v>
      </c>
      <c r="O943" s="139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40"/>
    </row>
    <row r="944" spans="1:26" x14ac:dyDescent="0.25">
      <c r="A944" s="203">
        <f t="shared" si="21"/>
        <v>942</v>
      </c>
      <c r="B944" s="128"/>
      <c r="C944" s="263"/>
      <c r="D944" s="262"/>
      <c r="E944" s="128"/>
      <c r="F944" s="138" t="s">
        <v>1933</v>
      </c>
      <c r="G944" s="131"/>
      <c r="H944" s="128"/>
      <c r="I944" s="132" t="s">
        <v>326</v>
      </c>
      <c r="J944" s="133">
        <v>4</v>
      </c>
      <c r="K944" s="129">
        <v>5</v>
      </c>
      <c r="L944" s="129">
        <v>12</v>
      </c>
      <c r="M944" s="131" t="s">
        <v>31</v>
      </c>
      <c r="N944" s="129" t="s">
        <v>32</v>
      </c>
      <c r="O944" s="139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40"/>
    </row>
    <row r="945" spans="1:26" x14ac:dyDescent="0.25">
      <c r="A945" s="203">
        <f t="shared" si="21"/>
        <v>943</v>
      </c>
      <c r="B945" s="128"/>
      <c r="C945" s="263"/>
      <c r="D945" s="262"/>
      <c r="E945" s="128"/>
      <c r="F945" s="138" t="s">
        <v>1933</v>
      </c>
      <c r="G945" s="131"/>
      <c r="H945" s="128"/>
      <c r="I945" s="132" t="s">
        <v>326</v>
      </c>
      <c r="J945" s="133">
        <v>4</v>
      </c>
      <c r="K945" s="129">
        <v>5</v>
      </c>
      <c r="L945" s="129">
        <v>13</v>
      </c>
      <c r="M945" s="131" t="s">
        <v>31</v>
      </c>
      <c r="N945" s="129" t="s">
        <v>32</v>
      </c>
      <c r="O945" s="139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40"/>
    </row>
    <row r="946" spans="1:26" x14ac:dyDescent="0.25">
      <c r="A946" s="203">
        <f t="shared" si="21"/>
        <v>944</v>
      </c>
      <c r="B946" s="128"/>
      <c r="C946" s="263"/>
      <c r="D946" s="262"/>
      <c r="E946" s="128"/>
      <c r="F946" s="138" t="s">
        <v>1933</v>
      </c>
      <c r="G946" s="131"/>
      <c r="H946" s="128"/>
      <c r="I946" s="132" t="s">
        <v>326</v>
      </c>
      <c r="J946" s="133">
        <v>4</v>
      </c>
      <c r="K946" s="129">
        <v>5</v>
      </c>
      <c r="L946" s="129">
        <v>14</v>
      </c>
      <c r="M946" s="131" t="s">
        <v>31</v>
      </c>
      <c r="N946" s="129" t="s">
        <v>32</v>
      </c>
      <c r="O946" s="139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40"/>
    </row>
    <row r="947" spans="1:26" s="136" customFormat="1" x14ac:dyDescent="0.25">
      <c r="A947" s="203">
        <f t="shared" si="21"/>
        <v>945</v>
      </c>
      <c r="B947" s="128"/>
      <c r="C947" s="263"/>
      <c r="D947" s="262"/>
      <c r="E947" s="128"/>
      <c r="F947" s="138" t="s">
        <v>1933</v>
      </c>
      <c r="G947" s="131"/>
      <c r="H947" s="128"/>
      <c r="I947" s="132" t="s">
        <v>326</v>
      </c>
      <c r="J947" s="133">
        <v>4</v>
      </c>
      <c r="K947" s="129">
        <v>5</v>
      </c>
      <c r="L947" s="129">
        <v>15</v>
      </c>
      <c r="M947" s="131" t="s">
        <v>31</v>
      </c>
      <c r="N947" s="129" t="s">
        <v>32</v>
      </c>
      <c r="O947" s="139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40"/>
    </row>
    <row r="948" spans="1:26" s="136" customFormat="1" x14ac:dyDescent="0.25">
      <c r="A948" s="203">
        <f t="shared" si="21"/>
        <v>946</v>
      </c>
      <c r="B948" s="128" t="s">
        <v>1937</v>
      </c>
      <c r="C948" s="263"/>
      <c r="D948" s="264"/>
      <c r="E948" s="128"/>
      <c r="F948" s="141" t="s">
        <v>1933</v>
      </c>
      <c r="G948" s="142"/>
      <c r="H948" s="128"/>
      <c r="I948" s="132" t="s">
        <v>326</v>
      </c>
      <c r="J948" s="133">
        <v>4</v>
      </c>
      <c r="K948" s="129">
        <v>6</v>
      </c>
      <c r="L948" s="129">
        <v>7</v>
      </c>
      <c r="M948" s="131" t="s">
        <v>82</v>
      </c>
      <c r="N948" s="129" t="s">
        <v>32</v>
      </c>
      <c r="O948" s="139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40"/>
    </row>
    <row r="949" spans="1:26" x14ac:dyDescent="0.25">
      <c r="A949" s="203">
        <f t="shared" si="21"/>
        <v>947</v>
      </c>
      <c r="B949" s="128" t="s">
        <v>1938</v>
      </c>
      <c r="C949" s="263"/>
      <c r="D949" s="264"/>
      <c r="E949" s="128"/>
      <c r="F949" s="141" t="s">
        <v>1933</v>
      </c>
      <c r="G949" s="142"/>
      <c r="H949" s="128"/>
      <c r="I949" s="132" t="s">
        <v>326</v>
      </c>
      <c r="J949" s="133">
        <v>4</v>
      </c>
      <c r="K949" s="129">
        <v>6</v>
      </c>
      <c r="L949" s="129">
        <v>8</v>
      </c>
      <c r="M949" s="131" t="s">
        <v>82</v>
      </c>
      <c r="N949" s="129" t="s">
        <v>32</v>
      </c>
      <c r="O949" s="139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40"/>
    </row>
    <row r="950" spans="1:26" x14ac:dyDescent="0.25">
      <c r="A950" s="203">
        <f t="shared" si="21"/>
        <v>948</v>
      </c>
      <c r="B950" s="128" t="s">
        <v>1939</v>
      </c>
      <c r="C950" s="263"/>
      <c r="D950" s="262"/>
      <c r="E950" s="128"/>
      <c r="F950" s="141" t="s">
        <v>1933</v>
      </c>
      <c r="G950" s="142"/>
      <c r="H950" s="128"/>
      <c r="I950" s="132" t="s">
        <v>326</v>
      </c>
      <c r="J950" s="133">
        <v>4</v>
      </c>
      <c r="K950" s="129">
        <v>6</v>
      </c>
      <c r="L950" s="129">
        <v>9</v>
      </c>
      <c r="M950" s="131" t="s">
        <v>82</v>
      </c>
      <c r="N950" s="129" t="s">
        <v>32</v>
      </c>
      <c r="O950" s="139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40"/>
    </row>
    <row r="951" spans="1:26" x14ac:dyDescent="0.25">
      <c r="A951" s="203">
        <f t="shared" si="21"/>
        <v>949</v>
      </c>
      <c r="B951" s="128" t="s">
        <v>1940</v>
      </c>
      <c r="C951" s="263"/>
      <c r="D951" s="262"/>
      <c r="E951" s="128"/>
      <c r="F951" s="141" t="s">
        <v>1933</v>
      </c>
      <c r="G951" s="142"/>
      <c r="H951" s="128"/>
      <c r="I951" s="132" t="s">
        <v>326</v>
      </c>
      <c r="J951" s="133">
        <v>4</v>
      </c>
      <c r="K951" s="129">
        <v>6</v>
      </c>
      <c r="L951" s="129">
        <v>10</v>
      </c>
      <c r="M951" s="131" t="s">
        <v>82</v>
      </c>
      <c r="N951" s="129" t="s">
        <v>32</v>
      </c>
      <c r="O951" s="139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40"/>
    </row>
    <row r="952" spans="1:26" x14ac:dyDescent="0.25">
      <c r="A952" s="203">
        <f t="shared" si="21"/>
        <v>950</v>
      </c>
      <c r="B952" s="128" t="s">
        <v>1941</v>
      </c>
      <c r="C952" s="263"/>
      <c r="D952" s="262"/>
      <c r="E952" s="128"/>
      <c r="F952" s="138" t="s">
        <v>1933</v>
      </c>
      <c r="G952" s="131"/>
      <c r="H952" s="128"/>
      <c r="I952" s="132" t="s">
        <v>326</v>
      </c>
      <c r="J952" s="133">
        <v>4</v>
      </c>
      <c r="K952" s="129">
        <v>6</v>
      </c>
      <c r="L952" s="129">
        <v>11</v>
      </c>
      <c r="M952" s="131" t="s">
        <v>82</v>
      </c>
      <c r="N952" s="129" t="s">
        <v>32</v>
      </c>
      <c r="O952" s="139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40"/>
    </row>
    <row r="953" spans="1:26" s="136" customFormat="1" x14ac:dyDescent="0.25">
      <c r="A953" s="203">
        <f t="shared" si="21"/>
        <v>951</v>
      </c>
      <c r="B953" s="128" t="s">
        <v>1942</v>
      </c>
      <c r="C953" s="263"/>
      <c r="D953" s="262"/>
      <c r="E953" s="128"/>
      <c r="F953" s="138" t="s">
        <v>1933</v>
      </c>
      <c r="G953" s="131"/>
      <c r="H953" s="128"/>
      <c r="I953" s="132" t="s">
        <v>326</v>
      </c>
      <c r="J953" s="133">
        <v>4</v>
      </c>
      <c r="K953" s="129">
        <v>6</v>
      </c>
      <c r="L953" s="129">
        <v>12</v>
      </c>
      <c r="M953" s="131" t="s">
        <v>82</v>
      </c>
      <c r="N953" s="129" t="s">
        <v>32</v>
      </c>
      <c r="O953" s="139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40"/>
    </row>
    <row r="954" spans="1:26" s="136" customFormat="1" x14ac:dyDescent="0.25">
      <c r="A954" s="203">
        <f t="shared" si="21"/>
        <v>952</v>
      </c>
      <c r="B954" s="128" t="s">
        <v>1943</v>
      </c>
      <c r="C954" s="263"/>
      <c r="D954" s="262"/>
      <c r="E954" s="128"/>
      <c r="F954" s="138" t="s">
        <v>1933</v>
      </c>
      <c r="G954" s="131"/>
      <c r="H954" s="128"/>
      <c r="I954" s="132" t="s">
        <v>326</v>
      </c>
      <c r="J954" s="133">
        <v>4</v>
      </c>
      <c r="K954" s="129">
        <v>6</v>
      </c>
      <c r="L954" s="129">
        <v>13</v>
      </c>
      <c r="M954" s="131" t="s">
        <v>82</v>
      </c>
      <c r="N954" s="129" t="s">
        <v>32</v>
      </c>
      <c r="O954" s="139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40"/>
    </row>
    <row r="955" spans="1:26" x14ac:dyDescent="0.25">
      <c r="A955" s="203">
        <f t="shared" si="21"/>
        <v>953</v>
      </c>
      <c r="B955" s="128"/>
      <c r="C955" s="263"/>
      <c r="D955" s="262"/>
      <c r="E955" s="128"/>
      <c r="F955" s="138" t="s">
        <v>1933</v>
      </c>
      <c r="G955" s="131"/>
      <c r="H955" s="128"/>
      <c r="I955" s="132" t="s">
        <v>326</v>
      </c>
      <c r="J955" s="133">
        <v>4</v>
      </c>
      <c r="K955" s="129">
        <v>6</v>
      </c>
      <c r="L955" s="129">
        <v>14</v>
      </c>
      <c r="M955" s="131" t="s">
        <v>82</v>
      </c>
      <c r="N955" s="129" t="s">
        <v>32</v>
      </c>
      <c r="O955" s="139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40"/>
    </row>
    <row r="956" spans="1:26" x14ac:dyDescent="0.25">
      <c r="A956" s="203">
        <f t="shared" si="21"/>
        <v>954</v>
      </c>
      <c r="B956" s="128"/>
      <c r="C956" s="263"/>
      <c r="D956" s="262"/>
      <c r="E956" s="128"/>
      <c r="F956" s="138" t="s">
        <v>1933</v>
      </c>
      <c r="G956" s="131"/>
      <c r="H956" s="128"/>
      <c r="I956" s="132" t="s">
        <v>326</v>
      </c>
      <c r="J956" s="133">
        <v>4</v>
      </c>
      <c r="K956" s="129">
        <v>6</v>
      </c>
      <c r="L956" s="129">
        <v>15</v>
      </c>
      <c r="M956" s="131" t="s">
        <v>82</v>
      </c>
      <c r="N956" s="129" t="s">
        <v>32</v>
      </c>
      <c r="O956" s="139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40"/>
    </row>
    <row r="957" spans="1:26" x14ac:dyDescent="0.25">
      <c r="A957" s="203">
        <f t="shared" si="21"/>
        <v>955</v>
      </c>
      <c r="B957" s="128" t="s">
        <v>429</v>
      </c>
      <c r="C957" s="263"/>
      <c r="D957" s="262"/>
      <c r="E957" s="128"/>
      <c r="F957" s="138" t="s">
        <v>1933</v>
      </c>
      <c r="G957" s="131"/>
      <c r="H957" s="128"/>
      <c r="I957" s="132" t="s">
        <v>374</v>
      </c>
      <c r="J957" s="133">
        <v>5</v>
      </c>
      <c r="K957" s="129">
        <v>3</v>
      </c>
      <c r="L957" s="129">
        <v>0</v>
      </c>
      <c r="M957" s="129" t="s">
        <v>138</v>
      </c>
      <c r="N957" s="129" t="s">
        <v>139</v>
      </c>
      <c r="O957" s="139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40"/>
    </row>
    <row r="958" spans="1:26" x14ac:dyDescent="0.25">
      <c r="A958" s="203">
        <f t="shared" si="21"/>
        <v>956</v>
      </c>
      <c r="B958" s="128" t="s">
        <v>429</v>
      </c>
      <c r="C958" s="263"/>
      <c r="D958" s="262"/>
      <c r="E958" s="128"/>
      <c r="F958" s="138" t="s">
        <v>1933</v>
      </c>
      <c r="G958" s="131"/>
      <c r="H958" s="128"/>
      <c r="I958" s="132" t="s">
        <v>374</v>
      </c>
      <c r="J958" s="133">
        <v>5</v>
      </c>
      <c r="K958" s="129">
        <v>3</v>
      </c>
      <c r="L958" s="129">
        <v>1</v>
      </c>
      <c r="M958" s="129" t="s">
        <v>138</v>
      </c>
      <c r="N958" s="129" t="s">
        <v>139</v>
      </c>
      <c r="O958" s="139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40"/>
    </row>
    <row r="959" spans="1:26" x14ac:dyDescent="0.25">
      <c r="A959" s="203">
        <f t="shared" si="21"/>
        <v>957</v>
      </c>
      <c r="B959" s="128" t="s">
        <v>436</v>
      </c>
      <c r="C959" s="263"/>
      <c r="D959" s="262"/>
      <c r="E959" s="128"/>
      <c r="F959" s="138" t="s">
        <v>1933</v>
      </c>
      <c r="G959" s="131"/>
      <c r="H959" s="128"/>
      <c r="I959" s="132" t="s">
        <v>374</v>
      </c>
      <c r="J959" s="133">
        <v>5</v>
      </c>
      <c r="K959" s="129">
        <v>3</v>
      </c>
      <c r="L959" s="129">
        <v>2</v>
      </c>
      <c r="M959" s="129" t="s">
        <v>138</v>
      </c>
      <c r="N959" s="129" t="s">
        <v>139</v>
      </c>
      <c r="O959" s="139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40"/>
    </row>
    <row r="960" spans="1:26" x14ac:dyDescent="0.25">
      <c r="A960" s="203">
        <f t="shared" si="21"/>
        <v>958</v>
      </c>
      <c r="B960" s="128" t="s">
        <v>436</v>
      </c>
      <c r="C960" s="263"/>
      <c r="D960" s="262"/>
      <c r="E960" s="128"/>
      <c r="F960" s="138" t="s">
        <v>1933</v>
      </c>
      <c r="G960" s="131"/>
      <c r="H960" s="128"/>
      <c r="I960" s="132" t="s">
        <v>374</v>
      </c>
      <c r="J960" s="133">
        <v>5</v>
      </c>
      <c r="K960" s="129">
        <v>3</v>
      </c>
      <c r="L960" s="129">
        <v>3</v>
      </c>
      <c r="M960" s="129" t="s">
        <v>138</v>
      </c>
      <c r="N960" s="129" t="s">
        <v>139</v>
      </c>
      <c r="O960" s="139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40"/>
    </row>
    <row r="961" spans="1:26" x14ac:dyDescent="0.25">
      <c r="A961" s="203">
        <f t="shared" si="21"/>
        <v>959</v>
      </c>
      <c r="B961" s="128" t="s">
        <v>440</v>
      </c>
      <c r="C961" s="263"/>
      <c r="D961" s="262"/>
      <c r="E961" s="128"/>
      <c r="F961" s="138" t="s">
        <v>1933</v>
      </c>
      <c r="G961" s="131"/>
      <c r="H961" s="128"/>
      <c r="I961" s="132" t="s">
        <v>374</v>
      </c>
      <c r="J961" s="133">
        <v>5</v>
      </c>
      <c r="K961" s="129">
        <v>3</v>
      </c>
      <c r="L961" s="129">
        <v>4</v>
      </c>
      <c r="M961" s="129" t="s">
        <v>138</v>
      </c>
      <c r="N961" s="129" t="s">
        <v>139</v>
      </c>
      <c r="O961" s="139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40"/>
    </row>
    <row r="962" spans="1:26" x14ac:dyDescent="0.25">
      <c r="A962" s="203">
        <f t="shared" si="21"/>
        <v>960</v>
      </c>
      <c r="B962" s="128" t="s">
        <v>440</v>
      </c>
      <c r="C962" s="263"/>
      <c r="D962" s="262"/>
      <c r="E962" s="128"/>
      <c r="F962" s="138" t="s">
        <v>1933</v>
      </c>
      <c r="G962" s="131"/>
      <c r="H962" s="128"/>
      <c r="I962" s="132" t="s">
        <v>374</v>
      </c>
      <c r="J962" s="133">
        <v>5</v>
      </c>
      <c r="K962" s="129">
        <v>3</v>
      </c>
      <c r="L962" s="129">
        <v>5</v>
      </c>
      <c r="M962" s="129" t="s">
        <v>138</v>
      </c>
      <c r="N962" s="129" t="s">
        <v>139</v>
      </c>
      <c r="O962" s="139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40"/>
    </row>
    <row r="963" spans="1:26" x14ac:dyDescent="0.25">
      <c r="A963" s="203">
        <f t="shared" si="21"/>
        <v>961</v>
      </c>
      <c r="B963" s="128" t="s">
        <v>444</v>
      </c>
      <c r="C963" s="263"/>
      <c r="D963" s="262"/>
      <c r="E963" s="128"/>
      <c r="F963" s="138" t="s">
        <v>1933</v>
      </c>
      <c r="G963" s="131"/>
      <c r="H963" s="128"/>
      <c r="I963" s="132" t="s">
        <v>374</v>
      </c>
      <c r="J963" s="133">
        <v>5</v>
      </c>
      <c r="K963" s="129">
        <v>3</v>
      </c>
      <c r="L963" s="129">
        <v>6</v>
      </c>
      <c r="M963" s="129" t="s">
        <v>138</v>
      </c>
      <c r="N963" s="129" t="s">
        <v>139</v>
      </c>
      <c r="O963" s="139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40"/>
    </row>
    <row r="964" spans="1:26" x14ac:dyDescent="0.25">
      <c r="A964" s="203">
        <f t="shared" si="21"/>
        <v>962</v>
      </c>
      <c r="B964" s="128" t="s">
        <v>444</v>
      </c>
      <c r="C964" s="263"/>
      <c r="D964" s="262"/>
      <c r="E964" s="128"/>
      <c r="F964" s="138" t="s">
        <v>1933</v>
      </c>
      <c r="G964" s="131"/>
      <c r="H964" s="128"/>
      <c r="I964" s="132" t="s">
        <v>374</v>
      </c>
      <c r="J964" s="133">
        <v>5</v>
      </c>
      <c r="K964" s="129">
        <v>3</v>
      </c>
      <c r="L964" s="129">
        <v>7</v>
      </c>
      <c r="M964" s="129" t="s">
        <v>138</v>
      </c>
      <c r="N964" s="129" t="s">
        <v>139</v>
      </c>
      <c r="O964" s="139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40"/>
    </row>
    <row r="965" spans="1:26" x14ac:dyDescent="0.25">
      <c r="A965" s="203">
        <f t="shared" si="21"/>
        <v>963</v>
      </c>
      <c r="B965" s="128"/>
      <c r="C965" s="263"/>
      <c r="D965" s="262"/>
      <c r="E965" s="128"/>
      <c r="F965" s="138" t="s">
        <v>1935</v>
      </c>
      <c r="G965" s="131"/>
      <c r="H965" s="128"/>
      <c r="I965" s="132" t="s">
        <v>374</v>
      </c>
      <c r="J965" s="133">
        <v>5</v>
      </c>
      <c r="K965" s="129">
        <v>4</v>
      </c>
      <c r="L965" s="129">
        <v>0</v>
      </c>
      <c r="M965" s="129" t="s">
        <v>1936</v>
      </c>
      <c r="N965" s="129" t="s">
        <v>295</v>
      </c>
      <c r="O965" s="139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40"/>
    </row>
    <row r="966" spans="1:26" x14ac:dyDescent="0.25">
      <c r="A966" s="203">
        <f t="shared" si="21"/>
        <v>964</v>
      </c>
      <c r="B966" s="128"/>
      <c r="C966" s="263"/>
      <c r="D966" s="264"/>
      <c r="E966" s="133"/>
      <c r="F966" s="141" t="s">
        <v>1933</v>
      </c>
      <c r="G966" s="142"/>
      <c r="H966" s="133"/>
      <c r="I966" s="132" t="s">
        <v>374</v>
      </c>
      <c r="J966" s="133">
        <v>5</v>
      </c>
      <c r="K966" s="129">
        <v>5</v>
      </c>
      <c r="L966" s="129">
        <v>0</v>
      </c>
      <c r="M966" s="129" t="s">
        <v>31</v>
      </c>
      <c r="N966" s="129" t="s">
        <v>139</v>
      </c>
      <c r="O966" s="139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40"/>
    </row>
    <row r="967" spans="1:26" x14ac:dyDescent="0.25">
      <c r="A967" s="203">
        <f t="shared" ref="A967:A988" si="22">ROW()-2</f>
        <v>965</v>
      </c>
      <c r="B967" s="128"/>
      <c r="C967" s="263"/>
      <c r="D967" s="264"/>
      <c r="E967" s="133"/>
      <c r="F967" s="141" t="s">
        <v>1933</v>
      </c>
      <c r="G967" s="142"/>
      <c r="H967" s="133"/>
      <c r="I967" s="132" t="s">
        <v>374</v>
      </c>
      <c r="J967" s="133">
        <v>5</v>
      </c>
      <c r="K967" s="129">
        <v>5</v>
      </c>
      <c r="L967" s="129">
        <v>1</v>
      </c>
      <c r="M967" s="129" t="s">
        <v>31</v>
      </c>
      <c r="N967" s="129" t="s">
        <v>139</v>
      </c>
      <c r="O967" s="139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40"/>
    </row>
    <row r="968" spans="1:26" x14ac:dyDescent="0.25">
      <c r="A968" s="203">
        <f t="shared" si="22"/>
        <v>966</v>
      </c>
      <c r="B968" s="128" t="s">
        <v>451</v>
      </c>
      <c r="C968" s="263"/>
      <c r="D968" s="264"/>
      <c r="E968" s="133"/>
      <c r="F968" s="141" t="s">
        <v>1933</v>
      </c>
      <c r="G968" s="142"/>
      <c r="H968" s="133"/>
      <c r="I968" s="132" t="s">
        <v>374</v>
      </c>
      <c r="J968" s="133">
        <v>5</v>
      </c>
      <c r="K968" s="129">
        <v>5</v>
      </c>
      <c r="L968" s="129">
        <v>2</v>
      </c>
      <c r="M968" s="129" t="s">
        <v>31</v>
      </c>
      <c r="N968" s="129" t="s">
        <v>139</v>
      </c>
      <c r="O968" s="139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40"/>
    </row>
    <row r="969" spans="1:26" x14ac:dyDescent="0.25">
      <c r="A969" s="203">
        <f t="shared" si="22"/>
        <v>967</v>
      </c>
      <c r="B969" s="128" t="s">
        <v>451</v>
      </c>
      <c r="C969" s="263"/>
      <c r="D969" s="264"/>
      <c r="E969" s="133"/>
      <c r="F969" s="141" t="s">
        <v>1933</v>
      </c>
      <c r="G969" s="142"/>
      <c r="H969" s="133"/>
      <c r="I969" s="132" t="s">
        <v>374</v>
      </c>
      <c r="J969" s="133">
        <v>5</v>
      </c>
      <c r="K969" s="129">
        <v>5</v>
      </c>
      <c r="L969" s="129">
        <v>3</v>
      </c>
      <c r="M969" s="129" t="s">
        <v>31</v>
      </c>
      <c r="N969" s="129" t="s">
        <v>139</v>
      </c>
      <c r="O969" s="139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40"/>
    </row>
    <row r="970" spans="1:26" x14ac:dyDescent="0.25">
      <c r="A970" s="203">
        <f t="shared" si="22"/>
        <v>968</v>
      </c>
      <c r="B970" s="128" t="s">
        <v>398</v>
      </c>
      <c r="C970" s="263"/>
      <c r="D970" s="262"/>
      <c r="E970" s="128"/>
      <c r="F970" s="138" t="s">
        <v>1933</v>
      </c>
      <c r="G970" s="131"/>
      <c r="H970" s="128"/>
      <c r="I970" s="132" t="s">
        <v>374</v>
      </c>
      <c r="J970" s="133">
        <v>5</v>
      </c>
      <c r="K970" s="129">
        <v>5</v>
      </c>
      <c r="L970" s="129">
        <v>4</v>
      </c>
      <c r="M970" s="129" t="s">
        <v>31</v>
      </c>
      <c r="N970" s="129" t="s">
        <v>139</v>
      </c>
      <c r="O970" s="139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40"/>
    </row>
    <row r="971" spans="1:26" x14ac:dyDescent="0.25">
      <c r="A971" s="203">
        <f t="shared" si="22"/>
        <v>969</v>
      </c>
      <c r="B971" s="128" t="s">
        <v>398</v>
      </c>
      <c r="C971" s="263"/>
      <c r="D971" s="262"/>
      <c r="E971" s="128"/>
      <c r="F971" s="138" t="s">
        <v>1933</v>
      </c>
      <c r="G971" s="131"/>
      <c r="H971" s="128"/>
      <c r="I971" s="132" t="s">
        <v>374</v>
      </c>
      <c r="J971" s="133">
        <v>5</v>
      </c>
      <c r="K971" s="129">
        <v>5</v>
      </c>
      <c r="L971" s="129">
        <v>5</v>
      </c>
      <c r="M971" s="129" t="s">
        <v>31</v>
      </c>
      <c r="N971" s="129" t="s">
        <v>139</v>
      </c>
      <c r="O971" s="139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40"/>
    </row>
    <row r="972" spans="1:26" x14ac:dyDescent="0.25">
      <c r="A972" s="203">
        <f t="shared" si="22"/>
        <v>970</v>
      </c>
      <c r="B972" s="128"/>
      <c r="C972" s="263"/>
      <c r="D972" s="262"/>
      <c r="E972" s="128"/>
      <c r="F972" s="138" t="s">
        <v>1933</v>
      </c>
      <c r="G972" s="131"/>
      <c r="H972" s="128"/>
      <c r="I972" s="132" t="s">
        <v>374</v>
      </c>
      <c r="J972" s="133">
        <v>5</v>
      </c>
      <c r="K972" s="129">
        <v>5</v>
      </c>
      <c r="L972" s="129">
        <v>6</v>
      </c>
      <c r="M972" s="129" t="s">
        <v>31</v>
      </c>
      <c r="N972" s="129" t="s">
        <v>139</v>
      </c>
      <c r="O972" s="139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40"/>
    </row>
    <row r="973" spans="1:26" x14ac:dyDescent="0.25">
      <c r="A973" s="203">
        <f t="shared" si="22"/>
        <v>971</v>
      </c>
      <c r="B973" s="128"/>
      <c r="C973" s="263"/>
      <c r="D973" s="262"/>
      <c r="E973" s="128"/>
      <c r="F973" s="138" t="s">
        <v>1933</v>
      </c>
      <c r="G973" s="131"/>
      <c r="H973" s="128"/>
      <c r="I973" s="132" t="s">
        <v>374</v>
      </c>
      <c r="J973" s="133">
        <v>5</v>
      </c>
      <c r="K973" s="129">
        <v>5</v>
      </c>
      <c r="L973" s="129">
        <v>7</v>
      </c>
      <c r="M973" s="129" t="s">
        <v>31</v>
      </c>
      <c r="N973" s="129" t="s">
        <v>139</v>
      </c>
      <c r="O973" s="139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40"/>
    </row>
    <row r="974" spans="1:26" x14ac:dyDescent="0.25">
      <c r="A974" s="203">
        <f t="shared" si="22"/>
        <v>972</v>
      </c>
      <c r="B974" s="128"/>
      <c r="C974" s="263"/>
      <c r="D974" s="262"/>
      <c r="E974" s="128"/>
      <c r="F974" s="138" t="s">
        <v>1933</v>
      </c>
      <c r="G974" s="131"/>
      <c r="H974" s="128"/>
      <c r="I974" s="132" t="s">
        <v>374</v>
      </c>
      <c r="J974" s="133">
        <v>5</v>
      </c>
      <c r="K974" s="129">
        <v>5</v>
      </c>
      <c r="L974" s="129">
        <v>8</v>
      </c>
      <c r="M974" s="129" t="s">
        <v>31</v>
      </c>
      <c r="N974" s="129" t="s">
        <v>32</v>
      </c>
      <c r="O974" s="139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40"/>
    </row>
    <row r="975" spans="1:26" x14ac:dyDescent="0.25">
      <c r="A975" s="203">
        <f t="shared" si="22"/>
        <v>973</v>
      </c>
      <c r="B975" s="128"/>
      <c r="C975" s="263"/>
      <c r="D975" s="262"/>
      <c r="E975" s="128"/>
      <c r="F975" s="138" t="s">
        <v>1933</v>
      </c>
      <c r="G975" s="131"/>
      <c r="H975" s="128"/>
      <c r="I975" s="132" t="s">
        <v>374</v>
      </c>
      <c r="J975" s="133">
        <v>5</v>
      </c>
      <c r="K975" s="129">
        <v>5</v>
      </c>
      <c r="L975" s="129">
        <v>9</v>
      </c>
      <c r="M975" s="129" t="s">
        <v>31</v>
      </c>
      <c r="N975" s="129" t="s">
        <v>32</v>
      </c>
      <c r="O975" s="139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40"/>
    </row>
    <row r="976" spans="1:26" x14ac:dyDescent="0.25">
      <c r="A976" s="203">
        <f t="shared" si="22"/>
        <v>974</v>
      </c>
      <c r="B976" s="128"/>
      <c r="C976" s="263"/>
      <c r="D976" s="262"/>
      <c r="E976" s="128"/>
      <c r="F976" s="138" t="s">
        <v>1933</v>
      </c>
      <c r="G976" s="131"/>
      <c r="H976" s="128"/>
      <c r="I976" s="132" t="s">
        <v>374</v>
      </c>
      <c r="J976" s="133">
        <v>5</v>
      </c>
      <c r="K976" s="129">
        <v>5</v>
      </c>
      <c r="L976" s="129">
        <v>10</v>
      </c>
      <c r="M976" s="129" t="s">
        <v>31</v>
      </c>
      <c r="N976" s="129" t="s">
        <v>32</v>
      </c>
      <c r="O976" s="139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40"/>
    </row>
    <row r="977" spans="1:26" x14ac:dyDescent="0.25">
      <c r="A977" s="203">
        <f t="shared" si="22"/>
        <v>975</v>
      </c>
      <c r="B977" s="128"/>
      <c r="C977" s="263"/>
      <c r="D977" s="262"/>
      <c r="E977" s="128"/>
      <c r="F977" s="138" t="s">
        <v>1933</v>
      </c>
      <c r="G977" s="131"/>
      <c r="H977" s="128"/>
      <c r="I977" s="132" t="s">
        <v>374</v>
      </c>
      <c r="J977" s="133">
        <v>5</v>
      </c>
      <c r="K977" s="129">
        <v>5</v>
      </c>
      <c r="L977" s="129">
        <v>11</v>
      </c>
      <c r="M977" s="129" t="s">
        <v>31</v>
      </c>
      <c r="N977" s="129" t="s">
        <v>32</v>
      </c>
      <c r="O977" s="139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40"/>
    </row>
    <row r="978" spans="1:26" x14ac:dyDescent="0.25">
      <c r="A978" s="203">
        <f t="shared" si="22"/>
        <v>976</v>
      </c>
      <c r="B978" s="128"/>
      <c r="C978" s="263"/>
      <c r="D978" s="262"/>
      <c r="E978" s="128"/>
      <c r="F978" s="138" t="s">
        <v>1933</v>
      </c>
      <c r="G978" s="131"/>
      <c r="H978" s="128"/>
      <c r="I978" s="132" t="s">
        <v>374</v>
      </c>
      <c r="J978" s="133">
        <v>5</v>
      </c>
      <c r="K978" s="129">
        <v>5</v>
      </c>
      <c r="L978" s="129">
        <v>12</v>
      </c>
      <c r="M978" s="129" t="s">
        <v>31</v>
      </c>
      <c r="N978" s="129" t="s">
        <v>32</v>
      </c>
      <c r="O978" s="139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40"/>
    </row>
    <row r="979" spans="1:26" x14ac:dyDescent="0.25">
      <c r="A979" s="203">
        <f t="shared" si="22"/>
        <v>977</v>
      </c>
      <c r="B979" s="128"/>
      <c r="C979" s="263"/>
      <c r="D979" s="262"/>
      <c r="E979" s="128"/>
      <c r="F979" s="138" t="s">
        <v>1933</v>
      </c>
      <c r="G979" s="131"/>
      <c r="H979" s="128"/>
      <c r="I979" s="132" t="s">
        <v>374</v>
      </c>
      <c r="J979" s="133">
        <v>5</v>
      </c>
      <c r="K979" s="129">
        <v>5</v>
      </c>
      <c r="L979" s="129">
        <v>13</v>
      </c>
      <c r="M979" s="129" t="s">
        <v>31</v>
      </c>
      <c r="N979" s="129" t="s">
        <v>32</v>
      </c>
      <c r="O979" s="139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40"/>
    </row>
    <row r="980" spans="1:26" x14ac:dyDescent="0.25">
      <c r="A980" s="203">
        <f t="shared" si="22"/>
        <v>978</v>
      </c>
      <c r="B980" s="128"/>
      <c r="C980" s="263"/>
      <c r="D980" s="262"/>
      <c r="E980" s="128"/>
      <c r="F980" s="138" t="s">
        <v>1933</v>
      </c>
      <c r="G980" s="131"/>
      <c r="H980" s="128"/>
      <c r="I980" s="132" t="s">
        <v>374</v>
      </c>
      <c r="J980" s="133">
        <v>5</v>
      </c>
      <c r="K980" s="129">
        <v>5</v>
      </c>
      <c r="L980" s="129">
        <v>14</v>
      </c>
      <c r="M980" s="129" t="s">
        <v>31</v>
      </c>
      <c r="N980" s="129" t="s">
        <v>32</v>
      </c>
      <c r="O980" s="139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40"/>
    </row>
    <row r="981" spans="1:26" x14ac:dyDescent="0.25">
      <c r="A981" s="203">
        <f t="shared" si="22"/>
        <v>979</v>
      </c>
      <c r="B981" s="128"/>
      <c r="C981" s="263"/>
      <c r="D981" s="262"/>
      <c r="E981" s="128"/>
      <c r="F981" s="138" t="s">
        <v>1933</v>
      </c>
      <c r="G981" s="131"/>
      <c r="H981" s="128"/>
      <c r="I981" s="132" t="s">
        <v>374</v>
      </c>
      <c r="J981" s="133">
        <v>5</v>
      </c>
      <c r="K981" s="129">
        <v>5</v>
      </c>
      <c r="L981" s="129">
        <v>15</v>
      </c>
      <c r="M981" s="129" t="s">
        <v>31</v>
      </c>
      <c r="N981" s="129" t="s">
        <v>32</v>
      </c>
      <c r="O981" s="139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40"/>
    </row>
    <row r="982" spans="1:26" x14ac:dyDescent="0.25">
      <c r="A982" s="203">
        <f t="shared" si="22"/>
        <v>980</v>
      </c>
      <c r="B982" s="128" t="s">
        <v>1944</v>
      </c>
      <c r="C982" s="263"/>
      <c r="D982" s="262"/>
      <c r="E982" s="128"/>
      <c r="F982" s="138" t="s">
        <v>1933</v>
      </c>
      <c r="G982" s="131"/>
      <c r="H982" s="128"/>
      <c r="I982" s="132" t="s">
        <v>374</v>
      </c>
      <c r="J982" s="133">
        <v>5</v>
      </c>
      <c r="K982" s="129">
        <v>6</v>
      </c>
      <c r="L982" s="129">
        <v>9</v>
      </c>
      <c r="M982" s="129" t="s">
        <v>82</v>
      </c>
      <c r="N982" s="129" t="s">
        <v>32</v>
      </c>
      <c r="O982" s="139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40"/>
    </row>
    <row r="983" spans="1:26" x14ac:dyDescent="0.25">
      <c r="A983" s="203">
        <f t="shared" si="22"/>
        <v>981</v>
      </c>
      <c r="B983" s="128" t="s">
        <v>1945</v>
      </c>
      <c r="C983" s="263"/>
      <c r="D983" s="262"/>
      <c r="E983" s="128"/>
      <c r="F983" s="138" t="s">
        <v>1933</v>
      </c>
      <c r="G983" s="131"/>
      <c r="H983" s="128"/>
      <c r="I983" s="132" t="s">
        <v>374</v>
      </c>
      <c r="J983" s="133">
        <v>5</v>
      </c>
      <c r="K983" s="129">
        <v>6</v>
      </c>
      <c r="L983" s="129">
        <v>10</v>
      </c>
      <c r="M983" s="129" t="s">
        <v>82</v>
      </c>
      <c r="N983" s="129" t="s">
        <v>32</v>
      </c>
      <c r="O983" s="139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40"/>
    </row>
    <row r="984" spans="1:26" x14ac:dyDescent="0.25">
      <c r="A984" s="203">
        <f t="shared" si="22"/>
        <v>982</v>
      </c>
      <c r="B984" s="128" t="s">
        <v>1946</v>
      </c>
      <c r="C984" s="263"/>
      <c r="D984" s="262"/>
      <c r="E984" s="128"/>
      <c r="F984" s="138" t="s">
        <v>1933</v>
      </c>
      <c r="G984" s="131"/>
      <c r="H984" s="128"/>
      <c r="I984" s="132" t="s">
        <v>374</v>
      </c>
      <c r="J984" s="133">
        <v>5</v>
      </c>
      <c r="K984" s="129">
        <v>6</v>
      </c>
      <c r="L984" s="129">
        <v>11</v>
      </c>
      <c r="M984" s="129" t="s">
        <v>82</v>
      </c>
      <c r="N984" s="129" t="s">
        <v>32</v>
      </c>
      <c r="O984" s="139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40"/>
    </row>
    <row r="985" spans="1:26" x14ac:dyDescent="0.25">
      <c r="A985" s="203">
        <f t="shared" si="22"/>
        <v>983</v>
      </c>
      <c r="B985" s="128" t="s">
        <v>1947</v>
      </c>
      <c r="C985" s="263"/>
      <c r="D985" s="262"/>
      <c r="E985" s="128"/>
      <c r="F985" s="138" t="s">
        <v>1933</v>
      </c>
      <c r="G985" s="131"/>
      <c r="H985" s="128"/>
      <c r="I985" s="132" t="s">
        <v>374</v>
      </c>
      <c r="J985" s="133">
        <v>5</v>
      </c>
      <c r="K985" s="129">
        <v>6</v>
      </c>
      <c r="L985" s="129">
        <v>12</v>
      </c>
      <c r="M985" s="129" t="s">
        <v>82</v>
      </c>
      <c r="N985" s="129" t="s">
        <v>32</v>
      </c>
      <c r="O985" s="139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40"/>
    </row>
    <row r="986" spans="1:26" x14ac:dyDescent="0.25">
      <c r="A986" s="203">
        <f t="shared" si="22"/>
        <v>984</v>
      </c>
      <c r="B986" s="128" t="s">
        <v>1948</v>
      </c>
      <c r="C986" s="263"/>
      <c r="D986" s="262"/>
      <c r="E986" s="128"/>
      <c r="F986" s="138" t="s">
        <v>1933</v>
      </c>
      <c r="G986" s="131"/>
      <c r="H986" s="128"/>
      <c r="I986" s="132" t="s">
        <v>374</v>
      </c>
      <c r="J986" s="133">
        <v>5</v>
      </c>
      <c r="K986" s="129">
        <v>6</v>
      </c>
      <c r="L986" s="129">
        <v>13</v>
      </c>
      <c r="M986" s="129" t="s">
        <v>82</v>
      </c>
      <c r="N986" s="129" t="s">
        <v>32</v>
      </c>
      <c r="O986" s="139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40"/>
    </row>
    <row r="987" spans="1:26" x14ac:dyDescent="0.25">
      <c r="A987" s="203">
        <f t="shared" si="22"/>
        <v>985</v>
      </c>
      <c r="B987" s="128" t="s">
        <v>1949</v>
      </c>
      <c r="C987" s="263"/>
      <c r="D987" s="262"/>
      <c r="E987" s="128"/>
      <c r="F987" s="138" t="s">
        <v>1933</v>
      </c>
      <c r="G987" s="131"/>
      <c r="H987" s="128"/>
      <c r="I987" s="132" t="s">
        <v>374</v>
      </c>
      <c r="J987" s="133">
        <v>5</v>
      </c>
      <c r="K987" s="129">
        <v>6</v>
      </c>
      <c r="L987" s="129">
        <v>14</v>
      </c>
      <c r="M987" s="129" t="s">
        <v>82</v>
      </c>
      <c r="N987" s="129" t="s">
        <v>32</v>
      </c>
      <c r="O987" s="139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40"/>
    </row>
    <row r="988" spans="1:26" x14ac:dyDescent="0.25">
      <c r="A988" s="203">
        <f t="shared" si="22"/>
        <v>986</v>
      </c>
      <c r="B988" s="128"/>
      <c r="C988" s="263"/>
      <c r="D988" s="262"/>
      <c r="E988" s="128"/>
      <c r="F988" s="138" t="s">
        <v>1933</v>
      </c>
      <c r="G988" s="131"/>
      <c r="H988" s="128"/>
      <c r="I988" s="132" t="s">
        <v>374</v>
      </c>
      <c r="J988" s="133">
        <v>5</v>
      </c>
      <c r="K988" s="129">
        <v>6</v>
      </c>
      <c r="L988" s="129">
        <v>15</v>
      </c>
      <c r="M988" s="129" t="s">
        <v>82</v>
      </c>
      <c r="N988" s="129" t="s">
        <v>32</v>
      </c>
      <c r="O988" s="139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40"/>
    </row>
    <row r="989" spans="1:26" x14ac:dyDescent="0.25">
      <c r="A989" s="203">
        <f t="shared" ref="A989:A1052" si="23">ROW()-1</f>
        <v>988</v>
      </c>
      <c r="B989" s="128" t="s">
        <v>397</v>
      </c>
      <c r="C989" s="263"/>
      <c r="D989" s="262"/>
      <c r="E989" s="128"/>
      <c r="F989" s="138" t="s">
        <v>1933</v>
      </c>
      <c r="G989" s="131"/>
      <c r="H989" s="128"/>
      <c r="I989" s="132" t="s">
        <v>434</v>
      </c>
      <c r="J989" s="133">
        <v>6</v>
      </c>
      <c r="K989" s="129">
        <v>2</v>
      </c>
      <c r="L989" s="129">
        <v>4</v>
      </c>
      <c r="M989" s="129" t="s">
        <v>138</v>
      </c>
      <c r="N989" s="129" t="s">
        <v>139</v>
      </c>
      <c r="O989" s="139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40"/>
    </row>
    <row r="990" spans="1:26" x14ac:dyDescent="0.25">
      <c r="A990" s="203">
        <f t="shared" si="23"/>
        <v>989</v>
      </c>
      <c r="B990" s="128" t="s">
        <v>397</v>
      </c>
      <c r="C990" s="263"/>
      <c r="D990" s="262"/>
      <c r="E990" s="128"/>
      <c r="F990" s="138" t="s">
        <v>1933</v>
      </c>
      <c r="G990" s="131"/>
      <c r="H990" s="128"/>
      <c r="I990" s="132" t="s">
        <v>434</v>
      </c>
      <c r="J990" s="133">
        <v>6</v>
      </c>
      <c r="K990" s="129">
        <v>2</v>
      </c>
      <c r="L990" s="129">
        <v>5</v>
      </c>
      <c r="M990" s="129" t="s">
        <v>138</v>
      </c>
      <c r="N990" s="129" t="s">
        <v>139</v>
      </c>
      <c r="O990" s="139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40"/>
    </row>
    <row r="991" spans="1:26" x14ac:dyDescent="0.25">
      <c r="A991" s="203">
        <f t="shared" si="23"/>
        <v>990</v>
      </c>
      <c r="B991" s="128" t="s">
        <v>393</v>
      </c>
      <c r="C991" s="263"/>
      <c r="D991" s="262"/>
      <c r="E991" s="128"/>
      <c r="F991" s="138" t="s">
        <v>1933</v>
      </c>
      <c r="G991" s="131"/>
      <c r="H991" s="128"/>
      <c r="I991" s="132" t="s">
        <v>434</v>
      </c>
      <c r="J991" s="133">
        <v>6</v>
      </c>
      <c r="K991" s="129">
        <v>2</v>
      </c>
      <c r="L991" s="129">
        <v>6</v>
      </c>
      <c r="M991" s="129" t="s">
        <v>138</v>
      </c>
      <c r="N991" s="129" t="s">
        <v>139</v>
      </c>
      <c r="O991" s="139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40"/>
    </row>
    <row r="992" spans="1:26" x14ac:dyDescent="0.25">
      <c r="A992" s="203">
        <f t="shared" si="23"/>
        <v>991</v>
      </c>
      <c r="B992" s="128" t="s">
        <v>393</v>
      </c>
      <c r="C992" s="263"/>
      <c r="D992" s="262"/>
      <c r="E992" s="128"/>
      <c r="F992" s="138" t="s">
        <v>1933</v>
      </c>
      <c r="G992" s="131"/>
      <c r="H992" s="128"/>
      <c r="I992" s="132" t="s">
        <v>434</v>
      </c>
      <c r="J992" s="133">
        <v>6</v>
      </c>
      <c r="K992" s="129">
        <v>2</v>
      </c>
      <c r="L992" s="129">
        <v>7</v>
      </c>
      <c r="M992" s="129" t="s">
        <v>138</v>
      </c>
      <c r="N992" s="129" t="s">
        <v>139</v>
      </c>
      <c r="O992" s="139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40"/>
    </row>
    <row r="993" spans="1:26" x14ac:dyDescent="0.25">
      <c r="A993" s="203">
        <f t="shared" si="23"/>
        <v>992</v>
      </c>
      <c r="B993" s="128" t="s">
        <v>429</v>
      </c>
      <c r="C993" s="263"/>
      <c r="D993" s="262"/>
      <c r="E993" s="128"/>
      <c r="F993" s="138" t="s">
        <v>1933</v>
      </c>
      <c r="G993" s="131"/>
      <c r="H993" s="128"/>
      <c r="I993" s="132" t="s">
        <v>434</v>
      </c>
      <c r="J993" s="133">
        <v>6</v>
      </c>
      <c r="K993" s="129">
        <v>3</v>
      </c>
      <c r="L993" s="129">
        <v>0</v>
      </c>
      <c r="M993" s="129" t="s">
        <v>138</v>
      </c>
      <c r="N993" s="129" t="s">
        <v>139</v>
      </c>
      <c r="O993" s="139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40"/>
    </row>
    <row r="994" spans="1:26" x14ac:dyDescent="0.25">
      <c r="A994" s="203">
        <f t="shared" si="23"/>
        <v>993</v>
      </c>
      <c r="B994" s="128" t="s">
        <v>429</v>
      </c>
      <c r="C994" s="263"/>
      <c r="D994" s="262"/>
      <c r="E994" s="128"/>
      <c r="F994" s="138" t="s">
        <v>1933</v>
      </c>
      <c r="G994" s="131"/>
      <c r="H994" s="128"/>
      <c r="I994" s="132" t="s">
        <v>434</v>
      </c>
      <c r="J994" s="133">
        <v>6</v>
      </c>
      <c r="K994" s="129">
        <v>3</v>
      </c>
      <c r="L994" s="129">
        <v>1</v>
      </c>
      <c r="M994" s="129" t="s">
        <v>138</v>
      </c>
      <c r="N994" s="129" t="s">
        <v>139</v>
      </c>
      <c r="O994" s="139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40"/>
    </row>
    <row r="995" spans="1:26" s="136" customFormat="1" x14ac:dyDescent="0.25">
      <c r="A995" s="203">
        <f t="shared" si="23"/>
        <v>994</v>
      </c>
      <c r="B995" s="128" t="s">
        <v>436</v>
      </c>
      <c r="C995" s="263"/>
      <c r="D995" s="262"/>
      <c r="E995" s="128"/>
      <c r="F995" s="138" t="s">
        <v>1933</v>
      </c>
      <c r="G995" s="131"/>
      <c r="H995" s="128"/>
      <c r="I995" s="132" t="s">
        <v>434</v>
      </c>
      <c r="J995" s="133">
        <v>6</v>
      </c>
      <c r="K995" s="129">
        <v>3</v>
      </c>
      <c r="L995" s="129">
        <v>2</v>
      </c>
      <c r="M995" s="129" t="s">
        <v>138</v>
      </c>
      <c r="N995" s="129" t="s">
        <v>139</v>
      </c>
      <c r="O995" s="139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40"/>
    </row>
    <row r="996" spans="1:26" x14ac:dyDescent="0.25">
      <c r="A996" s="203">
        <f t="shared" si="23"/>
        <v>995</v>
      </c>
      <c r="B996" s="128" t="s">
        <v>436</v>
      </c>
      <c r="C996" s="263"/>
      <c r="D996" s="262"/>
      <c r="E996" s="128"/>
      <c r="F996" s="138" t="s">
        <v>1933</v>
      </c>
      <c r="G996" s="131"/>
      <c r="H996" s="128"/>
      <c r="I996" s="132" t="s">
        <v>434</v>
      </c>
      <c r="J996" s="133">
        <v>6</v>
      </c>
      <c r="K996" s="129">
        <v>3</v>
      </c>
      <c r="L996" s="129">
        <v>3</v>
      </c>
      <c r="M996" s="129" t="s">
        <v>138</v>
      </c>
      <c r="N996" s="129" t="s">
        <v>139</v>
      </c>
      <c r="O996" s="139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40"/>
    </row>
    <row r="997" spans="1:26" x14ac:dyDescent="0.25">
      <c r="A997" s="203">
        <f t="shared" si="23"/>
        <v>996</v>
      </c>
      <c r="B997" s="128" t="s">
        <v>440</v>
      </c>
      <c r="C997" s="263"/>
      <c r="D997" s="262"/>
      <c r="E997" s="128"/>
      <c r="F997" s="138" t="s">
        <v>1933</v>
      </c>
      <c r="G997" s="131"/>
      <c r="H997" s="128"/>
      <c r="I997" s="132" t="s">
        <v>434</v>
      </c>
      <c r="J997" s="133">
        <v>6</v>
      </c>
      <c r="K997" s="129">
        <v>3</v>
      </c>
      <c r="L997" s="129">
        <v>4</v>
      </c>
      <c r="M997" s="129" t="s">
        <v>138</v>
      </c>
      <c r="N997" s="129" t="s">
        <v>139</v>
      </c>
      <c r="O997" s="139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40"/>
    </row>
    <row r="998" spans="1:26" x14ac:dyDescent="0.25">
      <c r="A998" s="203">
        <f t="shared" si="23"/>
        <v>997</v>
      </c>
      <c r="B998" s="128" t="s">
        <v>440</v>
      </c>
      <c r="C998" s="263"/>
      <c r="D998" s="262"/>
      <c r="E998" s="128"/>
      <c r="F998" s="138" t="s">
        <v>1933</v>
      </c>
      <c r="G998" s="131"/>
      <c r="H998" s="128"/>
      <c r="I998" s="132" t="s">
        <v>434</v>
      </c>
      <c r="J998" s="133">
        <v>6</v>
      </c>
      <c r="K998" s="129">
        <v>3</v>
      </c>
      <c r="L998" s="129">
        <v>5</v>
      </c>
      <c r="M998" s="129" t="s">
        <v>138</v>
      </c>
      <c r="N998" s="129" t="s">
        <v>139</v>
      </c>
      <c r="O998" s="139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40"/>
    </row>
    <row r="999" spans="1:26" x14ac:dyDescent="0.25">
      <c r="A999" s="203">
        <f t="shared" si="23"/>
        <v>998</v>
      </c>
      <c r="B999" s="128" t="s">
        <v>444</v>
      </c>
      <c r="C999" s="263"/>
      <c r="D999" s="262"/>
      <c r="E999" s="128"/>
      <c r="F999" s="138" t="s">
        <v>1933</v>
      </c>
      <c r="G999" s="131"/>
      <c r="H999" s="128"/>
      <c r="I999" s="132" t="s">
        <v>434</v>
      </c>
      <c r="J999" s="133">
        <v>6</v>
      </c>
      <c r="K999" s="129">
        <v>3</v>
      </c>
      <c r="L999" s="129">
        <v>6</v>
      </c>
      <c r="M999" s="129" t="s">
        <v>138</v>
      </c>
      <c r="N999" s="129" t="s">
        <v>139</v>
      </c>
      <c r="O999" s="139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40"/>
    </row>
    <row r="1000" spans="1:26" x14ac:dyDescent="0.25">
      <c r="A1000" s="203">
        <f t="shared" si="23"/>
        <v>999</v>
      </c>
      <c r="B1000" s="128" t="s">
        <v>444</v>
      </c>
      <c r="C1000" s="263"/>
      <c r="D1000" s="262"/>
      <c r="E1000" s="128"/>
      <c r="F1000" s="138" t="s">
        <v>1933</v>
      </c>
      <c r="G1000" s="131"/>
      <c r="H1000" s="128"/>
      <c r="I1000" s="132" t="s">
        <v>434</v>
      </c>
      <c r="J1000" s="133">
        <v>6</v>
      </c>
      <c r="K1000" s="129">
        <v>3</v>
      </c>
      <c r="L1000" s="129">
        <v>7</v>
      </c>
      <c r="M1000" s="129" t="s">
        <v>138</v>
      </c>
      <c r="N1000" s="129" t="s">
        <v>139</v>
      </c>
      <c r="O1000" s="139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40"/>
    </row>
    <row r="1001" spans="1:26" x14ac:dyDescent="0.25">
      <c r="A1001" s="203">
        <f t="shared" si="23"/>
        <v>1000</v>
      </c>
      <c r="B1001" s="128"/>
      <c r="C1001" s="263"/>
      <c r="D1001" s="262"/>
      <c r="E1001" s="128"/>
      <c r="F1001" s="141" t="s">
        <v>1933</v>
      </c>
      <c r="G1001" s="142"/>
      <c r="H1001" s="133"/>
      <c r="I1001" s="132" t="s">
        <v>434</v>
      </c>
      <c r="J1001" s="133">
        <v>6</v>
      </c>
      <c r="K1001" s="129">
        <v>4</v>
      </c>
      <c r="L1001" s="129">
        <v>6</v>
      </c>
      <c r="M1001" s="129" t="s">
        <v>31</v>
      </c>
      <c r="N1001" s="129" t="s">
        <v>139</v>
      </c>
      <c r="O1001" s="139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40"/>
    </row>
    <row r="1002" spans="1:26" x14ac:dyDescent="0.25">
      <c r="A1002" s="203">
        <f t="shared" si="23"/>
        <v>1001</v>
      </c>
      <c r="B1002" s="128"/>
      <c r="C1002" s="263"/>
      <c r="D1002" s="262"/>
      <c r="E1002" s="128"/>
      <c r="F1002" s="141" t="s">
        <v>1933</v>
      </c>
      <c r="G1002" s="142"/>
      <c r="H1002" s="133"/>
      <c r="I1002" s="132" t="s">
        <v>434</v>
      </c>
      <c r="J1002" s="133">
        <v>6</v>
      </c>
      <c r="K1002" s="129">
        <v>4</v>
      </c>
      <c r="L1002" s="129">
        <v>7</v>
      </c>
      <c r="M1002" s="129" t="s">
        <v>31</v>
      </c>
      <c r="N1002" s="129" t="s">
        <v>139</v>
      </c>
      <c r="O1002" s="139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40"/>
    </row>
    <row r="1003" spans="1:26" x14ac:dyDescent="0.25">
      <c r="A1003" s="203">
        <f t="shared" si="23"/>
        <v>1002</v>
      </c>
      <c r="B1003" s="128"/>
      <c r="C1003" s="263"/>
      <c r="D1003" s="262"/>
      <c r="E1003" s="128"/>
      <c r="F1003" s="141" t="s">
        <v>1933</v>
      </c>
      <c r="G1003" s="142"/>
      <c r="H1003" s="133"/>
      <c r="I1003" s="132" t="s">
        <v>434</v>
      </c>
      <c r="J1003" s="133">
        <v>6</v>
      </c>
      <c r="K1003" s="129">
        <v>4</v>
      </c>
      <c r="L1003" s="129">
        <v>8</v>
      </c>
      <c r="M1003" s="129" t="s">
        <v>31</v>
      </c>
      <c r="N1003" s="129" t="s">
        <v>32</v>
      </c>
      <c r="O1003" s="139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40"/>
    </row>
    <row r="1004" spans="1:26" x14ac:dyDescent="0.25">
      <c r="A1004" s="203">
        <f t="shared" si="23"/>
        <v>1003</v>
      </c>
      <c r="B1004" s="128"/>
      <c r="C1004" s="263"/>
      <c r="D1004" s="262"/>
      <c r="E1004" s="128"/>
      <c r="F1004" s="141" t="s">
        <v>1933</v>
      </c>
      <c r="G1004" s="142"/>
      <c r="H1004" s="133"/>
      <c r="I1004" s="132" t="s">
        <v>434</v>
      </c>
      <c r="J1004" s="133">
        <v>6</v>
      </c>
      <c r="K1004" s="129">
        <v>4</v>
      </c>
      <c r="L1004" s="129">
        <v>9</v>
      </c>
      <c r="M1004" s="129" t="s">
        <v>31</v>
      </c>
      <c r="N1004" s="129" t="s">
        <v>32</v>
      </c>
      <c r="O1004" s="139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40"/>
    </row>
    <row r="1005" spans="1:26" x14ac:dyDescent="0.25">
      <c r="A1005" s="203">
        <f t="shared" si="23"/>
        <v>1004</v>
      </c>
      <c r="B1005" s="128"/>
      <c r="C1005" s="263"/>
      <c r="D1005" s="262"/>
      <c r="E1005" s="128"/>
      <c r="F1005" s="138" t="s">
        <v>1933</v>
      </c>
      <c r="G1005" s="131"/>
      <c r="H1005" s="128"/>
      <c r="I1005" s="132" t="s">
        <v>434</v>
      </c>
      <c r="J1005" s="133">
        <v>6</v>
      </c>
      <c r="K1005" s="129">
        <v>4</v>
      </c>
      <c r="L1005" s="129">
        <v>10</v>
      </c>
      <c r="M1005" s="129" t="s">
        <v>31</v>
      </c>
      <c r="N1005" s="129" t="s">
        <v>32</v>
      </c>
      <c r="O1005" s="139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40"/>
    </row>
    <row r="1006" spans="1:26" x14ac:dyDescent="0.25">
      <c r="A1006" s="203">
        <f t="shared" si="23"/>
        <v>1005</v>
      </c>
      <c r="B1006" s="128"/>
      <c r="C1006" s="263"/>
      <c r="D1006" s="262"/>
      <c r="E1006" s="128"/>
      <c r="F1006" s="138" t="s">
        <v>1933</v>
      </c>
      <c r="G1006" s="131"/>
      <c r="H1006" s="128"/>
      <c r="I1006" s="132" t="s">
        <v>434</v>
      </c>
      <c r="J1006" s="133">
        <v>6</v>
      </c>
      <c r="K1006" s="129">
        <v>4</v>
      </c>
      <c r="L1006" s="129">
        <v>11</v>
      </c>
      <c r="M1006" s="129" t="s">
        <v>31</v>
      </c>
      <c r="N1006" s="129" t="s">
        <v>32</v>
      </c>
      <c r="O1006" s="139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40"/>
    </row>
    <row r="1007" spans="1:26" x14ac:dyDescent="0.25">
      <c r="A1007" s="203">
        <f t="shared" si="23"/>
        <v>1006</v>
      </c>
      <c r="B1007" s="128"/>
      <c r="C1007" s="263"/>
      <c r="D1007" s="262"/>
      <c r="E1007" s="128"/>
      <c r="F1007" s="138" t="s">
        <v>1933</v>
      </c>
      <c r="G1007" s="131"/>
      <c r="H1007" s="128"/>
      <c r="I1007" s="132" t="s">
        <v>434</v>
      </c>
      <c r="J1007" s="133">
        <v>6</v>
      </c>
      <c r="K1007" s="129">
        <v>4</v>
      </c>
      <c r="L1007" s="129">
        <v>12</v>
      </c>
      <c r="M1007" s="129" t="s">
        <v>31</v>
      </c>
      <c r="N1007" s="129" t="s">
        <v>32</v>
      </c>
      <c r="O1007" s="139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40"/>
    </row>
    <row r="1008" spans="1:26" x14ac:dyDescent="0.25">
      <c r="A1008" s="203">
        <f t="shared" si="23"/>
        <v>1007</v>
      </c>
      <c r="B1008" s="128"/>
      <c r="C1008" s="263"/>
      <c r="D1008" s="262"/>
      <c r="E1008" s="128"/>
      <c r="F1008" s="138" t="s">
        <v>1933</v>
      </c>
      <c r="G1008" s="131"/>
      <c r="H1008" s="128"/>
      <c r="I1008" s="132" t="s">
        <v>434</v>
      </c>
      <c r="J1008" s="133">
        <v>6</v>
      </c>
      <c r="K1008" s="129">
        <v>4</v>
      </c>
      <c r="L1008" s="129">
        <v>13</v>
      </c>
      <c r="M1008" s="129" t="s">
        <v>31</v>
      </c>
      <c r="N1008" s="129" t="s">
        <v>32</v>
      </c>
      <c r="O1008" s="139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40"/>
    </row>
    <row r="1009" spans="1:26" x14ac:dyDescent="0.25">
      <c r="A1009" s="203">
        <f t="shared" si="23"/>
        <v>1008</v>
      </c>
      <c r="B1009" s="128"/>
      <c r="C1009" s="263"/>
      <c r="D1009" s="262"/>
      <c r="E1009" s="128"/>
      <c r="F1009" s="138" t="s">
        <v>1933</v>
      </c>
      <c r="G1009" s="131"/>
      <c r="H1009" s="128"/>
      <c r="I1009" s="132" t="s">
        <v>434</v>
      </c>
      <c r="J1009" s="133">
        <v>6</v>
      </c>
      <c r="K1009" s="129">
        <v>4</v>
      </c>
      <c r="L1009" s="129">
        <v>14</v>
      </c>
      <c r="M1009" s="129" t="s">
        <v>31</v>
      </c>
      <c r="N1009" s="129" t="s">
        <v>32</v>
      </c>
      <c r="O1009" s="139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40"/>
    </row>
    <row r="1010" spans="1:26" x14ac:dyDescent="0.25">
      <c r="A1010" s="203">
        <f t="shared" si="23"/>
        <v>1009</v>
      </c>
      <c r="B1010" s="128"/>
      <c r="C1010" s="263"/>
      <c r="D1010" s="262"/>
      <c r="E1010" s="128"/>
      <c r="F1010" s="138" t="s">
        <v>1933</v>
      </c>
      <c r="G1010" s="131"/>
      <c r="H1010" s="128"/>
      <c r="I1010" s="132" t="s">
        <v>434</v>
      </c>
      <c r="J1010" s="133">
        <v>6</v>
      </c>
      <c r="K1010" s="129">
        <v>4</v>
      </c>
      <c r="L1010" s="129">
        <v>15</v>
      </c>
      <c r="M1010" s="129" t="s">
        <v>31</v>
      </c>
      <c r="N1010" s="129" t="s">
        <v>32</v>
      </c>
      <c r="O1010" s="139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40"/>
    </row>
    <row r="1011" spans="1:26" x14ac:dyDescent="0.25">
      <c r="A1011" s="203">
        <f t="shared" si="23"/>
        <v>1010</v>
      </c>
      <c r="B1011" s="128"/>
      <c r="C1011" s="263"/>
      <c r="D1011" s="262"/>
      <c r="E1011" s="128"/>
      <c r="F1011" s="138" t="s">
        <v>1935</v>
      </c>
      <c r="G1011" s="131"/>
      <c r="H1011" s="128"/>
      <c r="I1011" s="132" t="s">
        <v>434</v>
      </c>
      <c r="J1011" s="133">
        <v>6</v>
      </c>
      <c r="K1011" s="129">
        <v>5</v>
      </c>
      <c r="L1011" s="129">
        <v>0</v>
      </c>
      <c r="M1011" s="129" t="s">
        <v>1936</v>
      </c>
      <c r="N1011" s="129" t="s">
        <v>295</v>
      </c>
      <c r="O1011" s="139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40"/>
    </row>
    <row r="1012" spans="1:26" x14ac:dyDescent="0.25">
      <c r="A1012" s="203">
        <f t="shared" si="23"/>
        <v>1011</v>
      </c>
      <c r="B1012" s="128" t="s">
        <v>415</v>
      </c>
      <c r="C1012" s="263"/>
      <c r="D1012" s="262"/>
      <c r="E1012" s="128"/>
      <c r="F1012" s="144"/>
      <c r="G1012" s="131"/>
      <c r="H1012" s="128"/>
      <c r="I1012" s="132" t="s">
        <v>434</v>
      </c>
      <c r="J1012" s="133">
        <v>6</v>
      </c>
      <c r="K1012" s="129">
        <v>6</v>
      </c>
      <c r="L1012" s="129">
        <v>4</v>
      </c>
      <c r="M1012" s="129" t="s">
        <v>82</v>
      </c>
      <c r="N1012" s="129" t="s">
        <v>32</v>
      </c>
      <c r="O1012" s="139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40"/>
    </row>
    <row r="1013" spans="1:26" x14ac:dyDescent="0.25">
      <c r="A1013" s="203">
        <f t="shared" si="23"/>
        <v>1012</v>
      </c>
      <c r="B1013" s="128" t="s">
        <v>418</v>
      </c>
      <c r="C1013" s="263"/>
      <c r="D1013" s="262"/>
      <c r="E1013" s="128"/>
      <c r="F1013" s="144"/>
      <c r="G1013" s="131"/>
      <c r="H1013" s="128"/>
      <c r="I1013" s="132" t="s">
        <v>434</v>
      </c>
      <c r="J1013" s="133">
        <v>6</v>
      </c>
      <c r="K1013" s="129">
        <v>6</v>
      </c>
      <c r="L1013" s="129">
        <v>5</v>
      </c>
      <c r="M1013" s="129" t="s">
        <v>82</v>
      </c>
      <c r="N1013" s="129" t="s">
        <v>32</v>
      </c>
      <c r="O1013" s="139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40"/>
    </row>
    <row r="1014" spans="1:26" x14ac:dyDescent="0.25">
      <c r="A1014" s="203">
        <f t="shared" si="23"/>
        <v>1013</v>
      </c>
      <c r="B1014" s="128" t="s">
        <v>421</v>
      </c>
      <c r="C1014" s="263"/>
      <c r="D1014" s="262"/>
      <c r="E1014" s="128"/>
      <c r="F1014" s="138"/>
      <c r="G1014" s="131"/>
      <c r="H1014" s="128"/>
      <c r="I1014" s="132" t="s">
        <v>434</v>
      </c>
      <c r="J1014" s="133">
        <v>6</v>
      </c>
      <c r="K1014" s="129">
        <v>6</v>
      </c>
      <c r="L1014" s="129">
        <v>6</v>
      </c>
      <c r="M1014" s="129" t="s">
        <v>82</v>
      </c>
      <c r="N1014" s="129" t="s">
        <v>32</v>
      </c>
      <c r="O1014" s="139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40"/>
    </row>
    <row r="1015" spans="1:26" x14ac:dyDescent="0.25">
      <c r="A1015" s="203">
        <f t="shared" si="23"/>
        <v>1014</v>
      </c>
      <c r="B1015" s="128" t="s">
        <v>424</v>
      </c>
      <c r="C1015" s="263"/>
      <c r="D1015" s="262"/>
      <c r="E1015" s="128"/>
      <c r="F1015" s="138" t="s">
        <v>1933</v>
      </c>
      <c r="G1015" s="131"/>
      <c r="H1015" s="128"/>
      <c r="I1015" s="132" t="s">
        <v>434</v>
      </c>
      <c r="J1015" s="133">
        <v>6</v>
      </c>
      <c r="K1015" s="129">
        <v>6</v>
      </c>
      <c r="L1015" s="129">
        <v>7</v>
      </c>
      <c r="M1015" s="129" t="s">
        <v>82</v>
      </c>
      <c r="N1015" s="129" t="s">
        <v>32</v>
      </c>
      <c r="O1015" s="139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40"/>
    </row>
    <row r="1016" spans="1:26" x14ac:dyDescent="0.25">
      <c r="A1016" s="203">
        <f t="shared" si="23"/>
        <v>1015</v>
      </c>
      <c r="B1016" s="128"/>
      <c r="C1016" s="263"/>
      <c r="D1016" s="262"/>
      <c r="E1016" s="128"/>
      <c r="F1016" s="138" t="s">
        <v>1933</v>
      </c>
      <c r="G1016" s="131"/>
      <c r="H1016" s="128"/>
      <c r="I1016" s="132" t="s">
        <v>434</v>
      </c>
      <c r="J1016" s="133">
        <v>6</v>
      </c>
      <c r="K1016" s="129">
        <v>6</v>
      </c>
      <c r="L1016" s="129">
        <v>8</v>
      </c>
      <c r="M1016" s="129" t="s">
        <v>82</v>
      </c>
      <c r="N1016" s="129" t="s">
        <v>32</v>
      </c>
      <c r="O1016" s="139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40"/>
    </row>
    <row r="1017" spans="1:26" x14ac:dyDescent="0.25">
      <c r="A1017" s="203">
        <f t="shared" si="23"/>
        <v>1016</v>
      </c>
      <c r="B1017" s="128" t="s">
        <v>1944</v>
      </c>
      <c r="C1017" s="263"/>
      <c r="D1017" s="262"/>
      <c r="E1017" s="128"/>
      <c r="F1017" s="138" t="s">
        <v>1933</v>
      </c>
      <c r="G1017" s="131"/>
      <c r="H1017" s="128"/>
      <c r="I1017" s="132" t="s">
        <v>434</v>
      </c>
      <c r="J1017" s="133">
        <v>6</v>
      </c>
      <c r="K1017" s="129">
        <v>6</v>
      </c>
      <c r="L1017" s="129">
        <v>9</v>
      </c>
      <c r="M1017" s="129" t="s">
        <v>82</v>
      </c>
      <c r="N1017" s="129" t="s">
        <v>32</v>
      </c>
      <c r="O1017" s="139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40"/>
    </row>
    <row r="1018" spans="1:26" x14ac:dyDescent="0.25">
      <c r="A1018" s="203">
        <f t="shared" si="23"/>
        <v>1017</v>
      </c>
      <c r="B1018" s="128" t="s">
        <v>1945</v>
      </c>
      <c r="C1018" s="263"/>
      <c r="D1018" s="262"/>
      <c r="E1018" s="128"/>
      <c r="F1018" s="138" t="s">
        <v>1933</v>
      </c>
      <c r="G1018" s="131"/>
      <c r="H1018" s="128"/>
      <c r="I1018" s="132" t="s">
        <v>434</v>
      </c>
      <c r="J1018" s="133">
        <v>6</v>
      </c>
      <c r="K1018" s="129">
        <v>6</v>
      </c>
      <c r="L1018" s="129">
        <v>10</v>
      </c>
      <c r="M1018" s="129" t="s">
        <v>82</v>
      </c>
      <c r="N1018" s="129" t="s">
        <v>32</v>
      </c>
      <c r="O1018" s="139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40"/>
    </row>
    <row r="1019" spans="1:26" x14ac:dyDescent="0.25">
      <c r="A1019" s="203">
        <f t="shared" si="23"/>
        <v>1018</v>
      </c>
      <c r="B1019" s="128" t="s">
        <v>1946</v>
      </c>
      <c r="C1019" s="263"/>
      <c r="D1019" s="262"/>
      <c r="E1019" s="128"/>
      <c r="F1019" s="138" t="s">
        <v>1933</v>
      </c>
      <c r="G1019" s="131"/>
      <c r="H1019" s="128"/>
      <c r="I1019" s="132" t="s">
        <v>434</v>
      </c>
      <c r="J1019" s="133">
        <v>6</v>
      </c>
      <c r="K1019" s="129">
        <v>6</v>
      </c>
      <c r="L1019" s="129">
        <v>11</v>
      </c>
      <c r="M1019" s="129" t="s">
        <v>82</v>
      </c>
      <c r="N1019" s="129" t="s">
        <v>32</v>
      </c>
      <c r="O1019" s="139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40"/>
    </row>
    <row r="1020" spans="1:26" x14ac:dyDescent="0.25">
      <c r="A1020" s="203">
        <f t="shared" si="23"/>
        <v>1019</v>
      </c>
      <c r="B1020" s="128" t="s">
        <v>1947</v>
      </c>
      <c r="C1020" s="263"/>
      <c r="D1020" s="262"/>
      <c r="E1020" s="128"/>
      <c r="F1020" s="138" t="s">
        <v>1933</v>
      </c>
      <c r="G1020" s="131"/>
      <c r="H1020" s="128"/>
      <c r="I1020" s="132" t="s">
        <v>434</v>
      </c>
      <c r="J1020" s="133">
        <v>6</v>
      </c>
      <c r="K1020" s="129">
        <v>6</v>
      </c>
      <c r="L1020" s="129">
        <v>12</v>
      </c>
      <c r="M1020" s="129" t="s">
        <v>82</v>
      </c>
      <c r="N1020" s="129" t="s">
        <v>32</v>
      </c>
      <c r="O1020" s="139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40"/>
    </row>
    <row r="1021" spans="1:26" x14ac:dyDescent="0.25">
      <c r="A1021" s="203">
        <f t="shared" si="23"/>
        <v>1020</v>
      </c>
      <c r="B1021" s="128" t="s">
        <v>1948</v>
      </c>
      <c r="C1021" s="263"/>
      <c r="D1021" s="262"/>
      <c r="E1021" s="128"/>
      <c r="F1021" s="138" t="s">
        <v>1933</v>
      </c>
      <c r="G1021" s="131"/>
      <c r="H1021" s="128"/>
      <c r="I1021" s="132" t="s">
        <v>434</v>
      </c>
      <c r="J1021" s="133">
        <v>6</v>
      </c>
      <c r="K1021" s="129">
        <v>6</v>
      </c>
      <c r="L1021" s="129">
        <v>13</v>
      </c>
      <c r="M1021" s="129" t="s">
        <v>82</v>
      </c>
      <c r="N1021" s="129" t="s">
        <v>32</v>
      </c>
      <c r="O1021" s="139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40"/>
    </row>
    <row r="1022" spans="1:26" x14ac:dyDescent="0.25">
      <c r="A1022" s="203">
        <f t="shared" si="23"/>
        <v>1021</v>
      </c>
      <c r="B1022" s="128" t="s">
        <v>1949</v>
      </c>
      <c r="C1022" s="263"/>
      <c r="D1022" s="262"/>
      <c r="E1022" s="128"/>
      <c r="F1022" s="138" t="s">
        <v>1933</v>
      </c>
      <c r="G1022" s="131"/>
      <c r="H1022" s="128"/>
      <c r="I1022" s="132" t="s">
        <v>434</v>
      </c>
      <c r="J1022" s="133">
        <v>6</v>
      </c>
      <c r="K1022" s="129">
        <v>6</v>
      </c>
      <c r="L1022" s="129">
        <v>14</v>
      </c>
      <c r="M1022" s="129" t="s">
        <v>82</v>
      </c>
      <c r="N1022" s="129" t="s">
        <v>32</v>
      </c>
      <c r="O1022" s="139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40"/>
    </row>
    <row r="1023" spans="1:26" x14ac:dyDescent="0.25">
      <c r="A1023" s="203">
        <f t="shared" si="23"/>
        <v>1022</v>
      </c>
      <c r="B1023" s="128"/>
      <c r="C1023" s="263"/>
      <c r="D1023" s="262"/>
      <c r="E1023" s="128"/>
      <c r="F1023" s="138" t="s">
        <v>1933</v>
      </c>
      <c r="G1023" s="131"/>
      <c r="H1023" s="128"/>
      <c r="I1023" s="132" t="s">
        <v>434</v>
      </c>
      <c r="J1023" s="133">
        <v>6</v>
      </c>
      <c r="K1023" s="129">
        <v>6</v>
      </c>
      <c r="L1023" s="129">
        <v>15</v>
      </c>
      <c r="M1023" s="129" t="s">
        <v>82</v>
      </c>
      <c r="N1023" s="129" t="s">
        <v>32</v>
      </c>
      <c r="O1023" s="139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40"/>
    </row>
    <row r="1024" spans="1:26" x14ac:dyDescent="0.25">
      <c r="A1024" s="203">
        <f t="shared" si="23"/>
        <v>1023</v>
      </c>
      <c r="B1024" s="133"/>
      <c r="C1024" s="263"/>
      <c r="D1024" s="264"/>
      <c r="E1024" s="133"/>
      <c r="F1024" s="141" t="s">
        <v>1933</v>
      </c>
      <c r="G1024" s="129"/>
      <c r="H1024" s="133"/>
      <c r="I1024" s="142" t="s">
        <v>246</v>
      </c>
      <c r="J1024" s="133">
        <v>7</v>
      </c>
      <c r="K1024" s="129">
        <v>2</v>
      </c>
      <c r="L1024" s="129">
        <v>6</v>
      </c>
      <c r="M1024" s="129" t="s">
        <v>138</v>
      </c>
      <c r="N1024" s="129" t="s">
        <v>139</v>
      </c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3"/>
    </row>
    <row r="1025" spans="1:26" x14ac:dyDescent="0.25">
      <c r="A1025" s="203">
        <f t="shared" si="23"/>
        <v>1024</v>
      </c>
      <c r="B1025" s="133"/>
      <c r="C1025" s="263"/>
      <c r="D1025" s="264"/>
      <c r="E1025" s="133"/>
      <c r="F1025" s="141" t="s">
        <v>1933</v>
      </c>
      <c r="G1025" s="129"/>
      <c r="H1025" s="133"/>
      <c r="I1025" s="142" t="s">
        <v>246</v>
      </c>
      <c r="J1025" s="133">
        <v>7</v>
      </c>
      <c r="K1025" s="129">
        <v>2</v>
      </c>
      <c r="L1025" s="129">
        <v>7</v>
      </c>
      <c r="M1025" s="129" t="s">
        <v>138</v>
      </c>
      <c r="N1025" s="129" t="s">
        <v>139</v>
      </c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3"/>
    </row>
    <row r="1026" spans="1:26" x14ac:dyDescent="0.25">
      <c r="A1026" s="203">
        <f t="shared" si="23"/>
        <v>1025</v>
      </c>
      <c r="B1026" s="133"/>
      <c r="C1026" s="263"/>
      <c r="D1026" s="264"/>
      <c r="E1026" s="133"/>
      <c r="F1026" s="141" t="s">
        <v>1933</v>
      </c>
      <c r="G1026" s="129"/>
      <c r="H1026" s="133"/>
      <c r="I1026" s="142" t="s">
        <v>246</v>
      </c>
      <c r="J1026" s="133">
        <v>7</v>
      </c>
      <c r="K1026" s="129">
        <v>4</v>
      </c>
      <c r="L1026" s="129">
        <v>0</v>
      </c>
      <c r="M1026" s="129" t="s">
        <v>138</v>
      </c>
      <c r="N1026" s="129" t="s">
        <v>139</v>
      </c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3"/>
    </row>
    <row r="1027" spans="1:26" x14ac:dyDescent="0.25">
      <c r="A1027" s="203">
        <f t="shared" si="23"/>
        <v>1026</v>
      </c>
      <c r="B1027" s="133"/>
      <c r="C1027" s="263"/>
      <c r="D1027" s="264"/>
      <c r="E1027" s="133"/>
      <c r="F1027" s="141" t="s">
        <v>1933</v>
      </c>
      <c r="G1027" s="129"/>
      <c r="H1027" s="133"/>
      <c r="I1027" s="142" t="s">
        <v>246</v>
      </c>
      <c r="J1027" s="133">
        <v>7</v>
      </c>
      <c r="K1027" s="129">
        <v>4</v>
      </c>
      <c r="L1027" s="129">
        <v>1</v>
      </c>
      <c r="M1027" s="129" t="s">
        <v>138</v>
      </c>
      <c r="N1027" s="129" t="s">
        <v>139</v>
      </c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3"/>
    </row>
    <row r="1028" spans="1:26" x14ac:dyDescent="0.25">
      <c r="A1028" s="203">
        <f t="shared" si="23"/>
        <v>1027</v>
      </c>
      <c r="B1028" s="133"/>
      <c r="C1028" s="263"/>
      <c r="D1028" s="264"/>
      <c r="E1028" s="133"/>
      <c r="F1028" s="141" t="s">
        <v>1933</v>
      </c>
      <c r="G1028" s="129"/>
      <c r="H1028" s="133"/>
      <c r="I1028" s="142" t="s">
        <v>246</v>
      </c>
      <c r="J1028" s="133">
        <v>7</v>
      </c>
      <c r="K1028" s="129">
        <v>4</v>
      </c>
      <c r="L1028" s="129">
        <v>2</v>
      </c>
      <c r="M1028" s="129" t="s">
        <v>138</v>
      </c>
      <c r="N1028" s="129" t="s">
        <v>139</v>
      </c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3"/>
    </row>
    <row r="1029" spans="1:26" x14ac:dyDescent="0.25">
      <c r="A1029" s="203">
        <f t="shared" si="23"/>
        <v>1028</v>
      </c>
      <c r="B1029" s="133"/>
      <c r="C1029" s="263"/>
      <c r="D1029" s="264"/>
      <c r="E1029" s="133"/>
      <c r="F1029" s="141" t="s">
        <v>1933</v>
      </c>
      <c r="G1029" s="129"/>
      <c r="H1029" s="133"/>
      <c r="I1029" s="142" t="s">
        <v>246</v>
      </c>
      <c r="J1029" s="133">
        <v>7</v>
      </c>
      <c r="K1029" s="129">
        <v>4</v>
      </c>
      <c r="L1029" s="129">
        <v>3</v>
      </c>
      <c r="M1029" s="129" t="s">
        <v>138</v>
      </c>
      <c r="N1029" s="129" t="s">
        <v>139</v>
      </c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3"/>
    </row>
    <row r="1030" spans="1:26" x14ac:dyDescent="0.25">
      <c r="A1030" s="203">
        <f t="shared" si="23"/>
        <v>1029</v>
      </c>
      <c r="B1030" s="133"/>
      <c r="C1030" s="263"/>
      <c r="D1030" s="264"/>
      <c r="E1030" s="133"/>
      <c r="F1030" s="141" t="s">
        <v>1933</v>
      </c>
      <c r="G1030" s="129"/>
      <c r="H1030" s="133"/>
      <c r="I1030" s="142" t="s">
        <v>246</v>
      </c>
      <c r="J1030" s="133">
        <v>7</v>
      </c>
      <c r="K1030" s="129">
        <v>4</v>
      </c>
      <c r="L1030" s="129">
        <v>4</v>
      </c>
      <c r="M1030" s="129" t="s">
        <v>138</v>
      </c>
      <c r="N1030" s="129" t="s">
        <v>139</v>
      </c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3"/>
    </row>
    <row r="1031" spans="1:26" x14ac:dyDescent="0.25">
      <c r="A1031" s="203">
        <f t="shared" si="23"/>
        <v>1030</v>
      </c>
      <c r="B1031" s="133"/>
      <c r="C1031" s="263"/>
      <c r="D1031" s="264"/>
      <c r="E1031" s="133"/>
      <c r="F1031" s="141" t="s">
        <v>1933</v>
      </c>
      <c r="G1031" s="129"/>
      <c r="H1031" s="133"/>
      <c r="I1031" s="142" t="s">
        <v>246</v>
      </c>
      <c r="J1031" s="133">
        <v>7</v>
      </c>
      <c r="K1031" s="129">
        <v>4</v>
      </c>
      <c r="L1031" s="129">
        <v>5</v>
      </c>
      <c r="M1031" s="129" t="s">
        <v>138</v>
      </c>
      <c r="N1031" s="129" t="s">
        <v>139</v>
      </c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3"/>
    </row>
    <row r="1032" spans="1:26" x14ac:dyDescent="0.25">
      <c r="A1032" s="203">
        <f t="shared" si="23"/>
        <v>1031</v>
      </c>
      <c r="B1032" s="133"/>
      <c r="C1032" s="263"/>
      <c r="D1032" s="264"/>
      <c r="E1032" s="133"/>
      <c r="F1032" s="141" t="s">
        <v>1933</v>
      </c>
      <c r="G1032" s="129"/>
      <c r="H1032" s="133"/>
      <c r="I1032" s="142" t="s">
        <v>246</v>
      </c>
      <c r="J1032" s="133">
        <v>7</v>
      </c>
      <c r="K1032" s="129">
        <v>4</v>
      </c>
      <c r="L1032" s="129">
        <v>6</v>
      </c>
      <c r="M1032" s="129" t="s">
        <v>138</v>
      </c>
      <c r="N1032" s="129" t="s">
        <v>139</v>
      </c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3"/>
    </row>
    <row r="1033" spans="1:26" x14ac:dyDescent="0.25">
      <c r="A1033" s="203">
        <f t="shared" si="23"/>
        <v>1032</v>
      </c>
      <c r="B1033" s="133"/>
      <c r="C1033" s="263"/>
      <c r="D1033" s="264"/>
      <c r="E1033" s="133"/>
      <c r="F1033" s="141" t="s">
        <v>1933</v>
      </c>
      <c r="G1033" s="129"/>
      <c r="H1033" s="133"/>
      <c r="I1033" s="142" t="s">
        <v>246</v>
      </c>
      <c r="J1033" s="133">
        <v>7</v>
      </c>
      <c r="K1033" s="129">
        <v>4</v>
      </c>
      <c r="L1033" s="129">
        <v>7</v>
      </c>
      <c r="M1033" s="129" t="s">
        <v>138</v>
      </c>
      <c r="N1033" s="129" t="s">
        <v>139</v>
      </c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3"/>
    </row>
    <row r="1034" spans="1:26" x14ac:dyDescent="0.25">
      <c r="A1034" s="203">
        <f t="shared" si="23"/>
        <v>1033</v>
      </c>
      <c r="B1034" s="133"/>
      <c r="C1034" s="263"/>
      <c r="D1034" s="264"/>
      <c r="E1034" s="133"/>
      <c r="F1034" s="141" t="s">
        <v>1933</v>
      </c>
      <c r="G1034" s="131"/>
      <c r="H1034" s="133"/>
      <c r="I1034" s="142" t="s">
        <v>246</v>
      </c>
      <c r="J1034" s="133">
        <v>7</v>
      </c>
      <c r="K1034" s="129">
        <v>5</v>
      </c>
      <c r="L1034" s="129">
        <v>0</v>
      </c>
      <c r="M1034" s="129" t="s">
        <v>944</v>
      </c>
      <c r="N1034" s="129" t="s">
        <v>945</v>
      </c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3"/>
    </row>
    <row r="1035" spans="1:26" x14ac:dyDescent="0.25">
      <c r="A1035" s="203">
        <f t="shared" si="23"/>
        <v>1034</v>
      </c>
      <c r="B1035" s="133"/>
      <c r="C1035" s="263"/>
      <c r="D1035" s="264"/>
      <c r="E1035" s="133"/>
      <c r="F1035" s="141" t="s">
        <v>1933</v>
      </c>
      <c r="G1035" s="131"/>
      <c r="H1035" s="133"/>
      <c r="I1035" s="142" t="s">
        <v>246</v>
      </c>
      <c r="J1035" s="133">
        <v>7</v>
      </c>
      <c r="K1035" s="129">
        <v>5</v>
      </c>
      <c r="L1035" s="129">
        <v>1</v>
      </c>
      <c r="M1035" s="129" t="s">
        <v>944</v>
      </c>
      <c r="N1035" s="129" t="s">
        <v>945</v>
      </c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3"/>
    </row>
    <row r="1036" spans="1:26" x14ac:dyDescent="0.25">
      <c r="A1036" s="203">
        <f t="shared" si="23"/>
        <v>1035</v>
      </c>
      <c r="B1036" s="133"/>
      <c r="C1036" s="263"/>
      <c r="D1036" s="264"/>
      <c r="E1036" s="133"/>
      <c r="F1036" s="141" t="s">
        <v>1933</v>
      </c>
      <c r="G1036" s="131"/>
      <c r="H1036" s="133"/>
      <c r="I1036" s="142" t="s">
        <v>246</v>
      </c>
      <c r="J1036" s="133">
        <v>7</v>
      </c>
      <c r="K1036" s="129">
        <v>5</v>
      </c>
      <c r="L1036" s="129">
        <v>2</v>
      </c>
      <c r="M1036" s="129" t="s">
        <v>944</v>
      </c>
      <c r="N1036" s="129" t="s">
        <v>945</v>
      </c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3"/>
    </row>
    <row r="1037" spans="1:26" x14ac:dyDescent="0.25">
      <c r="A1037" s="203">
        <f t="shared" si="23"/>
        <v>1036</v>
      </c>
      <c r="B1037" s="133"/>
      <c r="C1037" s="263"/>
      <c r="D1037" s="264"/>
      <c r="E1037" s="133"/>
      <c r="F1037" s="141" t="s">
        <v>1933</v>
      </c>
      <c r="G1037" s="131"/>
      <c r="H1037" s="133"/>
      <c r="I1037" s="142" t="s">
        <v>246</v>
      </c>
      <c r="J1037" s="133">
        <v>7</v>
      </c>
      <c r="K1037" s="129">
        <v>5</v>
      </c>
      <c r="L1037" s="129">
        <v>3</v>
      </c>
      <c r="M1037" s="129" t="s">
        <v>944</v>
      </c>
      <c r="N1037" s="129" t="s">
        <v>945</v>
      </c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3"/>
    </row>
    <row r="1038" spans="1:26" x14ac:dyDescent="0.25">
      <c r="A1038" s="203">
        <f t="shared" si="23"/>
        <v>1037</v>
      </c>
      <c r="B1038" s="133"/>
      <c r="C1038" s="263"/>
      <c r="D1038" s="264"/>
      <c r="E1038" s="133"/>
      <c r="F1038" s="141" t="s">
        <v>1933</v>
      </c>
      <c r="G1038" s="131"/>
      <c r="H1038" s="133"/>
      <c r="I1038" s="142" t="s">
        <v>246</v>
      </c>
      <c r="J1038" s="133">
        <v>7</v>
      </c>
      <c r="K1038" s="129">
        <v>5</v>
      </c>
      <c r="L1038" s="129">
        <v>4</v>
      </c>
      <c r="M1038" s="129" t="s">
        <v>944</v>
      </c>
      <c r="N1038" s="129" t="s">
        <v>945</v>
      </c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3"/>
    </row>
    <row r="1039" spans="1:26" x14ac:dyDescent="0.25">
      <c r="A1039" s="203">
        <f t="shared" si="23"/>
        <v>1038</v>
      </c>
      <c r="B1039" s="133"/>
      <c r="C1039" s="263"/>
      <c r="D1039" s="264"/>
      <c r="E1039" s="133"/>
      <c r="F1039" s="141" t="s">
        <v>1933</v>
      </c>
      <c r="G1039" s="131"/>
      <c r="H1039" s="133"/>
      <c r="I1039" s="142" t="s">
        <v>246</v>
      </c>
      <c r="J1039" s="133">
        <v>7</v>
      </c>
      <c r="K1039" s="129">
        <v>5</v>
      </c>
      <c r="L1039" s="129">
        <v>5</v>
      </c>
      <c r="M1039" s="129" t="s">
        <v>944</v>
      </c>
      <c r="N1039" s="129" t="s">
        <v>945</v>
      </c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3"/>
    </row>
    <row r="1040" spans="1:26" x14ac:dyDescent="0.25">
      <c r="A1040" s="203">
        <f t="shared" si="23"/>
        <v>1039</v>
      </c>
      <c r="B1040" s="133"/>
      <c r="C1040" s="263"/>
      <c r="D1040" s="264"/>
      <c r="E1040" s="133"/>
      <c r="F1040" s="141" t="s">
        <v>1933</v>
      </c>
      <c r="G1040" s="131"/>
      <c r="H1040" s="133"/>
      <c r="I1040" s="142" t="s">
        <v>246</v>
      </c>
      <c r="J1040" s="133">
        <v>7</v>
      </c>
      <c r="K1040" s="129">
        <v>5</v>
      </c>
      <c r="L1040" s="129">
        <v>6</v>
      </c>
      <c r="M1040" s="129" t="s">
        <v>944</v>
      </c>
      <c r="N1040" s="129" t="s">
        <v>945</v>
      </c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3"/>
    </row>
    <row r="1041" spans="1:26" x14ac:dyDescent="0.25">
      <c r="A1041" s="203">
        <f t="shared" si="23"/>
        <v>1040</v>
      </c>
      <c r="B1041" s="133"/>
      <c r="C1041" s="263"/>
      <c r="D1041" s="264"/>
      <c r="E1041" s="133"/>
      <c r="F1041" s="141" t="s">
        <v>1933</v>
      </c>
      <c r="G1041" s="131"/>
      <c r="H1041" s="133"/>
      <c r="I1041" s="142" t="s">
        <v>246</v>
      </c>
      <c r="J1041" s="133">
        <v>7</v>
      </c>
      <c r="K1041" s="129">
        <v>5</v>
      </c>
      <c r="L1041" s="129">
        <v>7</v>
      </c>
      <c r="M1041" s="129" t="s">
        <v>944</v>
      </c>
      <c r="N1041" s="129" t="s">
        <v>945</v>
      </c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3"/>
    </row>
    <row r="1042" spans="1:26" x14ac:dyDescent="0.25">
      <c r="A1042" s="203">
        <f t="shared" si="23"/>
        <v>1041</v>
      </c>
      <c r="B1042" s="133"/>
      <c r="C1042" s="263"/>
      <c r="D1042" s="264"/>
      <c r="E1042" s="133"/>
      <c r="F1042" s="141" t="s">
        <v>1933</v>
      </c>
      <c r="G1042" s="129"/>
      <c r="H1042" s="133"/>
      <c r="I1042" s="142" t="s">
        <v>246</v>
      </c>
      <c r="J1042" s="133">
        <v>7</v>
      </c>
      <c r="K1042" s="129">
        <v>6</v>
      </c>
      <c r="L1042" s="129">
        <v>8</v>
      </c>
      <c r="M1042" s="129" t="s">
        <v>31</v>
      </c>
      <c r="N1042" s="129" t="s">
        <v>32</v>
      </c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3"/>
    </row>
    <row r="1043" spans="1:26" x14ac:dyDescent="0.25">
      <c r="A1043" s="203">
        <f t="shared" si="23"/>
        <v>1042</v>
      </c>
      <c r="B1043" s="133"/>
      <c r="C1043" s="263"/>
      <c r="D1043" s="264"/>
      <c r="E1043" s="133"/>
      <c r="F1043" s="141" t="s">
        <v>1933</v>
      </c>
      <c r="G1043" s="129"/>
      <c r="H1043" s="133"/>
      <c r="I1043" s="142" t="s">
        <v>246</v>
      </c>
      <c r="J1043" s="133">
        <v>7</v>
      </c>
      <c r="K1043" s="129">
        <v>6</v>
      </c>
      <c r="L1043" s="129">
        <v>9</v>
      </c>
      <c r="M1043" s="129" t="s">
        <v>31</v>
      </c>
      <c r="N1043" s="129" t="s">
        <v>32</v>
      </c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3"/>
    </row>
    <row r="1044" spans="1:26" x14ac:dyDescent="0.25">
      <c r="A1044" s="203">
        <f t="shared" si="23"/>
        <v>1043</v>
      </c>
      <c r="B1044" s="133"/>
      <c r="C1044" s="263"/>
      <c r="D1044" s="264"/>
      <c r="E1044" s="133"/>
      <c r="F1044" s="141" t="s">
        <v>1933</v>
      </c>
      <c r="G1044" s="129"/>
      <c r="H1044" s="133"/>
      <c r="I1044" s="142" t="s">
        <v>246</v>
      </c>
      <c r="J1044" s="133">
        <v>7</v>
      </c>
      <c r="K1044" s="129">
        <v>6</v>
      </c>
      <c r="L1044" s="129">
        <v>10</v>
      </c>
      <c r="M1044" s="129" t="s">
        <v>31</v>
      </c>
      <c r="N1044" s="129" t="s">
        <v>32</v>
      </c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3"/>
    </row>
    <row r="1045" spans="1:26" x14ac:dyDescent="0.25">
      <c r="A1045" s="203">
        <f t="shared" si="23"/>
        <v>1044</v>
      </c>
      <c r="B1045" s="133"/>
      <c r="C1045" s="263"/>
      <c r="D1045" s="264"/>
      <c r="E1045" s="133"/>
      <c r="F1045" s="141" t="s">
        <v>1933</v>
      </c>
      <c r="G1045" s="129"/>
      <c r="H1045" s="133"/>
      <c r="I1045" s="142" t="s">
        <v>246</v>
      </c>
      <c r="J1045" s="133">
        <v>7</v>
      </c>
      <c r="K1045" s="129">
        <v>6</v>
      </c>
      <c r="L1045" s="129">
        <v>11</v>
      </c>
      <c r="M1045" s="129" t="s">
        <v>31</v>
      </c>
      <c r="N1045" s="129" t="s">
        <v>32</v>
      </c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3"/>
    </row>
    <row r="1046" spans="1:26" x14ac:dyDescent="0.25">
      <c r="A1046" s="203">
        <f t="shared" si="23"/>
        <v>1045</v>
      </c>
      <c r="B1046" s="133"/>
      <c r="C1046" s="263"/>
      <c r="D1046" s="264"/>
      <c r="E1046" s="133"/>
      <c r="F1046" s="141" t="s">
        <v>1933</v>
      </c>
      <c r="G1046" s="129"/>
      <c r="H1046" s="133"/>
      <c r="I1046" s="142" t="s">
        <v>246</v>
      </c>
      <c r="J1046" s="133">
        <v>7</v>
      </c>
      <c r="K1046" s="129">
        <v>6</v>
      </c>
      <c r="L1046" s="129">
        <v>12</v>
      </c>
      <c r="M1046" s="129" t="s">
        <v>31</v>
      </c>
      <c r="N1046" s="129" t="s">
        <v>32</v>
      </c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3"/>
    </row>
    <row r="1047" spans="1:26" x14ac:dyDescent="0.25">
      <c r="A1047" s="203">
        <f t="shared" si="23"/>
        <v>1046</v>
      </c>
      <c r="B1047" s="133"/>
      <c r="C1047" s="263"/>
      <c r="D1047" s="264"/>
      <c r="E1047" s="133"/>
      <c r="F1047" s="141" t="s">
        <v>1933</v>
      </c>
      <c r="G1047" s="129"/>
      <c r="H1047" s="133"/>
      <c r="I1047" s="142" t="s">
        <v>246</v>
      </c>
      <c r="J1047" s="133">
        <v>7</v>
      </c>
      <c r="K1047" s="129">
        <v>6</v>
      </c>
      <c r="L1047" s="129">
        <v>13</v>
      </c>
      <c r="M1047" s="129" t="s">
        <v>31</v>
      </c>
      <c r="N1047" s="129" t="s">
        <v>32</v>
      </c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3"/>
    </row>
    <row r="1048" spans="1:26" x14ac:dyDescent="0.25">
      <c r="A1048" s="203">
        <f t="shared" si="23"/>
        <v>1047</v>
      </c>
      <c r="B1048" s="133"/>
      <c r="C1048" s="263"/>
      <c r="D1048" s="264"/>
      <c r="E1048" s="133"/>
      <c r="F1048" s="141" t="s">
        <v>1933</v>
      </c>
      <c r="G1048" s="129"/>
      <c r="H1048" s="133"/>
      <c r="I1048" s="142" t="s">
        <v>246</v>
      </c>
      <c r="J1048" s="133">
        <v>7</v>
      </c>
      <c r="K1048" s="129">
        <v>6</v>
      </c>
      <c r="L1048" s="129">
        <v>14</v>
      </c>
      <c r="M1048" s="129" t="s">
        <v>31</v>
      </c>
      <c r="N1048" s="129" t="s">
        <v>32</v>
      </c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3"/>
    </row>
    <row r="1049" spans="1:26" x14ac:dyDescent="0.25">
      <c r="A1049" s="203">
        <f t="shared" si="23"/>
        <v>1048</v>
      </c>
      <c r="B1049" s="133"/>
      <c r="C1049" s="263"/>
      <c r="D1049" s="264"/>
      <c r="E1049" s="133"/>
      <c r="F1049" s="141" t="s">
        <v>1933</v>
      </c>
      <c r="G1049" s="129"/>
      <c r="H1049" s="133"/>
      <c r="I1049" s="142" t="s">
        <v>246</v>
      </c>
      <c r="J1049" s="133">
        <v>7</v>
      </c>
      <c r="K1049" s="129">
        <v>6</v>
      </c>
      <c r="L1049" s="129">
        <v>15</v>
      </c>
      <c r="M1049" s="129" t="s">
        <v>31</v>
      </c>
      <c r="N1049" s="129" t="s">
        <v>32</v>
      </c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3"/>
    </row>
    <row r="1050" spans="1:26" x14ac:dyDescent="0.25">
      <c r="A1050" s="203">
        <f t="shared" si="23"/>
        <v>1049</v>
      </c>
      <c r="B1050" s="133"/>
      <c r="C1050" s="263"/>
      <c r="D1050" s="264"/>
      <c r="E1050" s="133"/>
      <c r="F1050" s="141" t="s">
        <v>1933</v>
      </c>
      <c r="G1050" s="131"/>
      <c r="H1050" s="133"/>
      <c r="I1050" s="142" t="s">
        <v>246</v>
      </c>
      <c r="J1050" s="133">
        <v>7</v>
      </c>
      <c r="K1050" s="129">
        <v>7</v>
      </c>
      <c r="L1050" s="129">
        <v>5</v>
      </c>
      <c r="M1050" s="129" t="s">
        <v>82</v>
      </c>
      <c r="N1050" s="129" t="s">
        <v>83</v>
      </c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3"/>
    </row>
    <row r="1051" spans="1:26" x14ac:dyDescent="0.25">
      <c r="A1051" s="203">
        <f t="shared" si="23"/>
        <v>1050</v>
      </c>
      <c r="B1051" s="133"/>
      <c r="C1051" s="263"/>
      <c r="D1051" s="264"/>
      <c r="E1051" s="133"/>
      <c r="F1051" s="141" t="s">
        <v>1933</v>
      </c>
      <c r="G1051" s="131"/>
      <c r="H1051" s="133"/>
      <c r="I1051" s="142" t="s">
        <v>246</v>
      </c>
      <c r="J1051" s="133">
        <v>7</v>
      </c>
      <c r="K1051" s="129">
        <v>7</v>
      </c>
      <c r="L1051" s="129">
        <v>6</v>
      </c>
      <c r="M1051" s="129" t="s">
        <v>82</v>
      </c>
      <c r="N1051" s="129" t="s">
        <v>83</v>
      </c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3"/>
    </row>
    <row r="1052" spans="1:26" x14ac:dyDescent="0.25">
      <c r="A1052" s="203">
        <f t="shared" si="23"/>
        <v>1051</v>
      </c>
      <c r="B1052" s="133"/>
      <c r="C1052" s="263"/>
      <c r="D1052" s="264"/>
      <c r="E1052" s="133"/>
      <c r="F1052" s="141" t="s">
        <v>1933</v>
      </c>
      <c r="G1052" s="131"/>
      <c r="H1052" s="133"/>
      <c r="I1052" s="142" t="s">
        <v>246</v>
      </c>
      <c r="J1052" s="133">
        <v>7</v>
      </c>
      <c r="K1052" s="129">
        <v>7</v>
      </c>
      <c r="L1052" s="129">
        <v>7</v>
      </c>
      <c r="M1052" s="129" t="s">
        <v>82</v>
      </c>
      <c r="N1052" s="129" t="s">
        <v>83</v>
      </c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3"/>
    </row>
    <row r="1053" spans="1:26" x14ac:dyDescent="0.25">
      <c r="A1053" s="203">
        <f t="shared" ref="A1053:A1116" si="24">ROW()-1</f>
        <v>1052</v>
      </c>
      <c r="B1053" s="133"/>
      <c r="C1053" s="263"/>
      <c r="D1053" s="264"/>
      <c r="E1053" s="133"/>
      <c r="F1053" s="141" t="s">
        <v>1933</v>
      </c>
      <c r="G1053" s="131"/>
      <c r="H1053" s="133"/>
      <c r="I1053" s="142" t="s">
        <v>246</v>
      </c>
      <c r="J1053" s="133">
        <v>7</v>
      </c>
      <c r="K1053" s="129">
        <v>7</v>
      </c>
      <c r="L1053" s="129">
        <v>8</v>
      </c>
      <c r="M1053" s="129" t="s">
        <v>82</v>
      </c>
      <c r="N1053" s="129" t="s">
        <v>83</v>
      </c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3"/>
    </row>
    <row r="1054" spans="1:26" x14ac:dyDescent="0.25">
      <c r="A1054" s="203">
        <f t="shared" si="24"/>
        <v>1053</v>
      </c>
      <c r="B1054" s="133"/>
      <c r="C1054" s="263"/>
      <c r="D1054" s="264"/>
      <c r="E1054" s="133"/>
      <c r="F1054" s="141" t="s">
        <v>1933</v>
      </c>
      <c r="G1054" s="131"/>
      <c r="H1054" s="133"/>
      <c r="I1054" s="142" t="s">
        <v>246</v>
      </c>
      <c r="J1054" s="133">
        <v>7</v>
      </c>
      <c r="K1054" s="129">
        <v>7</v>
      </c>
      <c r="L1054" s="129">
        <v>9</v>
      </c>
      <c r="M1054" s="129" t="s">
        <v>82</v>
      </c>
      <c r="N1054" s="129" t="s">
        <v>83</v>
      </c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3"/>
    </row>
    <row r="1055" spans="1:26" x14ac:dyDescent="0.25">
      <c r="A1055" s="203">
        <f t="shared" si="24"/>
        <v>1054</v>
      </c>
      <c r="B1055" s="133"/>
      <c r="C1055" s="263"/>
      <c r="D1055" s="264"/>
      <c r="E1055" s="133"/>
      <c r="F1055" s="141" t="s">
        <v>1933</v>
      </c>
      <c r="G1055" s="131"/>
      <c r="H1055" s="133"/>
      <c r="I1055" s="142" t="s">
        <v>246</v>
      </c>
      <c r="J1055" s="133">
        <v>7</v>
      </c>
      <c r="K1055" s="129">
        <v>7</v>
      </c>
      <c r="L1055" s="129">
        <v>10</v>
      </c>
      <c r="M1055" s="129" t="s">
        <v>82</v>
      </c>
      <c r="N1055" s="129" t="s">
        <v>83</v>
      </c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3"/>
    </row>
    <row r="1056" spans="1:26" x14ac:dyDescent="0.25">
      <c r="A1056" s="203">
        <f t="shared" si="24"/>
        <v>1055</v>
      </c>
      <c r="B1056" s="133"/>
      <c r="C1056" s="263"/>
      <c r="D1056" s="264"/>
      <c r="E1056" s="133"/>
      <c r="F1056" s="141" t="s">
        <v>1933</v>
      </c>
      <c r="G1056" s="131"/>
      <c r="H1056" s="133"/>
      <c r="I1056" s="142" t="s">
        <v>246</v>
      </c>
      <c r="J1056" s="133">
        <v>7</v>
      </c>
      <c r="K1056" s="129">
        <v>7</v>
      </c>
      <c r="L1056" s="129">
        <v>11</v>
      </c>
      <c r="M1056" s="129" t="s">
        <v>82</v>
      </c>
      <c r="N1056" s="129" t="s">
        <v>83</v>
      </c>
      <c r="O1056" s="146"/>
      <c r="P1056" s="146"/>
      <c r="Q1056" s="146"/>
      <c r="R1056" s="146"/>
      <c r="S1056" s="146"/>
      <c r="T1056" s="146"/>
      <c r="U1056" s="146"/>
      <c r="V1056" s="146"/>
      <c r="W1056" s="146"/>
      <c r="X1056" s="146"/>
      <c r="Y1056" s="146"/>
      <c r="Z1056" s="143"/>
    </row>
    <row r="1057" spans="1:26" x14ac:dyDescent="0.25">
      <c r="A1057" s="203">
        <f t="shared" si="24"/>
        <v>1056</v>
      </c>
      <c r="B1057" s="133"/>
      <c r="C1057" s="263"/>
      <c r="D1057" s="264"/>
      <c r="E1057" s="133"/>
      <c r="F1057" s="141" t="s">
        <v>1933</v>
      </c>
      <c r="G1057" s="131"/>
      <c r="H1057" s="133"/>
      <c r="I1057" s="142" t="s">
        <v>246</v>
      </c>
      <c r="J1057" s="133">
        <v>7</v>
      </c>
      <c r="K1057" s="129">
        <v>7</v>
      </c>
      <c r="L1057" s="129">
        <v>12</v>
      </c>
      <c r="M1057" s="129" t="s">
        <v>82</v>
      </c>
      <c r="N1057" s="129" t="s">
        <v>83</v>
      </c>
      <c r="O1057" s="146"/>
      <c r="P1057" s="146"/>
      <c r="Q1057" s="146"/>
      <c r="R1057" s="146"/>
      <c r="S1057" s="146"/>
      <c r="T1057" s="146"/>
      <c r="U1057" s="146"/>
      <c r="V1057" s="146"/>
      <c r="W1057" s="146"/>
      <c r="X1057" s="146"/>
      <c r="Y1057" s="146"/>
      <c r="Z1057" s="143"/>
    </row>
    <row r="1058" spans="1:26" x14ac:dyDescent="0.25">
      <c r="A1058" s="203">
        <f t="shared" si="24"/>
        <v>1057</v>
      </c>
      <c r="B1058" s="133"/>
      <c r="C1058" s="263"/>
      <c r="D1058" s="264"/>
      <c r="E1058" s="133"/>
      <c r="F1058" s="141" t="s">
        <v>1933</v>
      </c>
      <c r="G1058" s="131"/>
      <c r="H1058" s="133"/>
      <c r="I1058" s="142" t="s">
        <v>246</v>
      </c>
      <c r="J1058" s="133">
        <v>7</v>
      </c>
      <c r="K1058" s="129">
        <v>7</v>
      </c>
      <c r="L1058" s="129">
        <v>13</v>
      </c>
      <c r="M1058" s="129" t="s">
        <v>82</v>
      </c>
      <c r="N1058" s="129" t="s">
        <v>83</v>
      </c>
      <c r="O1058" s="146"/>
      <c r="P1058" s="146"/>
      <c r="Q1058" s="146"/>
      <c r="R1058" s="146"/>
      <c r="S1058" s="146"/>
      <c r="T1058" s="146"/>
      <c r="U1058" s="146"/>
      <c r="V1058" s="146"/>
      <c r="W1058" s="146"/>
      <c r="X1058" s="146"/>
      <c r="Y1058" s="146"/>
      <c r="Z1058" s="143"/>
    </row>
    <row r="1059" spans="1:26" x14ac:dyDescent="0.25">
      <c r="A1059" s="203">
        <f t="shared" si="24"/>
        <v>1058</v>
      </c>
      <c r="B1059" s="133"/>
      <c r="C1059" s="263"/>
      <c r="D1059" s="264"/>
      <c r="E1059" s="133"/>
      <c r="F1059" s="141" t="s">
        <v>1933</v>
      </c>
      <c r="G1059" s="131"/>
      <c r="H1059" s="133"/>
      <c r="I1059" s="142" t="s">
        <v>246</v>
      </c>
      <c r="J1059" s="133">
        <v>7</v>
      </c>
      <c r="K1059" s="129">
        <v>7</v>
      </c>
      <c r="L1059" s="129">
        <v>14</v>
      </c>
      <c r="M1059" s="129" t="s">
        <v>82</v>
      </c>
      <c r="N1059" s="129" t="s">
        <v>83</v>
      </c>
      <c r="O1059" s="146"/>
      <c r="P1059" s="146"/>
      <c r="Q1059" s="146"/>
      <c r="R1059" s="146"/>
      <c r="S1059" s="146"/>
      <c r="T1059" s="146"/>
      <c r="U1059" s="146"/>
      <c r="V1059" s="146"/>
      <c r="W1059" s="146"/>
      <c r="X1059" s="146"/>
      <c r="Y1059" s="146"/>
      <c r="Z1059" s="143"/>
    </row>
    <row r="1060" spans="1:26" x14ac:dyDescent="0.25">
      <c r="A1060" s="203">
        <f t="shared" si="24"/>
        <v>1059</v>
      </c>
      <c r="B1060" s="133"/>
      <c r="C1060" s="263"/>
      <c r="D1060" s="264"/>
      <c r="E1060" s="133"/>
      <c r="F1060" s="141" t="s">
        <v>1933</v>
      </c>
      <c r="G1060" s="131"/>
      <c r="H1060" s="133"/>
      <c r="I1060" s="142" t="s">
        <v>246</v>
      </c>
      <c r="J1060" s="133">
        <v>7</v>
      </c>
      <c r="K1060" s="129">
        <v>7</v>
      </c>
      <c r="L1060" s="129">
        <v>15</v>
      </c>
      <c r="M1060" s="129" t="s">
        <v>82</v>
      </c>
      <c r="N1060" s="129" t="s">
        <v>83</v>
      </c>
      <c r="O1060" s="146"/>
      <c r="P1060" s="146"/>
      <c r="Q1060" s="146"/>
      <c r="R1060" s="146"/>
      <c r="S1060" s="146"/>
      <c r="T1060" s="146"/>
      <c r="U1060" s="146"/>
      <c r="V1060" s="146"/>
      <c r="W1060" s="146"/>
      <c r="X1060" s="146"/>
      <c r="Y1060" s="146"/>
      <c r="Z1060" s="143"/>
    </row>
    <row r="1061" spans="1:26" x14ac:dyDescent="0.25">
      <c r="A1061" s="203">
        <f t="shared" si="24"/>
        <v>1060</v>
      </c>
      <c r="B1061" s="128"/>
      <c r="C1061" s="263"/>
      <c r="D1061" s="262"/>
      <c r="E1061" s="128"/>
      <c r="F1061" s="138"/>
      <c r="G1061" s="131"/>
      <c r="H1061" s="128"/>
      <c r="I1061" s="132" t="s">
        <v>123</v>
      </c>
      <c r="J1061" s="133">
        <v>8</v>
      </c>
      <c r="K1061" s="129">
        <v>3</v>
      </c>
      <c r="L1061" s="129">
        <v>2</v>
      </c>
      <c r="M1061" s="129" t="s">
        <v>138</v>
      </c>
      <c r="N1061" s="129" t="s">
        <v>139</v>
      </c>
      <c r="O1061" s="139"/>
      <c r="P1061" s="127"/>
      <c r="Q1061" s="127"/>
      <c r="R1061" s="127"/>
      <c r="S1061" s="127"/>
      <c r="T1061" s="127"/>
      <c r="U1061" s="127"/>
      <c r="V1061" s="127"/>
      <c r="W1061" s="127"/>
      <c r="X1061" s="127"/>
      <c r="Y1061" s="127"/>
      <c r="Z1061" s="140"/>
    </row>
    <row r="1062" spans="1:26" x14ac:dyDescent="0.25">
      <c r="A1062" s="203">
        <f t="shared" si="24"/>
        <v>1061</v>
      </c>
      <c r="B1062" s="128"/>
      <c r="C1062" s="263"/>
      <c r="D1062" s="262"/>
      <c r="E1062" s="128"/>
      <c r="F1062" s="138"/>
      <c r="G1062" s="131"/>
      <c r="H1062" s="128"/>
      <c r="I1062" s="132" t="s">
        <v>123</v>
      </c>
      <c r="J1062" s="133">
        <v>8</v>
      </c>
      <c r="K1062" s="129">
        <v>3</v>
      </c>
      <c r="L1062" s="129">
        <v>3</v>
      </c>
      <c r="M1062" s="129" t="s">
        <v>138</v>
      </c>
      <c r="N1062" s="129" t="s">
        <v>139</v>
      </c>
      <c r="O1062" s="139"/>
      <c r="P1062" s="127"/>
      <c r="Q1062" s="127"/>
      <c r="R1062" s="127"/>
      <c r="S1062" s="127"/>
      <c r="T1062" s="127"/>
      <c r="U1062" s="127"/>
      <c r="V1062" s="127"/>
      <c r="W1062" s="127"/>
      <c r="X1062" s="127"/>
      <c r="Y1062" s="127"/>
      <c r="Z1062" s="140"/>
    </row>
    <row r="1063" spans="1:26" x14ac:dyDescent="0.25">
      <c r="A1063" s="203">
        <f t="shared" si="24"/>
        <v>1062</v>
      </c>
      <c r="B1063" s="128"/>
      <c r="C1063" s="263"/>
      <c r="D1063" s="262"/>
      <c r="E1063" s="128"/>
      <c r="F1063" s="138"/>
      <c r="G1063" s="131"/>
      <c r="H1063" s="128"/>
      <c r="I1063" s="132" t="s">
        <v>123</v>
      </c>
      <c r="J1063" s="133">
        <v>8</v>
      </c>
      <c r="K1063" s="129">
        <v>3</v>
      </c>
      <c r="L1063" s="129">
        <v>4</v>
      </c>
      <c r="M1063" s="129" t="s">
        <v>138</v>
      </c>
      <c r="N1063" s="129" t="s">
        <v>139</v>
      </c>
      <c r="O1063" s="139"/>
      <c r="P1063" s="127"/>
      <c r="Q1063" s="127"/>
      <c r="R1063" s="127"/>
      <c r="S1063" s="127"/>
      <c r="T1063" s="127"/>
      <c r="U1063" s="127"/>
      <c r="V1063" s="127"/>
      <c r="W1063" s="127"/>
      <c r="X1063" s="127"/>
      <c r="Y1063" s="127"/>
      <c r="Z1063" s="140"/>
    </row>
    <row r="1064" spans="1:26" x14ac:dyDescent="0.25">
      <c r="A1064" s="203">
        <f t="shared" si="24"/>
        <v>1063</v>
      </c>
      <c r="B1064" s="128"/>
      <c r="C1064" s="263"/>
      <c r="D1064" s="262"/>
      <c r="E1064" s="128"/>
      <c r="F1064" s="138"/>
      <c r="G1064" s="131"/>
      <c r="H1064" s="128"/>
      <c r="I1064" s="132" t="s">
        <v>123</v>
      </c>
      <c r="J1064" s="133">
        <v>8</v>
      </c>
      <c r="K1064" s="129">
        <v>3</v>
      </c>
      <c r="L1064" s="129">
        <v>5</v>
      </c>
      <c r="M1064" s="129" t="s">
        <v>138</v>
      </c>
      <c r="N1064" s="129" t="s">
        <v>139</v>
      </c>
      <c r="O1064" s="139"/>
      <c r="P1064" s="127"/>
      <c r="Q1064" s="127"/>
      <c r="R1064" s="127"/>
      <c r="S1064" s="127"/>
      <c r="T1064" s="127"/>
      <c r="U1064" s="127"/>
      <c r="V1064" s="127"/>
      <c r="W1064" s="127"/>
      <c r="X1064" s="127"/>
      <c r="Y1064" s="127"/>
      <c r="Z1064" s="140"/>
    </row>
    <row r="1065" spans="1:26" x14ac:dyDescent="0.25">
      <c r="A1065" s="203">
        <f t="shared" si="24"/>
        <v>1064</v>
      </c>
      <c r="B1065" s="128"/>
      <c r="C1065" s="263"/>
      <c r="D1065" s="262"/>
      <c r="E1065" s="128"/>
      <c r="F1065" s="138"/>
      <c r="G1065" s="131"/>
      <c r="H1065" s="128"/>
      <c r="I1065" s="132" t="s">
        <v>123</v>
      </c>
      <c r="J1065" s="133">
        <v>8</v>
      </c>
      <c r="K1065" s="129">
        <v>3</v>
      </c>
      <c r="L1065" s="129">
        <v>6</v>
      </c>
      <c r="M1065" s="129" t="s">
        <v>138</v>
      </c>
      <c r="N1065" s="129" t="s">
        <v>139</v>
      </c>
      <c r="O1065" s="139"/>
      <c r="P1065" s="127"/>
      <c r="Q1065" s="127"/>
      <c r="R1065" s="127"/>
      <c r="S1065" s="127"/>
      <c r="T1065" s="127"/>
      <c r="U1065" s="127"/>
      <c r="V1065" s="127"/>
      <c r="W1065" s="127"/>
      <c r="X1065" s="127"/>
      <c r="Y1065" s="127"/>
      <c r="Z1065" s="140"/>
    </row>
    <row r="1066" spans="1:26" x14ac:dyDescent="0.25">
      <c r="A1066" s="203">
        <f t="shared" si="24"/>
        <v>1065</v>
      </c>
      <c r="B1066" s="128"/>
      <c r="C1066" s="263"/>
      <c r="D1066" s="262"/>
      <c r="E1066" s="128"/>
      <c r="F1066" s="138"/>
      <c r="G1066" s="131"/>
      <c r="H1066" s="128"/>
      <c r="I1066" s="132" t="s">
        <v>123</v>
      </c>
      <c r="J1066" s="133">
        <v>8</v>
      </c>
      <c r="K1066" s="129">
        <v>3</v>
      </c>
      <c r="L1066" s="129">
        <v>7</v>
      </c>
      <c r="M1066" s="129" t="s">
        <v>138</v>
      </c>
      <c r="N1066" s="129" t="s">
        <v>139</v>
      </c>
      <c r="O1066" s="139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40"/>
    </row>
    <row r="1067" spans="1:26" x14ac:dyDescent="0.25">
      <c r="A1067" s="203">
        <f t="shared" si="24"/>
        <v>1066</v>
      </c>
      <c r="B1067" s="128"/>
      <c r="C1067" s="263"/>
      <c r="D1067" s="262"/>
      <c r="E1067" s="128"/>
      <c r="F1067" s="138" t="s">
        <v>1933</v>
      </c>
      <c r="G1067" s="131"/>
      <c r="H1067" s="128"/>
      <c r="I1067" s="132" t="s">
        <v>123</v>
      </c>
      <c r="J1067" s="133">
        <v>8</v>
      </c>
      <c r="K1067" s="129">
        <v>4</v>
      </c>
      <c r="L1067" s="129">
        <v>2</v>
      </c>
      <c r="M1067" s="129" t="s">
        <v>31</v>
      </c>
      <c r="N1067" s="129" t="s">
        <v>32</v>
      </c>
      <c r="O1067" s="139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40"/>
    </row>
    <row r="1068" spans="1:26" x14ac:dyDescent="0.25">
      <c r="A1068" s="203">
        <f t="shared" si="24"/>
        <v>1067</v>
      </c>
      <c r="B1068" s="128"/>
      <c r="C1068" s="263"/>
      <c r="D1068" s="262"/>
      <c r="E1068" s="128"/>
      <c r="F1068" s="138" t="s">
        <v>1933</v>
      </c>
      <c r="G1068" s="131"/>
      <c r="H1068" s="128"/>
      <c r="I1068" s="132" t="s">
        <v>123</v>
      </c>
      <c r="J1068" s="133">
        <v>8</v>
      </c>
      <c r="K1068" s="129">
        <v>4</v>
      </c>
      <c r="L1068" s="129">
        <v>4</v>
      </c>
      <c r="M1068" s="129" t="s">
        <v>31</v>
      </c>
      <c r="N1068" s="129" t="s">
        <v>32</v>
      </c>
      <c r="O1068" s="139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40"/>
    </row>
    <row r="1069" spans="1:26" x14ac:dyDescent="0.25">
      <c r="A1069" s="203">
        <f t="shared" si="24"/>
        <v>1068</v>
      </c>
      <c r="B1069" s="128"/>
      <c r="C1069" s="263"/>
      <c r="D1069" s="262"/>
      <c r="E1069" s="128"/>
      <c r="F1069" s="138" t="s">
        <v>1933</v>
      </c>
      <c r="G1069" s="131"/>
      <c r="H1069" s="128"/>
      <c r="I1069" s="132" t="s">
        <v>123</v>
      </c>
      <c r="J1069" s="133">
        <v>8</v>
      </c>
      <c r="K1069" s="129">
        <v>4</v>
      </c>
      <c r="L1069" s="129">
        <v>9</v>
      </c>
      <c r="M1069" s="129" t="s">
        <v>31</v>
      </c>
      <c r="N1069" s="129" t="s">
        <v>32</v>
      </c>
      <c r="O1069" s="139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40"/>
    </row>
    <row r="1070" spans="1:26" x14ac:dyDescent="0.25">
      <c r="A1070" s="203">
        <f t="shared" si="24"/>
        <v>1069</v>
      </c>
      <c r="B1070" s="128"/>
      <c r="C1070" s="263"/>
      <c r="D1070" s="262"/>
      <c r="E1070" s="128"/>
      <c r="F1070" s="138" t="s">
        <v>1933</v>
      </c>
      <c r="G1070" s="131"/>
      <c r="H1070" s="128"/>
      <c r="I1070" s="132" t="s">
        <v>123</v>
      </c>
      <c r="J1070" s="133">
        <v>8</v>
      </c>
      <c r="K1070" s="129">
        <v>4</v>
      </c>
      <c r="L1070" s="129">
        <v>10</v>
      </c>
      <c r="M1070" s="129" t="s">
        <v>31</v>
      </c>
      <c r="N1070" s="129" t="s">
        <v>32</v>
      </c>
      <c r="O1070" s="139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40"/>
    </row>
    <row r="1071" spans="1:26" x14ac:dyDescent="0.25">
      <c r="A1071" s="203">
        <f t="shared" si="24"/>
        <v>1070</v>
      </c>
      <c r="B1071" s="128"/>
      <c r="C1071" s="263"/>
      <c r="D1071" s="262"/>
      <c r="E1071" s="128"/>
      <c r="F1071" s="138" t="s">
        <v>1933</v>
      </c>
      <c r="G1071" s="131"/>
      <c r="H1071" s="128"/>
      <c r="I1071" s="132" t="s">
        <v>123</v>
      </c>
      <c r="J1071" s="133">
        <v>8</v>
      </c>
      <c r="K1071" s="129">
        <v>4</v>
      </c>
      <c r="L1071" s="129">
        <v>11</v>
      </c>
      <c r="M1071" s="129" t="s">
        <v>31</v>
      </c>
      <c r="N1071" s="129" t="s">
        <v>32</v>
      </c>
      <c r="O1071" s="139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40"/>
    </row>
    <row r="1072" spans="1:26" x14ac:dyDescent="0.25">
      <c r="A1072" s="203">
        <f t="shared" si="24"/>
        <v>1071</v>
      </c>
      <c r="B1072" s="128"/>
      <c r="C1072" s="263"/>
      <c r="D1072" s="262"/>
      <c r="E1072" s="128"/>
      <c r="F1072" s="138" t="s">
        <v>1933</v>
      </c>
      <c r="G1072" s="131"/>
      <c r="H1072" s="128"/>
      <c r="I1072" s="132" t="s">
        <v>123</v>
      </c>
      <c r="J1072" s="133">
        <v>8</v>
      </c>
      <c r="K1072" s="129">
        <v>4</v>
      </c>
      <c r="L1072" s="129">
        <v>12</v>
      </c>
      <c r="M1072" s="129" t="s">
        <v>31</v>
      </c>
      <c r="N1072" s="129" t="s">
        <v>32</v>
      </c>
      <c r="O1072" s="139"/>
      <c r="P1072" s="127"/>
      <c r="Q1072" s="127"/>
      <c r="R1072" s="127"/>
      <c r="S1072" s="127"/>
      <c r="T1072" s="127"/>
      <c r="U1072" s="127"/>
      <c r="V1072" s="127"/>
      <c r="W1072" s="127"/>
      <c r="X1072" s="127"/>
      <c r="Y1072" s="127"/>
      <c r="Z1072" s="140"/>
    </row>
    <row r="1073" spans="1:26" x14ac:dyDescent="0.25">
      <c r="A1073" s="203">
        <f t="shared" si="24"/>
        <v>1072</v>
      </c>
      <c r="B1073" s="128"/>
      <c r="C1073" s="263"/>
      <c r="D1073" s="262"/>
      <c r="E1073" s="128"/>
      <c r="F1073" s="138" t="s">
        <v>1933</v>
      </c>
      <c r="G1073" s="131"/>
      <c r="H1073" s="128"/>
      <c r="I1073" s="132" t="s">
        <v>123</v>
      </c>
      <c r="J1073" s="133">
        <v>8</v>
      </c>
      <c r="K1073" s="129">
        <v>4</v>
      </c>
      <c r="L1073" s="129">
        <v>13</v>
      </c>
      <c r="M1073" s="129" t="s">
        <v>31</v>
      </c>
      <c r="N1073" s="129" t="s">
        <v>32</v>
      </c>
      <c r="O1073" s="139"/>
      <c r="P1073" s="127"/>
      <c r="Q1073" s="127"/>
      <c r="R1073" s="127"/>
      <c r="S1073" s="127"/>
      <c r="T1073" s="127"/>
      <c r="U1073" s="127"/>
      <c r="V1073" s="127"/>
      <c r="W1073" s="127"/>
      <c r="X1073" s="127"/>
      <c r="Y1073" s="127"/>
      <c r="Z1073" s="140"/>
    </row>
    <row r="1074" spans="1:26" x14ac:dyDescent="0.25">
      <c r="A1074" s="203">
        <f t="shared" si="24"/>
        <v>1073</v>
      </c>
      <c r="B1074" s="128"/>
      <c r="C1074" s="263"/>
      <c r="D1074" s="262"/>
      <c r="E1074" s="128"/>
      <c r="F1074" s="138" t="s">
        <v>1933</v>
      </c>
      <c r="G1074" s="131"/>
      <c r="H1074" s="128"/>
      <c r="I1074" s="132" t="s">
        <v>123</v>
      </c>
      <c r="J1074" s="133">
        <v>8</v>
      </c>
      <c r="K1074" s="129">
        <v>4</v>
      </c>
      <c r="L1074" s="129">
        <v>14</v>
      </c>
      <c r="M1074" s="129" t="s">
        <v>31</v>
      </c>
      <c r="N1074" s="129" t="s">
        <v>32</v>
      </c>
      <c r="O1074" s="139"/>
      <c r="P1074" s="127"/>
      <c r="Q1074" s="127"/>
      <c r="R1074" s="127"/>
      <c r="S1074" s="127"/>
      <c r="T1074" s="127"/>
      <c r="U1074" s="127"/>
      <c r="V1074" s="127"/>
      <c r="W1074" s="127"/>
      <c r="X1074" s="127"/>
      <c r="Y1074" s="127"/>
      <c r="Z1074" s="140"/>
    </row>
    <row r="1075" spans="1:26" x14ac:dyDescent="0.25">
      <c r="A1075" s="203">
        <f t="shared" si="24"/>
        <v>1074</v>
      </c>
      <c r="B1075" s="128"/>
      <c r="C1075" s="263"/>
      <c r="D1075" s="262"/>
      <c r="E1075" s="128"/>
      <c r="F1075" s="138" t="s">
        <v>1933</v>
      </c>
      <c r="G1075" s="131"/>
      <c r="H1075" s="128"/>
      <c r="I1075" s="132" t="s">
        <v>123</v>
      </c>
      <c r="J1075" s="133">
        <v>8</v>
      </c>
      <c r="K1075" s="129">
        <v>4</v>
      </c>
      <c r="L1075" s="129">
        <v>15</v>
      </c>
      <c r="M1075" s="129" t="s">
        <v>31</v>
      </c>
      <c r="N1075" s="129" t="s">
        <v>32</v>
      </c>
      <c r="O1075" s="139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40"/>
    </row>
    <row r="1076" spans="1:26" s="136" customFormat="1" x14ac:dyDescent="0.25">
      <c r="A1076" s="203">
        <f t="shared" si="24"/>
        <v>1075</v>
      </c>
      <c r="B1076" s="128"/>
      <c r="C1076" s="263"/>
      <c r="D1076" s="262"/>
      <c r="E1076" s="128"/>
      <c r="F1076" s="138" t="s">
        <v>1935</v>
      </c>
      <c r="G1076" s="131"/>
      <c r="H1076" s="128"/>
      <c r="I1076" s="132" t="s">
        <v>123</v>
      </c>
      <c r="J1076" s="133">
        <v>8</v>
      </c>
      <c r="K1076" s="129">
        <v>5</v>
      </c>
      <c r="L1076" s="129">
        <v>0</v>
      </c>
      <c r="M1076" s="129" t="s">
        <v>1936</v>
      </c>
      <c r="N1076" s="129" t="s">
        <v>295</v>
      </c>
      <c r="O1076" s="139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40"/>
    </row>
    <row r="1077" spans="1:26" x14ac:dyDescent="0.25">
      <c r="A1077" s="203">
        <f t="shared" si="24"/>
        <v>1076</v>
      </c>
      <c r="B1077" s="128"/>
      <c r="C1077" s="263"/>
      <c r="D1077" s="262"/>
      <c r="E1077" s="128"/>
      <c r="F1077" s="138" t="s">
        <v>1933</v>
      </c>
      <c r="G1077" s="131"/>
      <c r="H1077" s="128"/>
      <c r="I1077" s="132" t="s">
        <v>123</v>
      </c>
      <c r="J1077" s="133">
        <v>8</v>
      </c>
      <c r="K1077" s="129">
        <v>6</v>
      </c>
      <c r="L1077" s="129">
        <v>1</v>
      </c>
      <c r="M1077" s="129" t="s">
        <v>82</v>
      </c>
      <c r="N1077" s="129" t="s">
        <v>83</v>
      </c>
      <c r="O1077" s="139"/>
      <c r="P1077" s="127"/>
      <c r="Q1077" s="127"/>
      <c r="R1077" s="127"/>
      <c r="S1077" s="127"/>
      <c r="T1077" s="127"/>
      <c r="U1077" s="127"/>
      <c r="V1077" s="127"/>
      <c r="W1077" s="127"/>
      <c r="X1077" s="127"/>
      <c r="Y1077" s="127"/>
      <c r="Z1077" s="140"/>
    </row>
    <row r="1078" spans="1:26" x14ac:dyDescent="0.25">
      <c r="A1078" s="203">
        <f t="shared" si="24"/>
        <v>1077</v>
      </c>
      <c r="B1078" s="128"/>
      <c r="C1078" s="263"/>
      <c r="D1078" s="280"/>
      <c r="E1078" s="132"/>
      <c r="F1078" s="138" t="s">
        <v>1933</v>
      </c>
      <c r="G1078" s="131"/>
      <c r="H1078" s="128"/>
      <c r="I1078" s="132" t="s">
        <v>123</v>
      </c>
      <c r="J1078" s="133">
        <v>8</v>
      </c>
      <c r="K1078" s="129">
        <v>6</v>
      </c>
      <c r="L1078" s="129">
        <v>9</v>
      </c>
      <c r="M1078" s="129" t="s">
        <v>82</v>
      </c>
      <c r="N1078" s="129" t="s">
        <v>83</v>
      </c>
      <c r="O1078" s="139"/>
      <c r="P1078" s="127"/>
      <c r="Q1078" s="127"/>
      <c r="R1078" s="127"/>
      <c r="S1078" s="127"/>
      <c r="T1078" s="127"/>
      <c r="U1078" s="127"/>
      <c r="V1078" s="127"/>
      <c r="W1078" s="127"/>
      <c r="X1078" s="127"/>
      <c r="Y1078" s="127"/>
      <c r="Z1078" s="140"/>
    </row>
    <row r="1079" spans="1:26" x14ac:dyDescent="0.25">
      <c r="A1079" s="203">
        <f t="shared" si="24"/>
        <v>1078</v>
      </c>
      <c r="B1079" s="128"/>
      <c r="C1079" s="263"/>
      <c r="D1079" s="280"/>
      <c r="E1079" s="132"/>
      <c r="F1079" s="138" t="s">
        <v>1933</v>
      </c>
      <c r="G1079" s="131"/>
      <c r="H1079" s="128"/>
      <c r="I1079" s="132" t="s">
        <v>123</v>
      </c>
      <c r="J1079" s="133">
        <v>8</v>
      </c>
      <c r="K1079" s="129">
        <v>6</v>
      </c>
      <c r="L1079" s="129">
        <v>10</v>
      </c>
      <c r="M1079" s="129" t="s">
        <v>82</v>
      </c>
      <c r="N1079" s="129" t="s">
        <v>83</v>
      </c>
      <c r="O1079" s="139"/>
      <c r="P1079" s="127"/>
      <c r="Q1079" s="127"/>
      <c r="R1079" s="127"/>
      <c r="S1079" s="127"/>
      <c r="T1079" s="127"/>
      <c r="U1079" s="127"/>
      <c r="V1079" s="127"/>
      <c r="W1079" s="127"/>
      <c r="X1079" s="127"/>
      <c r="Y1079" s="127"/>
      <c r="Z1079" s="140"/>
    </row>
    <row r="1080" spans="1:26" x14ac:dyDescent="0.25">
      <c r="A1080" s="203">
        <f t="shared" si="24"/>
        <v>1079</v>
      </c>
      <c r="B1080" s="128"/>
      <c r="C1080" s="263"/>
      <c r="D1080" s="280"/>
      <c r="E1080" s="132"/>
      <c r="F1080" s="138" t="s">
        <v>1933</v>
      </c>
      <c r="G1080" s="131"/>
      <c r="H1080" s="128"/>
      <c r="I1080" s="132" t="s">
        <v>123</v>
      </c>
      <c r="J1080" s="133">
        <v>8</v>
      </c>
      <c r="K1080" s="129">
        <v>6</v>
      </c>
      <c r="L1080" s="129">
        <v>11</v>
      </c>
      <c r="M1080" s="129" t="s">
        <v>82</v>
      </c>
      <c r="N1080" s="129" t="s">
        <v>83</v>
      </c>
      <c r="O1080" s="139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40"/>
    </row>
    <row r="1081" spans="1:26" x14ac:dyDescent="0.25">
      <c r="A1081" s="203">
        <f t="shared" si="24"/>
        <v>1080</v>
      </c>
      <c r="B1081" s="128"/>
      <c r="C1081" s="263"/>
      <c r="D1081" s="280"/>
      <c r="E1081" s="132"/>
      <c r="F1081" s="138" t="s">
        <v>1933</v>
      </c>
      <c r="G1081" s="131"/>
      <c r="H1081" s="128"/>
      <c r="I1081" s="132" t="s">
        <v>123</v>
      </c>
      <c r="J1081" s="133">
        <v>8</v>
      </c>
      <c r="K1081" s="129">
        <v>6</v>
      </c>
      <c r="L1081" s="129">
        <v>12</v>
      </c>
      <c r="M1081" s="129" t="s">
        <v>82</v>
      </c>
      <c r="N1081" s="129" t="s">
        <v>83</v>
      </c>
      <c r="O1081" s="139"/>
      <c r="P1081" s="127"/>
      <c r="Q1081" s="127"/>
      <c r="R1081" s="127"/>
      <c r="S1081" s="127"/>
      <c r="T1081" s="127"/>
      <c r="U1081" s="127"/>
      <c r="V1081" s="127"/>
      <c r="W1081" s="127"/>
      <c r="X1081" s="127"/>
      <c r="Y1081" s="127"/>
      <c r="Z1081" s="140"/>
    </row>
    <row r="1082" spans="1:26" x14ac:dyDescent="0.25">
      <c r="A1082" s="203">
        <f t="shared" si="24"/>
        <v>1081</v>
      </c>
      <c r="B1082" s="128"/>
      <c r="C1082" s="263"/>
      <c r="D1082" s="280"/>
      <c r="E1082" s="132"/>
      <c r="F1082" s="138" t="s">
        <v>1933</v>
      </c>
      <c r="G1082" s="131"/>
      <c r="H1082" s="128"/>
      <c r="I1082" s="132" t="s">
        <v>123</v>
      </c>
      <c r="J1082" s="133">
        <v>8</v>
      </c>
      <c r="K1082" s="129">
        <v>6</v>
      </c>
      <c r="L1082" s="129">
        <v>13</v>
      </c>
      <c r="M1082" s="129" t="s">
        <v>82</v>
      </c>
      <c r="N1082" s="129" t="s">
        <v>83</v>
      </c>
      <c r="O1082" s="139"/>
      <c r="P1082" s="127"/>
      <c r="Q1082" s="127"/>
      <c r="R1082" s="127"/>
      <c r="S1082" s="127"/>
      <c r="T1082" s="127"/>
      <c r="U1082" s="127"/>
      <c r="V1082" s="127"/>
      <c r="W1082" s="127"/>
      <c r="X1082" s="127"/>
      <c r="Y1082" s="127"/>
      <c r="Z1082" s="140"/>
    </row>
    <row r="1083" spans="1:26" x14ac:dyDescent="0.25">
      <c r="A1083" s="203">
        <f t="shared" si="24"/>
        <v>1082</v>
      </c>
      <c r="B1083" s="128"/>
      <c r="C1083" s="263"/>
      <c r="D1083" s="280"/>
      <c r="E1083" s="132"/>
      <c r="F1083" s="138" t="s">
        <v>1933</v>
      </c>
      <c r="G1083" s="131"/>
      <c r="H1083" s="128"/>
      <c r="I1083" s="132" t="s">
        <v>123</v>
      </c>
      <c r="J1083" s="133">
        <v>8</v>
      </c>
      <c r="K1083" s="129">
        <v>6</v>
      </c>
      <c r="L1083" s="129">
        <v>14</v>
      </c>
      <c r="M1083" s="129" t="s">
        <v>82</v>
      </c>
      <c r="N1083" s="129" t="s">
        <v>83</v>
      </c>
      <c r="O1083" s="139"/>
      <c r="P1083" s="127"/>
      <c r="Q1083" s="127"/>
      <c r="R1083" s="127"/>
      <c r="S1083" s="127"/>
      <c r="T1083" s="127"/>
      <c r="U1083" s="127"/>
      <c r="V1083" s="127"/>
      <c r="W1083" s="127"/>
      <c r="X1083" s="127"/>
      <c r="Y1083" s="127"/>
      <c r="Z1083" s="140"/>
    </row>
    <row r="1084" spans="1:26" x14ac:dyDescent="0.25">
      <c r="A1084" s="203">
        <f t="shared" si="24"/>
        <v>1083</v>
      </c>
      <c r="B1084" s="128"/>
      <c r="C1084" s="263"/>
      <c r="D1084" s="262"/>
      <c r="E1084" s="128"/>
      <c r="F1084" s="138" t="s">
        <v>1933</v>
      </c>
      <c r="G1084" s="131"/>
      <c r="H1084" s="128"/>
      <c r="I1084" s="132" t="s">
        <v>123</v>
      </c>
      <c r="J1084" s="133">
        <v>8</v>
      </c>
      <c r="K1084" s="129">
        <v>6</v>
      </c>
      <c r="L1084" s="129">
        <v>15</v>
      </c>
      <c r="M1084" s="129" t="s">
        <v>82</v>
      </c>
      <c r="N1084" s="129" t="s">
        <v>83</v>
      </c>
      <c r="O1084" s="139"/>
      <c r="P1084" s="127"/>
      <c r="Q1084" s="127"/>
      <c r="R1084" s="127"/>
      <c r="S1084" s="127"/>
      <c r="T1084" s="127"/>
      <c r="U1084" s="127"/>
      <c r="V1084" s="127"/>
      <c r="W1084" s="127"/>
      <c r="X1084" s="127"/>
      <c r="Y1084" s="127"/>
      <c r="Z1084" s="140"/>
    </row>
    <row r="1085" spans="1:26" x14ac:dyDescent="0.25">
      <c r="A1085" s="203">
        <f t="shared" si="24"/>
        <v>1084</v>
      </c>
      <c r="B1085" s="128"/>
      <c r="C1085" s="263"/>
      <c r="D1085" s="262"/>
      <c r="E1085" s="128"/>
      <c r="F1085" s="138" t="s">
        <v>1933</v>
      </c>
      <c r="G1085" s="131"/>
      <c r="H1085" s="128"/>
      <c r="I1085" s="132" t="s">
        <v>717</v>
      </c>
      <c r="J1085" s="133">
        <v>9</v>
      </c>
      <c r="K1085" s="129">
        <v>3</v>
      </c>
      <c r="L1085" s="129">
        <v>2</v>
      </c>
      <c r="M1085" s="129" t="s">
        <v>138</v>
      </c>
      <c r="N1085" s="129" t="s">
        <v>139</v>
      </c>
      <c r="O1085" s="139"/>
      <c r="P1085" s="127"/>
      <c r="Q1085" s="127"/>
      <c r="R1085" s="127"/>
      <c r="S1085" s="127"/>
      <c r="T1085" s="127"/>
      <c r="U1085" s="127"/>
      <c r="V1085" s="127"/>
      <c r="W1085" s="127"/>
      <c r="X1085" s="127"/>
      <c r="Y1085" s="127"/>
      <c r="Z1085" s="140"/>
    </row>
    <row r="1086" spans="1:26" x14ac:dyDescent="0.25">
      <c r="A1086" s="203">
        <f t="shared" si="24"/>
        <v>1085</v>
      </c>
      <c r="B1086" s="128"/>
      <c r="C1086" s="263"/>
      <c r="D1086" s="262"/>
      <c r="E1086" s="128"/>
      <c r="F1086" s="138" t="s">
        <v>1933</v>
      </c>
      <c r="G1086" s="131"/>
      <c r="H1086" s="128"/>
      <c r="I1086" s="132" t="s">
        <v>717</v>
      </c>
      <c r="J1086" s="133">
        <v>9</v>
      </c>
      <c r="K1086" s="129">
        <v>3</v>
      </c>
      <c r="L1086" s="129">
        <v>3</v>
      </c>
      <c r="M1086" s="129" t="s">
        <v>138</v>
      </c>
      <c r="N1086" s="129" t="s">
        <v>139</v>
      </c>
      <c r="O1086" s="139"/>
      <c r="P1086" s="127"/>
      <c r="Q1086" s="127"/>
      <c r="R1086" s="127"/>
      <c r="S1086" s="127"/>
      <c r="T1086" s="127"/>
      <c r="U1086" s="127"/>
      <c r="V1086" s="127"/>
      <c r="W1086" s="127"/>
      <c r="X1086" s="127"/>
      <c r="Y1086" s="127"/>
      <c r="Z1086" s="140"/>
    </row>
    <row r="1087" spans="1:26" x14ac:dyDescent="0.25">
      <c r="A1087" s="203">
        <f t="shared" si="24"/>
        <v>1086</v>
      </c>
      <c r="B1087" s="128"/>
      <c r="C1087" s="263"/>
      <c r="D1087" s="262"/>
      <c r="E1087" s="128"/>
      <c r="F1087" s="138" t="s">
        <v>1933</v>
      </c>
      <c r="G1087" s="131"/>
      <c r="H1087" s="128"/>
      <c r="I1087" s="132" t="s">
        <v>717</v>
      </c>
      <c r="J1087" s="133">
        <v>9</v>
      </c>
      <c r="K1087" s="129">
        <v>3</v>
      </c>
      <c r="L1087" s="129">
        <v>4</v>
      </c>
      <c r="M1087" s="129" t="s">
        <v>138</v>
      </c>
      <c r="N1087" s="129" t="s">
        <v>139</v>
      </c>
      <c r="O1087" s="139"/>
      <c r="P1087" s="127"/>
      <c r="Q1087" s="127"/>
      <c r="R1087" s="127"/>
      <c r="S1087" s="127"/>
      <c r="T1087" s="127"/>
      <c r="U1087" s="127"/>
      <c r="V1087" s="127"/>
      <c r="W1087" s="127"/>
      <c r="X1087" s="127"/>
      <c r="Y1087" s="127"/>
      <c r="Z1087" s="140"/>
    </row>
    <row r="1088" spans="1:26" x14ac:dyDescent="0.25">
      <c r="A1088" s="203">
        <f t="shared" si="24"/>
        <v>1087</v>
      </c>
      <c r="B1088" s="128"/>
      <c r="C1088" s="263"/>
      <c r="D1088" s="262"/>
      <c r="E1088" s="128"/>
      <c r="F1088" s="138" t="s">
        <v>1933</v>
      </c>
      <c r="G1088" s="131"/>
      <c r="H1088" s="128"/>
      <c r="I1088" s="132" t="s">
        <v>717</v>
      </c>
      <c r="J1088" s="133">
        <v>9</v>
      </c>
      <c r="K1088" s="129">
        <v>3</v>
      </c>
      <c r="L1088" s="129">
        <v>5</v>
      </c>
      <c r="M1088" s="129" t="s">
        <v>138</v>
      </c>
      <c r="N1088" s="129" t="s">
        <v>139</v>
      </c>
      <c r="O1088" s="139"/>
      <c r="P1088" s="127"/>
      <c r="Q1088" s="127"/>
      <c r="R1088" s="127"/>
      <c r="S1088" s="127"/>
      <c r="T1088" s="127"/>
      <c r="U1088" s="127"/>
      <c r="V1088" s="127"/>
      <c r="W1088" s="127"/>
      <c r="X1088" s="127"/>
      <c r="Y1088" s="127"/>
      <c r="Z1088" s="140"/>
    </row>
    <row r="1089" spans="1:26" x14ac:dyDescent="0.25">
      <c r="A1089" s="203">
        <f t="shared" si="24"/>
        <v>1088</v>
      </c>
      <c r="B1089" s="128"/>
      <c r="C1089" s="263"/>
      <c r="D1089" s="262"/>
      <c r="E1089" s="128"/>
      <c r="F1089" s="138" t="s">
        <v>1933</v>
      </c>
      <c r="G1089" s="131"/>
      <c r="H1089" s="128"/>
      <c r="I1089" s="132" t="s">
        <v>717</v>
      </c>
      <c r="J1089" s="133">
        <v>9</v>
      </c>
      <c r="K1089" s="129">
        <v>3</v>
      </c>
      <c r="L1089" s="129">
        <v>6</v>
      </c>
      <c r="M1089" s="129" t="s">
        <v>138</v>
      </c>
      <c r="N1089" s="129" t="s">
        <v>139</v>
      </c>
      <c r="O1089" s="139"/>
      <c r="P1089" s="127"/>
      <c r="Q1089" s="127"/>
      <c r="R1089" s="127"/>
      <c r="S1089" s="127"/>
      <c r="T1089" s="127"/>
      <c r="U1089" s="127"/>
      <c r="V1089" s="127"/>
      <c r="W1089" s="127"/>
      <c r="X1089" s="127"/>
      <c r="Y1089" s="127"/>
      <c r="Z1089" s="140"/>
    </row>
    <row r="1090" spans="1:26" x14ac:dyDescent="0.25">
      <c r="A1090" s="203">
        <f t="shared" si="24"/>
        <v>1089</v>
      </c>
      <c r="B1090" s="128"/>
      <c r="C1090" s="263"/>
      <c r="D1090" s="262"/>
      <c r="E1090" s="128"/>
      <c r="F1090" s="138" t="s">
        <v>1933</v>
      </c>
      <c r="G1090" s="131"/>
      <c r="H1090" s="128"/>
      <c r="I1090" s="132" t="s">
        <v>717</v>
      </c>
      <c r="J1090" s="133">
        <v>9</v>
      </c>
      <c r="K1090" s="129">
        <v>3</v>
      </c>
      <c r="L1090" s="129">
        <v>7</v>
      </c>
      <c r="M1090" s="129" t="s">
        <v>138</v>
      </c>
      <c r="N1090" s="129" t="s">
        <v>139</v>
      </c>
      <c r="O1090" s="139"/>
      <c r="P1090" s="127"/>
      <c r="Q1090" s="127"/>
      <c r="R1090" s="127"/>
      <c r="S1090" s="127"/>
      <c r="T1090" s="127"/>
      <c r="U1090" s="127"/>
      <c r="V1090" s="127"/>
      <c r="W1090" s="127"/>
      <c r="X1090" s="127"/>
      <c r="Y1090" s="127"/>
      <c r="Z1090" s="140"/>
    </row>
    <row r="1091" spans="1:26" x14ac:dyDescent="0.25">
      <c r="A1091" s="203">
        <f t="shared" si="24"/>
        <v>1090</v>
      </c>
      <c r="B1091" s="128"/>
      <c r="C1091" s="263"/>
      <c r="D1091" s="262"/>
      <c r="E1091" s="128"/>
      <c r="F1091" s="138" t="s">
        <v>1933</v>
      </c>
      <c r="G1091" s="131"/>
      <c r="H1091" s="128"/>
      <c r="I1091" s="132" t="s">
        <v>717</v>
      </c>
      <c r="J1091" s="133">
        <v>9</v>
      </c>
      <c r="K1091" s="129">
        <v>4</v>
      </c>
      <c r="L1091" s="129">
        <v>2</v>
      </c>
      <c r="M1091" s="129" t="s">
        <v>31</v>
      </c>
      <c r="N1091" s="129" t="s">
        <v>32</v>
      </c>
      <c r="O1091" s="139"/>
      <c r="P1091" s="127"/>
      <c r="Q1091" s="127"/>
      <c r="R1091" s="127"/>
      <c r="S1091" s="127"/>
      <c r="T1091" s="127"/>
      <c r="U1091" s="127"/>
      <c r="V1091" s="127"/>
      <c r="W1091" s="127"/>
      <c r="X1091" s="127"/>
      <c r="Y1091" s="127"/>
      <c r="Z1091" s="145"/>
    </row>
    <row r="1092" spans="1:26" x14ac:dyDescent="0.25">
      <c r="A1092" s="203">
        <f t="shared" si="24"/>
        <v>1091</v>
      </c>
      <c r="B1092" s="128"/>
      <c r="C1092" s="263"/>
      <c r="D1092" s="262"/>
      <c r="E1092" s="128"/>
      <c r="F1092" s="138" t="s">
        <v>1933</v>
      </c>
      <c r="G1092" s="131"/>
      <c r="H1092" s="128"/>
      <c r="I1092" s="132" t="s">
        <v>717</v>
      </c>
      <c r="J1092" s="133">
        <v>9</v>
      </c>
      <c r="K1092" s="129">
        <v>4</v>
      </c>
      <c r="L1092" s="129">
        <v>4</v>
      </c>
      <c r="M1092" s="129" t="s">
        <v>31</v>
      </c>
      <c r="N1092" s="129" t="s">
        <v>32</v>
      </c>
      <c r="O1092" s="139"/>
      <c r="P1092" s="127"/>
      <c r="Q1092" s="127"/>
      <c r="R1092" s="127"/>
      <c r="S1092" s="127"/>
      <c r="T1092" s="127"/>
      <c r="U1092" s="127"/>
      <c r="V1092" s="127"/>
      <c r="W1092" s="127"/>
      <c r="X1092" s="127"/>
      <c r="Y1092" s="127"/>
      <c r="Z1092" s="140"/>
    </row>
    <row r="1093" spans="1:26" x14ac:dyDescent="0.25">
      <c r="A1093" s="203">
        <f t="shared" si="24"/>
        <v>1092</v>
      </c>
      <c r="B1093" s="128"/>
      <c r="C1093" s="263"/>
      <c r="D1093" s="262"/>
      <c r="E1093" s="128"/>
      <c r="F1093" s="138" t="s">
        <v>1933</v>
      </c>
      <c r="G1093" s="131"/>
      <c r="H1093" s="128"/>
      <c r="I1093" s="132" t="s">
        <v>717</v>
      </c>
      <c r="J1093" s="133">
        <v>9</v>
      </c>
      <c r="K1093" s="129">
        <v>4</v>
      </c>
      <c r="L1093" s="129">
        <v>9</v>
      </c>
      <c r="M1093" s="129" t="s">
        <v>31</v>
      </c>
      <c r="N1093" s="129" t="s">
        <v>32</v>
      </c>
      <c r="O1093" s="139"/>
      <c r="P1093" s="127"/>
      <c r="Q1093" s="127"/>
      <c r="R1093" s="127"/>
      <c r="S1093" s="127"/>
      <c r="T1093" s="127"/>
      <c r="U1093" s="127"/>
      <c r="V1093" s="127"/>
      <c r="W1093" s="127"/>
      <c r="X1093" s="127"/>
      <c r="Y1093" s="127"/>
      <c r="Z1093" s="140"/>
    </row>
    <row r="1094" spans="1:26" x14ac:dyDescent="0.25">
      <c r="A1094" s="203">
        <f t="shared" si="24"/>
        <v>1093</v>
      </c>
      <c r="B1094" s="128"/>
      <c r="C1094" s="263"/>
      <c r="D1094" s="262"/>
      <c r="E1094" s="128"/>
      <c r="F1094" s="138" t="s">
        <v>1933</v>
      </c>
      <c r="G1094" s="131"/>
      <c r="H1094" s="128"/>
      <c r="I1094" s="132" t="s">
        <v>717</v>
      </c>
      <c r="J1094" s="133">
        <v>9</v>
      </c>
      <c r="K1094" s="129">
        <v>4</v>
      </c>
      <c r="L1094" s="129">
        <v>10</v>
      </c>
      <c r="M1094" s="129" t="s">
        <v>31</v>
      </c>
      <c r="N1094" s="129" t="s">
        <v>32</v>
      </c>
      <c r="O1094" s="139"/>
      <c r="P1094" s="127"/>
      <c r="Q1094" s="127"/>
      <c r="R1094" s="127"/>
      <c r="S1094" s="127"/>
      <c r="T1094" s="127"/>
      <c r="U1094" s="127"/>
      <c r="V1094" s="127"/>
      <c r="W1094" s="127"/>
      <c r="X1094" s="127"/>
      <c r="Y1094" s="127"/>
      <c r="Z1094" s="140"/>
    </row>
    <row r="1095" spans="1:26" x14ac:dyDescent="0.25">
      <c r="A1095" s="203">
        <f t="shared" si="24"/>
        <v>1094</v>
      </c>
      <c r="B1095" s="128"/>
      <c r="C1095" s="263"/>
      <c r="D1095" s="262"/>
      <c r="E1095" s="128"/>
      <c r="F1095" s="138" t="s">
        <v>1933</v>
      </c>
      <c r="G1095" s="131"/>
      <c r="H1095" s="128"/>
      <c r="I1095" s="132" t="s">
        <v>717</v>
      </c>
      <c r="J1095" s="133">
        <v>9</v>
      </c>
      <c r="K1095" s="129">
        <v>4</v>
      </c>
      <c r="L1095" s="129">
        <v>11</v>
      </c>
      <c r="M1095" s="129" t="s">
        <v>31</v>
      </c>
      <c r="N1095" s="129" t="s">
        <v>32</v>
      </c>
      <c r="O1095" s="139"/>
      <c r="P1095" s="127"/>
      <c r="Q1095" s="127"/>
      <c r="R1095" s="127"/>
      <c r="S1095" s="127"/>
      <c r="T1095" s="127"/>
      <c r="U1095" s="127"/>
      <c r="V1095" s="127"/>
      <c r="W1095" s="127"/>
      <c r="X1095" s="127"/>
      <c r="Y1095" s="127"/>
      <c r="Z1095" s="140"/>
    </row>
    <row r="1096" spans="1:26" x14ac:dyDescent="0.25">
      <c r="A1096" s="203">
        <f t="shared" si="24"/>
        <v>1095</v>
      </c>
      <c r="B1096" s="128"/>
      <c r="C1096" s="263"/>
      <c r="D1096" s="262"/>
      <c r="E1096" s="128"/>
      <c r="F1096" s="138" t="s">
        <v>1933</v>
      </c>
      <c r="G1096" s="131"/>
      <c r="H1096" s="128"/>
      <c r="I1096" s="132" t="s">
        <v>717</v>
      </c>
      <c r="J1096" s="133">
        <v>9</v>
      </c>
      <c r="K1096" s="129">
        <v>4</v>
      </c>
      <c r="L1096" s="129">
        <v>12</v>
      </c>
      <c r="M1096" s="129" t="s">
        <v>31</v>
      </c>
      <c r="N1096" s="129" t="s">
        <v>32</v>
      </c>
      <c r="O1096" s="139"/>
      <c r="P1096" s="127"/>
      <c r="Q1096" s="127"/>
      <c r="R1096" s="127"/>
      <c r="S1096" s="127"/>
      <c r="T1096" s="127"/>
      <c r="U1096" s="127"/>
      <c r="V1096" s="127"/>
      <c r="W1096" s="127"/>
      <c r="X1096" s="127"/>
      <c r="Y1096" s="127"/>
      <c r="Z1096" s="140"/>
    </row>
    <row r="1097" spans="1:26" x14ac:dyDescent="0.25">
      <c r="A1097" s="203">
        <f t="shared" si="24"/>
        <v>1096</v>
      </c>
      <c r="B1097" s="128"/>
      <c r="C1097" s="263"/>
      <c r="D1097" s="262"/>
      <c r="E1097" s="128"/>
      <c r="F1097" s="138" t="s">
        <v>1933</v>
      </c>
      <c r="G1097" s="131"/>
      <c r="H1097" s="128"/>
      <c r="I1097" s="132" t="s">
        <v>717</v>
      </c>
      <c r="J1097" s="133">
        <v>9</v>
      </c>
      <c r="K1097" s="129">
        <v>4</v>
      </c>
      <c r="L1097" s="129">
        <v>13</v>
      </c>
      <c r="M1097" s="129" t="s">
        <v>31</v>
      </c>
      <c r="N1097" s="129" t="s">
        <v>32</v>
      </c>
      <c r="O1097" s="139"/>
      <c r="P1097" s="127"/>
      <c r="Q1097" s="127"/>
      <c r="R1097" s="127"/>
      <c r="S1097" s="127"/>
      <c r="T1097" s="127"/>
      <c r="U1097" s="127"/>
      <c r="V1097" s="127"/>
      <c r="W1097" s="127"/>
      <c r="X1097" s="127"/>
      <c r="Y1097" s="127"/>
      <c r="Z1097" s="140"/>
    </row>
    <row r="1098" spans="1:26" x14ac:dyDescent="0.25">
      <c r="A1098" s="203">
        <f t="shared" si="24"/>
        <v>1097</v>
      </c>
      <c r="B1098" s="128"/>
      <c r="C1098" s="263"/>
      <c r="D1098" s="262"/>
      <c r="E1098" s="128"/>
      <c r="F1098" s="138" t="s">
        <v>1933</v>
      </c>
      <c r="G1098" s="131"/>
      <c r="H1098" s="128"/>
      <c r="I1098" s="132" t="s">
        <v>717</v>
      </c>
      <c r="J1098" s="133">
        <v>9</v>
      </c>
      <c r="K1098" s="129">
        <v>4</v>
      </c>
      <c r="L1098" s="129">
        <v>14</v>
      </c>
      <c r="M1098" s="129" t="s">
        <v>31</v>
      </c>
      <c r="N1098" s="129" t="s">
        <v>32</v>
      </c>
      <c r="O1098" s="139"/>
      <c r="P1098" s="127"/>
      <c r="Q1098" s="127"/>
      <c r="R1098" s="127"/>
      <c r="S1098" s="127"/>
      <c r="T1098" s="127"/>
      <c r="U1098" s="127"/>
      <c r="V1098" s="127"/>
      <c r="W1098" s="127"/>
      <c r="X1098" s="127"/>
      <c r="Y1098" s="127"/>
      <c r="Z1098" s="140"/>
    </row>
    <row r="1099" spans="1:26" x14ac:dyDescent="0.25">
      <c r="A1099" s="203">
        <f t="shared" si="24"/>
        <v>1098</v>
      </c>
      <c r="B1099" s="128"/>
      <c r="C1099" s="263"/>
      <c r="D1099" s="262"/>
      <c r="E1099" s="128"/>
      <c r="F1099" s="138" t="s">
        <v>1933</v>
      </c>
      <c r="G1099" s="131"/>
      <c r="H1099" s="128"/>
      <c r="I1099" s="132" t="s">
        <v>717</v>
      </c>
      <c r="J1099" s="133">
        <v>9</v>
      </c>
      <c r="K1099" s="129">
        <v>4</v>
      </c>
      <c r="L1099" s="129">
        <v>15</v>
      </c>
      <c r="M1099" s="129" t="s">
        <v>31</v>
      </c>
      <c r="N1099" s="129" t="s">
        <v>32</v>
      </c>
      <c r="O1099" s="139"/>
      <c r="P1099" s="127"/>
      <c r="Q1099" s="127"/>
      <c r="R1099" s="127"/>
      <c r="S1099" s="127"/>
      <c r="T1099" s="127"/>
      <c r="U1099" s="127"/>
      <c r="V1099" s="127"/>
      <c r="W1099" s="127"/>
      <c r="X1099" s="127"/>
      <c r="Y1099" s="127"/>
      <c r="Z1099" s="140"/>
    </row>
    <row r="1100" spans="1:26" x14ac:dyDescent="0.25">
      <c r="A1100" s="203">
        <f t="shared" si="24"/>
        <v>1099</v>
      </c>
      <c r="B1100" s="128"/>
      <c r="C1100" s="263"/>
      <c r="D1100" s="262"/>
      <c r="E1100" s="128"/>
      <c r="F1100" s="138" t="s">
        <v>1935</v>
      </c>
      <c r="G1100" s="131"/>
      <c r="H1100" s="128"/>
      <c r="I1100" s="132" t="s">
        <v>717</v>
      </c>
      <c r="J1100" s="133">
        <v>9</v>
      </c>
      <c r="K1100" s="129">
        <v>5</v>
      </c>
      <c r="L1100" s="129">
        <v>0</v>
      </c>
      <c r="M1100" s="129" t="s">
        <v>1936</v>
      </c>
      <c r="N1100" s="129" t="s">
        <v>295</v>
      </c>
      <c r="O1100" s="139"/>
      <c r="P1100" s="127"/>
      <c r="Q1100" s="127"/>
      <c r="R1100" s="127"/>
      <c r="S1100" s="127"/>
      <c r="T1100" s="127"/>
      <c r="U1100" s="127"/>
      <c r="V1100" s="127"/>
      <c r="W1100" s="127"/>
      <c r="X1100" s="127"/>
      <c r="Y1100" s="127"/>
      <c r="Z1100" s="140"/>
    </row>
    <row r="1101" spans="1:26" x14ac:dyDescent="0.25">
      <c r="A1101" s="203">
        <f t="shared" si="24"/>
        <v>1100</v>
      </c>
      <c r="B1101" s="128"/>
      <c r="C1101" s="263"/>
      <c r="D1101" s="262"/>
      <c r="E1101" s="128"/>
      <c r="F1101" s="138" t="s">
        <v>1933</v>
      </c>
      <c r="G1101" s="131"/>
      <c r="H1101" s="128"/>
      <c r="I1101" s="132" t="s">
        <v>717</v>
      </c>
      <c r="J1101" s="133">
        <v>9</v>
      </c>
      <c r="K1101" s="129">
        <v>6</v>
      </c>
      <c r="L1101" s="129">
        <v>1</v>
      </c>
      <c r="M1101" s="129" t="s">
        <v>82</v>
      </c>
      <c r="N1101" s="129" t="s">
        <v>83</v>
      </c>
      <c r="O1101" s="139"/>
      <c r="P1101" s="127"/>
      <c r="Q1101" s="127"/>
      <c r="R1101" s="127"/>
      <c r="S1101" s="127"/>
      <c r="T1101" s="127"/>
      <c r="U1101" s="127"/>
      <c r="V1101" s="127"/>
      <c r="W1101" s="127"/>
      <c r="X1101" s="127"/>
      <c r="Y1101" s="127"/>
      <c r="Z1101" s="140"/>
    </row>
    <row r="1102" spans="1:26" x14ac:dyDescent="0.25">
      <c r="A1102" s="203">
        <f t="shared" si="24"/>
        <v>1101</v>
      </c>
      <c r="B1102" s="128"/>
      <c r="C1102" s="263"/>
      <c r="D1102" s="262"/>
      <c r="E1102" s="128"/>
      <c r="F1102" s="138" t="s">
        <v>1933</v>
      </c>
      <c r="G1102" s="131"/>
      <c r="H1102" s="128"/>
      <c r="I1102" s="132" t="s">
        <v>717</v>
      </c>
      <c r="J1102" s="133">
        <v>9</v>
      </c>
      <c r="K1102" s="129">
        <v>6</v>
      </c>
      <c r="L1102" s="129">
        <v>9</v>
      </c>
      <c r="M1102" s="129" t="s">
        <v>82</v>
      </c>
      <c r="N1102" s="129" t="s">
        <v>83</v>
      </c>
      <c r="O1102" s="139"/>
      <c r="P1102" s="127"/>
      <c r="Q1102" s="127"/>
      <c r="R1102" s="127"/>
      <c r="S1102" s="127"/>
      <c r="T1102" s="127"/>
      <c r="U1102" s="127"/>
      <c r="V1102" s="127"/>
      <c r="W1102" s="127"/>
      <c r="X1102" s="127"/>
      <c r="Y1102" s="127"/>
      <c r="Z1102" s="140"/>
    </row>
    <row r="1103" spans="1:26" x14ac:dyDescent="0.25">
      <c r="A1103" s="203">
        <f t="shared" si="24"/>
        <v>1102</v>
      </c>
      <c r="B1103" s="128"/>
      <c r="C1103" s="263"/>
      <c r="D1103" s="262"/>
      <c r="E1103" s="128"/>
      <c r="F1103" s="138" t="s">
        <v>1933</v>
      </c>
      <c r="G1103" s="131"/>
      <c r="H1103" s="128"/>
      <c r="I1103" s="132" t="s">
        <v>717</v>
      </c>
      <c r="J1103" s="133">
        <v>9</v>
      </c>
      <c r="K1103" s="129">
        <v>6</v>
      </c>
      <c r="L1103" s="129">
        <v>10</v>
      </c>
      <c r="M1103" s="129" t="s">
        <v>82</v>
      </c>
      <c r="N1103" s="129" t="s">
        <v>83</v>
      </c>
      <c r="O1103" s="139"/>
      <c r="P1103" s="127"/>
      <c r="Q1103" s="127"/>
      <c r="R1103" s="127"/>
      <c r="S1103" s="127"/>
      <c r="T1103" s="127"/>
      <c r="U1103" s="127"/>
      <c r="V1103" s="127"/>
      <c r="W1103" s="127"/>
      <c r="X1103" s="127"/>
      <c r="Y1103" s="127"/>
      <c r="Z1103" s="140"/>
    </row>
    <row r="1104" spans="1:26" x14ac:dyDescent="0.25">
      <c r="A1104" s="203">
        <f t="shared" si="24"/>
        <v>1103</v>
      </c>
      <c r="B1104" s="128"/>
      <c r="C1104" s="263"/>
      <c r="D1104" s="262"/>
      <c r="E1104" s="128"/>
      <c r="F1104" s="138" t="s">
        <v>1933</v>
      </c>
      <c r="G1104" s="131"/>
      <c r="H1104" s="128"/>
      <c r="I1104" s="132" t="s">
        <v>717</v>
      </c>
      <c r="J1104" s="133">
        <v>9</v>
      </c>
      <c r="K1104" s="129">
        <v>6</v>
      </c>
      <c r="L1104" s="129">
        <v>11</v>
      </c>
      <c r="M1104" s="129" t="s">
        <v>82</v>
      </c>
      <c r="N1104" s="129" t="s">
        <v>83</v>
      </c>
      <c r="O1104" s="139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40"/>
    </row>
    <row r="1105" spans="1:26" x14ac:dyDescent="0.25">
      <c r="A1105" s="203">
        <f t="shared" si="24"/>
        <v>1104</v>
      </c>
      <c r="B1105" s="128"/>
      <c r="C1105" s="263"/>
      <c r="D1105" s="262"/>
      <c r="E1105" s="128"/>
      <c r="F1105" s="138" t="s">
        <v>1933</v>
      </c>
      <c r="G1105" s="131"/>
      <c r="H1105" s="128"/>
      <c r="I1105" s="132" t="s">
        <v>717</v>
      </c>
      <c r="J1105" s="133">
        <v>9</v>
      </c>
      <c r="K1105" s="129">
        <v>6</v>
      </c>
      <c r="L1105" s="129">
        <v>12</v>
      </c>
      <c r="M1105" s="129" t="s">
        <v>82</v>
      </c>
      <c r="N1105" s="129" t="s">
        <v>83</v>
      </c>
      <c r="O1105" s="139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40"/>
    </row>
    <row r="1106" spans="1:26" x14ac:dyDescent="0.25">
      <c r="A1106" s="203">
        <f t="shared" si="24"/>
        <v>1105</v>
      </c>
      <c r="B1106" s="128"/>
      <c r="C1106" s="263"/>
      <c r="D1106" s="262"/>
      <c r="E1106" s="128"/>
      <c r="F1106" s="138" t="s">
        <v>1933</v>
      </c>
      <c r="G1106" s="131"/>
      <c r="H1106" s="128"/>
      <c r="I1106" s="132" t="s">
        <v>717</v>
      </c>
      <c r="J1106" s="133">
        <v>9</v>
      </c>
      <c r="K1106" s="129">
        <v>6</v>
      </c>
      <c r="L1106" s="129">
        <v>13</v>
      </c>
      <c r="M1106" s="129" t="s">
        <v>82</v>
      </c>
      <c r="N1106" s="129" t="s">
        <v>83</v>
      </c>
      <c r="O1106" s="139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40"/>
    </row>
    <row r="1107" spans="1:26" x14ac:dyDescent="0.25">
      <c r="A1107" s="203">
        <f t="shared" si="24"/>
        <v>1106</v>
      </c>
      <c r="B1107" s="128"/>
      <c r="C1107" s="263"/>
      <c r="D1107" s="262"/>
      <c r="E1107" s="128"/>
      <c r="F1107" s="138" t="s">
        <v>1933</v>
      </c>
      <c r="G1107" s="131"/>
      <c r="H1107" s="128"/>
      <c r="I1107" s="132" t="s">
        <v>717</v>
      </c>
      <c r="J1107" s="133">
        <v>9</v>
      </c>
      <c r="K1107" s="129">
        <v>6</v>
      </c>
      <c r="L1107" s="129">
        <v>14</v>
      </c>
      <c r="M1107" s="129" t="s">
        <v>82</v>
      </c>
      <c r="N1107" s="129" t="s">
        <v>83</v>
      </c>
      <c r="O1107" s="139"/>
      <c r="P1107" s="127"/>
      <c r="Q1107" s="127"/>
      <c r="R1107" s="127"/>
      <c r="S1107" s="127"/>
      <c r="T1107" s="127"/>
      <c r="U1107" s="127"/>
      <c r="V1107" s="127"/>
      <c r="W1107" s="127"/>
      <c r="X1107" s="127"/>
      <c r="Y1107" s="127"/>
      <c r="Z1107" s="140"/>
    </row>
    <row r="1108" spans="1:26" x14ac:dyDescent="0.25">
      <c r="A1108" s="203">
        <f t="shared" si="24"/>
        <v>1107</v>
      </c>
      <c r="B1108" s="128"/>
      <c r="C1108" s="263"/>
      <c r="D1108" s="262"/>
      <c r="E1108" s="128"/>
      <c r="F1108" s="138" t="s">
        <v>1933</v>
      </c>
      <c r="G1108" s="131"/>
      <c r="H1108" s="128"/>
      <c r="I1108" s="132" t="s">
        <v>717</v>
      </c>
      <c r="J1108" s="133">
        <v>9</v>
      </c>
      <c r="K1108" s="129">
        <v>6</v>
      </c>
      <c r="L1108" s="129">
        <v>15</v>
      </c>
      <c r="M1108" s="129" t="s">
        <v>82</v>
      </c>
      <c r="N1108" s="129" t="s">
        <v>83</v>
      </c>
      <c r="O1108" s="139"/>
      <c r="P1108" s="127"/>
      <c r="Q1108" s="127"/>
      <c r="R1108" s="127"/>
      <c r="S1108" s="127"/>
      <c r="T1108" s="127"/>
      <c r="U1108" s="127"/>
      <c r="V1108" s="127"/>
      <c r="W1108" s="127"/>
      <c r="X1108" s="127"/>
      <c r="Y1108" s="127"/>
      <c r="Z1108" s="140"/>
    </row>
    <row r="1109" spans="1:26" x14ac:dyDescent="0.25">
      <c r="A1109" s="203">
        <f t="shared" si="24"/>
        <v>1108</v>
      </c>
      <c r="B1109" s="128" t="s">
        <v>1950</v>
      </c>
      <c r="C1109" s="263"/>
      <c r="D1109" s="262"/>
      <c r="E1109" s="128"/>
      <c r="F1109" s="141" t="s">
        <v>1933</v>
      </c>
      <c r="G1109" s="131"/>
      <c r="H1109" s="128"/>
      <c r="I1109" s="142" t="s">
        <v>863</v>
      </c>
      <c r="J1109" s="133">
        <v>10</v>
      </c>
      <c r="K1109" s="129">
        <v>1</v>
      </c>
      <c r="L1109" s="129">
        <v>0</v>
      </c>
      <c r="M1109" s="129" t="s">
        <v>138</v>
      </c>
      <c r="N1109" s="129" t="s">
        <v>139</v>
      </c>
      <c r="O1109" s="139"/>
      <c r="P1109" s="127"/>
      <c r="Q1109" s="127"/>
      <c r="R1109" s="127"/>
      <c r="S1109" s="127"/>
      <c r="T1109" s="127"/>
      <c r="U1109" s="127"/>
      <c r="V1109" s="127"/>
      <c r="W1109" s="127"/>
      <c r="X1109" s="127"/>
      <c r="Y1109" s="127"/>
      <c r="Z1109" s="143" t="s">
        <v>1951</v>
      </c>
    </row>
    <row r="1110" spans="1:26" x14ac:dyDescent="0.25">
      <c r="A1110" s="203">
        <f t="shared" si="24"/>
        <v>1109</v>
      </c>
      <c r="B1110" s="128" t="s">
        <v>1950</v>
      </c>
      <c r="C1110" s="263"/>
      <c r="D1110" s="262"/>
      <c r="E1110" s="128"/>
      <c r="F1110" s="141" t="s">
        <v>1933</v>
      </c>
      <c r="G1110" s="131"/>
      <c r="H1110" s="128"/>
      <c r="I1110" s="142" t="s">
        <v>863</v>
      </c>
      <c r="J1110" s="133">
        <v>10</v>
      </c>
      <c r="K1110" s="129">
        <v>1</v>
      </c>
      <c r="L1110" s="129">
        <v>1</v>
      </c>
      <c r="M1110" s="129" t="s">
        <v>138</v>
      </c>
      <c r="N1110" s="129" t="s">
        <v>139</v>
      </c>
      <c r="O1110" s="139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43" t="s">
        <v>1951</v>
      </c>
    </row>
    <row r="1111" spans="1:26" x14ac:dyDescent="0.25">
      <c r="A1111" s="203">
        <f t="shared" si="24"/>
        <v>1110</v>
      </c>
      <c r="B1111" s="128" t="s">
        <v>1952</v>
      </c>
      <c r="C1111" s="263"/>
      <c r="D1111" s="262"/>
      <c r="E1111" s="128"/>
      <c r="F1111" s="141" t="s">
        <v>1933</v>
      </c>
      <c r="G1111" s="131"/>
      <c r="H1111" s="128"/>
      <c r="I1111" s="142" t="s">
        <v>863</v>
      </c>
      <c r="J1111" s="133">
        <v>10</v>
      </c>
      <c r="K1111" s="129">
        <v>1</v>
      </c>
      <c r="L1111" s="129">
        <v>2</v>
      </c>
      <c r="M1111" s="129" t="s">
        <v>138</v>
      </c>
      <c r="N1111" s="129" t="s">
        <v>139</v>
      </c>
      <c r="O1111" s="139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43" t="s">
        <v>1951</v>
      </c>
    </row>
    <row r="1112" spans="1:26" x14ac:dyDescent="0.25">
      <c r="A1112" s="203">
        <f t="shared" si="24"/>
        <v>1111</v>
      </c>
      <c r="B1112" s="128" t="s">
        <v>1952</v>
      </c>
      <c r="C1112" s="263"/>
      <c r="D1112" s="262"/>
      <c r="E1112" s="128"/>
      <c r="F1112" s="141" t="s">
        <v>1933</v>
      </c>
      <c r="G1112" s="131"/>
      <c r="H1112" s="128"/>
      <c r="I1112" s="142" t="s">
        <v>863</v>
      </c>
      <c r="J1112" s="133">
        <v>10</v>
      </c>
      <c r="K1112" s="129">
        <v>1</v>
      </c>
      <c r="L1112" s="129">
        <v>3</v>
      </c>
      <c r="M1112" s="129" t="s">
        <v>138</v>
      </c>
      <c r="N1112" s="129" t="s">
        <v>139</v>
      </c>
      <c r="O1112" s="139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43" t="s">
        <v>1951</v>
      </c>
    </row>
    <row r="1113" spans="1:26" x14ac:dyDescent="0.25">
      <c r="A1113" s="203">
        <f t="shared" si="24"/>
        <v>1112</v>
      </c>
      <c r="B1113" s="128" t="s">
        <v>1953</v>
      </c>
      <c r="C1113" s="263"/>
      <c r="D1113" s="262"/>
      <c r="E1113" s="128"/>
      <c r="F1113" s="141" t="s">
        <v>1933</v>
      </c>
      <c r="G1113" s="131"/>
      <c r="H1113" s="128"/>
      <c r="I1113" s="142" t="s">
        <v>863</v>
      </c>
      <c r="J1113" s="133">
        <v>10</v>
      </c>
      <c r="K1113" s="129">
        <v>1</v>
      </c>
      <c r="L1113" s="129">
        <v>4</v>
      </c>
      <c r="M1113" s="129" t="s">
        <v>138</v>
      </c>
      <c r="N1113" s="129" t="s">
        <v>139</v>
      </c>
      <c r="O1113" s="139"/>
      <c r="P1113" s="127"/>
      <c r="Q1113" s="127"/>
      <c r="R1113" s="127"/>
      <c r="S1113" s="127"/>
      <c r="T1113" s="127"/>
      <c r="U1113" s="127"/>
      <c r="V1113" s="127"/>
      <c r="W1113" s="127"/>
      <c r="X1113" s="127"/>
      <c r="Y1113" s="127"/>
      <c r="Z1113" s="143" t="s">
        <v>1951</v>
      </c>
    </row>
    <row r="1114" spans="1:26" x14ac:dyDescent="0.25">
      <c r="A1114" s="203">
        <f t="shared" si="24"/>
        <v>1113</v>
      </c>
      <c r="B1114" s="128" t="s">
        <v>1953</v>
      </c>
      <c r="C1114" s="263"/>
      <c r="D1114" s="262"/>
      <c r="E1114" s="128"/>
      <c r="F1114" s="141" t="s">
        <v>1933</v>
      </c>
      <c r="G1114" s="131"/>
      <c r="H1114" s="128"/>
      <c r="I1114" s="142" t="s">
        <v>863</v>
      </c>
      <c r="J1114" s="133">
        <v>10</v>
      </c>
      <c r="K1114" s="129">
        <v>1</v>
      </c>
      <c r="L1114" s="129">
        <v>5</v>
      </c>
      <c r="M1114" s="129" t="s">
        <v>138</v>
      </c>
      <c r="N1114" s="129" t="s">
        <v>139</v>
      </c>
      <c r="O1114" s="139"/>
      <c r="P1114" s="127"/>
      <c r="Q1114" s="127"/>
      <c r="R1114" s="127"/>
      <c r="S1114" s="127"/>
      <c r="T1114" s="127"/>
      <c r="U1114" s="127"/>
      <c r="V1114" s="127"/>
      <c r="W1114" s="127"/>
      <c r="X1114" s="127"/>
      <c r="Y1114" s="127"/>
      <c r="Z1114" s="143" t="s">
        <v>1951</v>
      </c>
    </row>
    <row r="1115" spans="1:26" x14ac:dyDescent="0.25">
      <c r="A1115" s="203">
        <f t="shared" si="24"/>
        <v>1114</v>
      </c>
      <c r="B1115" s="128" t="s">
        <v>1954</v>
      </c>
      <c r="C1115" s="263"/>
      <c r="D1115" s="262"/>
      <c r="E1115" s="128"/>
      <c r="F1115" s="141" t="s">
        <v>1933</v>
      </c>
      <c r="G1115" s="131"/>
      <c r="H1115" s="128"/>
      <c r="I1115" s="142" t="s">
        <v>863</v>
      </c>
      <c r="J1115" s="133">
        <v>10</v>
      </c>
      <c r="K1115" s="129">
        <v>1</v>
      </c>
      <c r="L1115" s="129">
        <v>6</v>
      </c>
      <c r="M1115" s="129" t="s">
        <v>138</v>
      </c>
      <c r="N1115" s="129" t="s">
        <v>139</v>
      </c>
      <c r="O1115" s="139"/>
      <c r="P1115" s="127"/>
      <c r="Q1115" s="127"/>
      <c r="R1115" s="127"/>
      <c r="S1115" s="127"/>
      <c r="T1115" s="127"/>
      <c r="U1115" s="127"/>
      <c r="V1115" s="127"/>
      <c r="W1115" s="127"/>
      <c r="X1115" s="127"/>
      <c r="Y1115" s="127"/>
      <c r="Z1115" s="143" t="s">
        <v>1951</v>
      </c>
    </row>
    <row r="1116" spans="1:26" x14ac:dyDescent="0.25">
      <c r="A1116" s="203">
        <f t="shared" si="24"/>
        <v>1115</v>
      </c>
      <c r="B1116" s="128" t="s">
        <v>1954</v>
      </c>
      <c r="C1116" s="263"/>
      <c r="D1116" s="262"/>
      <c r="E1116" s="128"/>
      <c r="F1116" s="141" t="s">
        <v>1933</v>
      </c>
      <c r="G1116" s="131"/>
      <c r="H1116" s="128"/>
      <c r="I1116" s="142" t="s">
        <v>863</v>
      </c>
      <c r="J1116" s="133">
        <v>10</v>
      </c>
      <c r="K1116" s="129">
        <v>1</v>
      </c>
      <c r="L1116" s="129">
        <v>7</v>
      </c>
      <c r="M1116" s="129" t="s">
        <v>138</v>
      </c>
      <c r="N1116" s="129" t="s">
        <v>139</v>
      </c>
      <c r="O1116" s="139"/>
      <c r="P1116" s="127"/>
      <c r="Q1116" s="127"/>
      <c r="R1116" s="127"/>
      <c r="S1116" s="127"/>
      <c r="T1116" s="127"/>
      <c r="U1116" s="127"/>
      <c r="V1116" s="127"/>
      <c r="W1116" s="127"/>
      <c r="X1116" s="127"/>
      <c r="Y1116" s="127"/>
      <c r="Z1116" s="143" t="s">
        <v>1951</v>
      </c>
    </row>
    <row r="1117" spans="1:26" x14ac:dyDescent="0.25">
      <c r="A1117" s="203">
        <f t="shared" ref="A1117:A1180" si="25">ROW()-1</f>
        <v>1116</v>
      </c>
      <c r="B1117" s="128" t="s">
        <v>1955</v>
      </c>
      <c r="C1117" s="263"/>
      <c r="D1117" s="262"/>
      <c r="E1117" s="128"/>
      <c r="F1117" s="141" t="s">
        <v>1933</v>
      </c>
      <c r="G1117" s="131"/>
      <c r="H1117" s="128"/>
      <c r="I1117" s="142" t="s">
        <v>863</v>
      </c>
      <c r="J1117" s="133">
        <v>10</v>
      </c>
      <c r="K1117" s="129">
        <v>2</v>
      </c>
      <c r="L1117" s="129">
        <v>0</v>
      </c>
      <c r="M1117" s="129" t="s">
        <v>138</v>
      </c>
      <c r="N1117" s="129" t="s">
        <v>139</v>
      </c>
      <c r="O1117" s="139"/>
      <c r="P1117" s="127"/>
      <c r="Q1117" s="127"/>
      <c r="R1117" s="127"/>
      <c r="S1117" s="127"/>
      <c r="T1117" s="127"/>
      <c r="U1117" s="127"/>
      <c r="V1117" s="127"/>
      <c r="W1117" s="127"/>
      <c r="X1117" s="127"/>
      <c r="Y1117" s="127"/>
      <c r="Z1117" s="143" t="s">
        <v>1951</v>
      </c>
    </row>
    <row r="1118" spans="1:26" x14ac:dyDescent="0.25">
      <c r="A1118" s="203">
        <f t="shared" si="25"/>
        <v>1117</v>
      </c>
      <c r="B1118" s="128" t="s">
        <v>1955</v>
      </c>
      <c r="C1118" s="263"/>
      <c r="D1118" s="262"/>
      <c r="E1118" s="128"/>
      <c r="F1118" s="141" t="s">
        <v>1933</v>
      </c>
      <c r="G1118" s="131"/>
      <c r="H1118" s="128"/>
      <c r="I1118" s="142" t="s">
        <v>863</v>
      </c>
      <c r="J1118" s="133">
        <v>10</v>
      </c>
      <c r="K1118" s="129">
        <v>2</v>
      </c>
      <c r="L1118" s="129">
        <v>1</v>
      </c>
      <c r="M1118" s="129" t="s">
        <v>138</v>
      </c>
      <c r="N1118" s="129" t="s">
        <v>139</v>
      </c>
      <c r="O1118" s="139"/>
      <c r="P1118" s="127"/>
      <c r="Q1118" s="127"/>
      <c r="R1118" s="127"/>
      <c r="S1118" s="127"/>
      <c r="T1118" s="127"/>
      <c r="U1118" s="127"/>
      <c r="V1118" s="127"/>
      <c r="W1118" s="127"/>
      <c r="X1118" s="127"/>
      <c r="Y1118" s="127"/>
      <c r="Z1118" s="143" t="s">
        <v>1951</v>
      </c>
    </row>
    <row r="1119" spans="1:26" x14ac:dyDescent="0.25">
      <c r="A1119" s="203">
        <f t="shared" si="25"/>
        <v>1118</v>
      </c>
      <c r="B1119" s="128" t="s">
        <v>1956</v>
      </c>
      <c r="C1119" s="263"/>
      <c r="D1119" s="262"/>
      <c r="E1119" s="128"/>
      <c r="F1119" s="141" t="s">
        <v>1933</v>
      </c>
      <c r="G1119" s="131"/>
      <c r="H1119" s="128"/>
      <c r="I1119" s="142" t="s">
        <v>863</v>
      </c>
      <c r="J1119" s="133">
        <v>10</v>
      </c>
      <c r="K1119" s="129">
        <v>2</v>
      </c>
      <c r="L1119" s="129">
        <v>2</v>
      </c>
      <c r="M1119" s="129" t="s">
        <v>138</v>
      </c>
      <c r="N1119" s="129" t="s">
        <v>139</v>
      </c>
      <c r="O1119" s="139"/>
      <c r="P1119" s="127"/>
      <c r="Q1119" s="127"/>
      <c r="R1119" s="127"/>
      <c r="S1119" s="127"/>
      <c r="T1119" s="127"/>
      <c r="U1119" s="127"/>
      <c r="V1119" s="127"/>
      <c r="W1119" s="127"/>
      <c r="X1119" s="127"/>
      <c r="Y1119" s="127"/>
      <c r="Z1119" s="143" t="s">
        <v>1951</v>
      </c>
    </row>
    <row r="1120" spans="1:26" x14ac:dyDescent="0.25">
      <c r="A1120" s="203">
        <f t="shared" si="25"/>
        <v>1119</v>
      </c>
      <c r="B1120" s="128" t="s">
        <v>1956</v>
      </c>
      <c r="C1120" s="263"/>
      <c r="D1120" s="262"/>
      <c r="E1120" s="128"/>
      <c r="F1120" s="141" t="s">
        <v>1933</v>
      </c>
      <c r="G1120" s="131"/>
      <c r="H1120" s="128"/>
      <c r="I1120" s="142" t="s">
        <v>863</v>
      </c>
      <c r="J1120" s="133">
        <v>10</v>
      </c>
      <c r="K1120" s="129">
        <v>2</v>
      </c>
      <c r="L1120" s="129">
        <v>3</v>
      </c>
      <c r="M1120" s="129" t="s">
        <v>138</v>
      </c>
      <c r="N1120" s="129" t="s">
        <v>139</v>
      </c>
      <c r="O1120" s="139"/>
      <c r="P1120" s="127"/>
      <c r="Q1120" s="127"/>
      <c r="R1120" s="127"/>
      <c r="S1120" s="127"/>
      <c r="T1120" s="127"/>
      <c r="U1120" s="127"/>
      <c r="V1120" s="127"/>
      <c r="W1120" s="127"/>
      <c r="X1120" s="127"/>
      <c r="Y1120" s="127"/>
      <c r="Z1120" s="143" t="s">
        <v>1951</v>
      </c>
    </row>
    <row r="1121" spans="1:26" x14ac:dyDescent="0.25">
      <c r="A1121" s="203">
        <f t="shared" si="25"/>
        <v>1120</v>
      </c>
      <c r="B1121" s="128" t="s">
        <v>1957</v>
      </c>
      <c r="C1121" s="263"/>
      <c r="D1121" s="262"/>
      <c r="E1121" s="133"/>
      <c r="F1121" s="141" t="s">
        <v>1933</v>
      </c>
      <c r="G1121" s="131"/>
      <c r="H1121" s="128"/>
      <c r="I1121" s="142" t="s">
        <v>863</v>
      </c>
      <c r="J1121" s="133">
        <v>10</v>
      </c>
      <c r="K1121" s="129">
        <v>2</v>
      </c>
      <c r="L1121" s="129">
        <v>4</v>
      </c>
      <c r="M1121" s="129" t="s">
        <v>138</v>
      </c>
      <c r="N1121" s="129" t="s">
        <v>139</v>
      </c>
      <c r="O1121" s="139"/>
      <c r="P1121" s="127"/>
      <c r="Q1121" s="127"/>
      <c r="R1121" s="127"/>
      <c r="S1121" s="127"/>
      <c r="T1121" s="127"/>
      <c r="U1121" s="127"/>
      <c r="V1121" s="127"/>
      <c r="W1121" s="127"/>
      <c r="X1121" s="127"/>
      <c r="Y1121" s="127"/>
      <c r="Z1121" s="143" t="s">
        <v>1951</v>
      </c>
    </row>
    <row r="1122" spans="1:26" x14ac:dyDescent="0.25">
      <c r="A1122" s="203">
        <f t="shared" si="25"/>
        <v>1121</v>
      </c>
      <c r="B1122" s="128" t="s">
        <v>1957</v>
      </c>
      <c r="C1122" s="263"/>
      <c r="D1122" s="262"/>
      <c r="E1122" s="133"/>
      <c r="F1122" s="141" t="s">
        <v>1933</v>
      </c>
      <c r="G1122" s="131"/>
      <c r="H1122" s="128"/>
      <c r="I1122" s="142" t="s">
        <v>863</v>
      </c>
      <c r="J1122" s="133">
        <v>10</v>
      </c>
      <c r="K1122" s="129">
        <v>2</v>
      </c>
      <c r="L1122" s="129">
        <v>5</v>
      </c>
      <c r="M1122" s="129" t="s">
        <v>138</v>
      </c>
      <c r="N1122" s="129" t="s">
        <v>139</v>
      </c>
      <c r="O1122" s="139"/>
      <c r="P1122" s="127"/>
      <c r="Q1122" s="127"/>
      <c r="R1122" s="127"/>
      <c r="S1122" s="127"/>
      <c r="T1122" s="127"/>
      <c r="U1122" s="127"/>
      <c r="V1122" s="127"/>
      <c r="W1122" s="127"/>
      <c r="X1122" s="127"/>
      <c r="Y1122" s="127"/>
      <c r="Z1122" s="143" t="s">
        <v>1951</v>
      </c>
    </row>
    <row r="1123" spans="1:26" x14ac:dyDescent="0.25">
      <c r="A1123" s="203">
        <f t="shared" si="25"/>
        <v>1122</v>
      </c>
      <c r="B1123" s="133"/>
      <c r="C1123" s="263"/>
      <c r="D1123" s="264"/>
      <c r="E1123" s="133"/>
      <c r="F1123" s="141" t="s">
        <v>1933</v>
      </c>
      <c r="G1123" s="129"/>
      <c r="H1123" s="133"/>
      <c r="I1123" s="142" t="s">
        <v>863</v>
      </c>
      <c r="J1123" s="133">
        <v>10</v>
      </c>
      <c r="K1123" s="129">
        <v>2</v>
      </c>
      <c r="L1123" s="129">
        <v>6</v>
      </c>
      <c r="M1123" s="129" t="s">
        <v>138</v>
      </c>
      <c r="N1123" s="129" t="s">
        <v>139</v>
      </c>
      <c r="O1123" s="146"/>
      <c r="P1123" s="146"/>
      <c r="Q1123" s="146"/>
      <c r="R1123" s="146"/>
      <c r="S1123" s="146"/>
      <c r="T1123" s="146"/>
      <c r="U1123" s="146"/>
      <c r="V1123" s="146"/>
      <c r="W1123" s="146"/>
      <c r="X1123" s="146"/>
      <c r="Y1123" s="146"/>
      <c r="Z1123" s="143"/>
    </row>
    <row r="1124" spans="1:26" x14ac:dyDescent="0.25">
      <c r="A1124" s="203">
        <f t="shared" si="25"/>
        <v>1123</v>
      </c>
      <c r="B1124" s="133"/>
      <c r="C1124" s="263"/>
      <c r="D1124" s="264"/>
      <c r="E1124" s="133"/>
      <c r="F1124" s="141" t="s">
        <v>1933</v>
      </c>
      <c r="G1124" s="129"/>
      <c r="H1124" s="133"/>
      <c r="I1124" s="142" t="s">
        <v>863</v>
      </c>
      <c r="J1124" s="133">
        <v>10</v>
      </c>
      <c r="K1124" s="129">
        <v>2</v>
      </c>
      <c r="L1124" s="129">
        <v>7</v>
      </c>
      <c r="M1124" s="129" t="s">
        <v>138</v>
      </c>
      <c r="N1124" s="129" t="s">
        <v>139</v>
      </c>
      <c r="O1124" s="146"/>
      <c r="P1124" s="146"/>
      <c r="Q1124" s="146"/>
      <c r="R1124" s="146"/>
      <c r="S1124" s="146"/>
      <c r="T1124" s="146"/>
      <c r="U1124" s="146"/>
      <c r="V1124" s="146"/>
      <c r="W1124" s="146"/>
      <c r="X1124" s="146"/>
      <c r="Y1124" s="146"/>
      <c r="Z1124" s="143"/>
    </row>
    <row r="1125" spans="1:26" x14ac:dyDescent="0.25">
      <c r="A1125" s="203">
        <f t="shared" si="25"/>
        <v>1124</v>
      </c>
      <c r="B1125" s="133"/>
      <c r="C1125" s="263"/>
      <c r="D1125" s="264"/>
      <c r="E1125" s="133"/>
      <c r="F1125" s="141" t="s">
        <v>1933</v>
      </c>
      <c r="G1125" s="129"/>
      <c r="H1125" s="133"/>
      <c r="I1125" s="142" t="s">
        <v>863</v>
      </c>
      <c r="J1125" s="133">
        <v>10</v>
      </c>
      <c r="K1125" s="129">
        <v>4</v>
      </c>
      <c r="L1125" s="129">
        <v>6</v>
      </c>
      <c r="M1125" s="129" t="s">
        <v>138</v>
      </c>
      <c r="N1125" s="129" t="s">
        <v>139</v>
      </c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/>
      <c r="Z1125" s="143"/>
    </row>
    <row r="1126" spans="1:26" x14ac:dyDescent="0.25">
      <c r="A1126" s="203">
        <f t="shared" si="25"/>
        <v>1125</v>
      </c>
      <c r="B1126" s="133"/>
      <c r="C1126" s="263"/>
      <c r="D1126" s="264"/>
      <c r="E1126" s="133"/>
      <c r="F1126" s="141" t="s">
        <v>1933</v>
      </c>
      <c r="G1126" s="129"/>
      <c r="H1126" s="133"/>
      <c r="I1126" s="142" t="s">
        <v>863</v>
      </c>
      <c r="J1126" s="133">
        <v>10</v>
      </c>
      <c r="K1126" s="129">
        <v>4</v>
      </c>
      <c r="L1126" s="129">
        <v>7</v>
      </c>
      <c r="M1126" s="129" t="s">
        <v>138</v>
      </c>
      <c r="N1126" s="129" t="s">
        <v>139</v>
      </c>
      <c r="O1126" s="146"/>
      <c r="P1126" s="146"/>
      <c r="Q1126" s="146"/>
      <c r="R1126" s="146"/>
      <c r="S1126" s="146"/>
      <c r="T1126" s="146"/>
      <c r="U1126" s="146"/>
      <c r="V1126" s="146"/>
      <c r="W1126" s="146"/>
      <c r="X1126" s="146"/>
      <c r="Y1126" s="146"/>
      <c r="Z1126" s="143"/>
    </row>
    <row r="1127" spans="1:26" x14ac:dyDescent="0.25">
      <c r="A1127" s="203">
        <f t="shared" si="25"/>
        <v>1126</v>
      </c>
      <c r="B1127" s="133"/>
      <c r="C1127" s="263"/>
      <c r="D1127" s="264"/>
      <c r="E1127" s="133"/>
      <c r="F1127" s="141" t="s">
        <v>1933</v>
      </c>
      <c r="G1127" s="129"/>
      <c r="H1127" s="133"/>
      <c r="I1127" s="142" t="s">
        <v>863</v>
      </c>
      <c r="J1127" s="133">
        <v>10</v>
      </c>
      <c r="K1127" s="129">
        <v>5</v>
      </c>
      <c r="L1127" s="129">
        <v>6</v>
      </c>
      <c r="M1127" s="129" t="s">
        <v>138</v>
      </c>
      <c r="N1127" s="129" t="s">
        <v>139</v>
      </c>
      <c r="O1127" s="146"/>
      <c r="P1127" s="146"/>
      <c r="Q1127" s="146"/>
      <c r="R1127" s="146"/>
      <c r="S1127" s="146"/>
      <c r="T1127" s="146"/>
      <c r="U1127" s="146"/>
      <c r="V1127" s="146"/>
      <c r="W1127" s="146"/>
      <c r="X1127" s="146"/>
      <c r="Y1127" s="146"/>
      <c r="Z1127" s="143"/>
    </row>
    <row r="1128" spans="1:26" x14ac:dyDescent="0.25">
      <c r="A1128" s="203">
        <f t="shared" si="25"/>
        <v>1127</v>
      </c>
      <c r="B1128" s="133"/>
      <c r="C1128" s="263"/>
      <c r="D1128" s="264"/>
      <c r="E1128" s="133"/>
      <c r="F1128" s="141" t="s">
        <v>1933</v>
      </c>
      <c r="G1128" s="129"/>
      <c r="H1128" s="133"/>
      <c r="I1128" s="142" t="s">
        <v>863</v>
      </c>
      <c r="J1128" s="133">
        <v>10</v>
      </c>
      <c r="K1128" s="129">
        <v>5</v>
      </c>
      <c r="L1128" s="129">
        <v>7</v>
      </c>
      <c r="M1128" s="129" t="s">
        <v>138</v>
      </c>
      <c r="N1128" s="129" t="s">
        <v>139</v>
      </c>
      <c r="O1128" s="146"/>
      <c r="P1128" s="146"/>
      <c r="Q1128" s="146"/>
      <c r="R1128" s="146"/>
      <c r="S1128" s="146"/>
      <c r="T1128" s="146"/>
      <c r="U1128" s="146"/>
      <c r="V1128" s="146"/>
      <c r="W1128" s="146"/>
      <c r="X1128" s="146"/>
      <c r="Y1128" s="146"/>
      <c r="Z1128" s="143"/>
    </row>
    <row r="1129" spans="1:26" x14ac:dyDescent="0.25">
      <c r="A1129" s="203">
        <f t="shared" si="25"/>
        <v>1128</v>
      </c>
      <c r="B1129" s="133"/>
      <c r="C1129" s="263"/>
      <c r="D1129" s="264"/>
      <c r="E1129" s="133"/>
      <c r="F1129" s="141" t="s">
        <v>1933</v>
      </c>
      <c r="G1129" s="131"/>
      <c r="H1129" s="133"/>
      <c r="I1129" s="142" t="s">
        <v>863</v>
      </c>
      <c r="J1129" s="133">
        <v>10</v>
      </c>
      <c r="K1129" s="129">
        <v>6</v>
      </c>
      <c r="L1129" s="129">
        <v>2</v>
      </c>
      <c r="M1129" s="129" t="s">
        <v>944</v>
      </c>
      <c r="N1129" s="129" t="s">
        <v>945</v>
      </c>
      <c r="O1129" s="146"/>
      <c r="P1129" s="146"/>
      <c r="Q1129" s="146"/>
      <c r="R1129" s="146"/>
      <c r="S1129" s="146"/>
      <c r="T1129" s="146"/>
      <c r="U1129" s="146"/>
      <c r="V1129" s="146"/>
      <c r="W1129" s="146"/>
      <c r="X1129" s="146"/>
      <c r="Y1129" s="146"/>
      <c r="Z1129" s="143"/>
    </row>
    <row r="1130" spans="1:26" x14ac:dyDescent="0.25">
      <c r="A1130" s="203">
        <f t="shared" si="25"/>
        <v>1129</v>
      </c>
      <c r="B1130" s="133"/>
      <c r="C1130" s="263"/>
      <c r="D1130" s="264"/>
      <c r="E1130" s="133"/>
      <c r="F1130" s="141" t="s">
        <v>1933</v>
      </c>
      <c r="G1130" s="131"/>
      <c r="H1130" s="133"/>
      <c r="I1130" s="142" t="s">
        <v>863</v>
      </c>
      <c r="J1130" s="133">
        <v>10</v>
      </c>
      <c r="K1130" s="129">
        <v>6</v>
      </c>
      <c r="L1130" s="129">
        <v>3</v>
      </c>
      <c r="M1130" s="129" t="s">
        <v>944</v>
      </c>
      <c r="N1130" s="129" t="s">
        <v>945</v>
      </c>
      <c r="O1130" s="146"/>
      <c r="P1130" s="146"/>
      <c r="Q1130" s="146"/>
      <c r="R1130" s="146"/>
      <c r="S1130" s="146"/>
      <c r="T1130" s="146"/>
      <c r="U1130" s="146"/>
      <c r="V1130" s="146"/>
      <c r="W1130" s="146"/>
      <c r="X1130" s="146"/>
      <c r="Y1130" s="146"/>
      <c r="Z1130" s="143"/>
    </row>
    <row r="1131" spans="1:26" x14ac:dyDescent="0.25">
      <c r="A1131" s="203">
        <f t="shared" si="25"/>
        <v>1130</v>
      </c>
      <c r="B1131" s="133"/>
      <c r="C1131" s="263"/>
      <c r="D1131" s="264"/>
      <c r="E1131" s="133"/>
      <c r="F1131" s="141" t="s">
        <v>1933</v>
      </c>
      <c r="G1131" s="131"/>
      <c r="H1131" s="133"/>
      <c r="I1131" s="142" t="s">
        <v>863</v>
      </c>
      <c r="J1131" s="133">
        <v>10</v>
      </c>
      <c r="K1131" s="129">
        <v>6</v>
      </c>
      <c r="L1131" s="129">
        <v>4</v>
      </c>
      <c r="M1131" s="129" t="s">
        <v>944</v>
      </c>
      <c r="N1131" s="129" t="s">
        <v>945</v>
      </c>
      <c r="O1131" s="146"/>
      <c r="P1131" s="146"/>
      <c r="Q1131" s="146"/>
      <c r="R1131" s="146"/>
      <c r="S1131" s="146"/>
      <c r="T1131" s="146"/>
      <c r="U1131" s="146"/>
      <c r="V1131" s="146"/>
      <c r="W1131" s="146"/>
      <c r="X1131" s="146"/>
      <c r="Y1131" s="146"/>
      <c r="Z1131" s="143"/>
    </row>
    <row r="1132" spans="1:26" x14ac:dyDescent="0.25">
      <c r="A1132" s="203">
        <f t="shared" si="25"/>
        <v>1131</v>
      </c>
      <c r="B1132" s="133"/>
      <c r="C1132" s="263"/>
      <c r="D1132" s="264"/>
      <c r="E1132" s="133"/>
      <c r="F1132" s="141" t="s">
        <v>1933</v>
      </c>
      <c r="G1132" s="131"/>
      <c r="H1132" s="133"/>
      <c r="I1132" s="142" t="s">
        <v>863</v>
      </c>
      <c r="J1132" s="133">
        <v>10</v>
      </c>
      <c r="K1132" s="129">
        <v>6</v>
      </c>
      <c r="L1132" s="129">
        <v>5</v>
      </c>
      <c r="M1132" s="129" t="s">
        <v>944</v>
      </c>
      <c r="N1132" s="129" t="s">
        <v>945</v>
      </c>
      <c r="O1132" s="146"/>
      <c r="P1132" s="146"/>
      <c r="Q1132" s="146"/>
      <c r="R1132" s="146"/>
      <c r="S1132" s="146"/>
      <c r="T1132" s="146"/>
      <c r="U1132" s="146"/>
      <c r="V1132" s="146"/>
      <c r="W1132" s="146"/>
      <c r="X1132" s="146"/>
      <c r="Y1132" s="146"/>
      <c r="Z1132" s="143"/>
    </row>
    <row r="1133" spans="1:26" x14ac:dyDescent="0.25">
      <c r="A1133" s="203">
        <f t="shared" si="25"/>
        <v>1132</v>
      </c>
      <c r="B1133" s="133"/>
      <c r="C1133" s="263"/>
      <c r="D1133" s="264"/>
      <c r="E1133" s="133"/>
      <c r="F1133" s="141" t="s">
        <v>1933</v>
      </c>
      <c r="G1133" s="131"/>
      <c r="H1133" s="133"/>
      <c r="I1133" s="142" t="s">
        <v>863</v>
      </c>
      <c r="J1133" s="133">
        <v>10</v>
      </c>
      <c r="K1133" s="129">
        <v>6</v>
      </c>
      <c r="L1133" s="129">
        <v>6</v>
      </c>
      <c r="M1133" s="129" t="s">
        <v>944</v>
      </c>
      <c r="N1133" s="129" t="s">
        <v>945</v>
      </c>
      <c r="O1133" s="146"/>
      <c r="P1133" s="146"/>
      <c r="Q1133" s="146"/>
      <c r="R1133" s="146"/>
      <c r="S1133" s="146"/>
      <c r="T1133" s="146"/>
      <c r="U1133" s="146"/>
      <c r="V1133" s="146"/>
      <c r="W1133" s="146"/>
      <c r="X1133" s="146"/>
      <c r="Y1133" s="146"/>
      <c r="Z1133" s="143"/>
    </row>
    <row r="1134" spans="1:26" x14ac:dyDescent="0.25">
      <c r="A1134" s="203">
        <f t="shared" si="25"/>
        <v>1133</v>
      </c>
      <c r="B1134" s="133"/>
      <c r="C1134" s="263"/>
      <c r="D1134" s="264"/>
      <c r="E1134" s="133"/>
      <c r="F1134" s="141" t="s">
        <v>1933</v>
      </c>
      <c r="G1134" s="131"/>
      <c r="H1134" s="133"/>
      <c r="I1134" s="142" t="s">
        <v>863</v>
      </c>
      <c r="J1134" s="133">
        <v>10</v>
      </c>
      <c r="K1134" s="129">
        <v>6</v>
      </c>
      <c r="L1134" s="129">
        <v>7</v>
      </c>
      <c r="M1134" s="129" t="s">
        <v>944</v>
      </c>
      <c r="N1134" s="129" t="s">
        <v>945</v>
      </c>
      <c r="O1134" s="146"/>
      <c r="P1134" s="146"/>
      <c r="Q1134" s="146"/>
      <c r="R1134" s="146"/>
      <c r="S1134" s="146"/>
      <c r="T1134" s="146"/>
      <c r="U1134" s="146"/>
      <c r="V1134" s="146"/>
      <c r="W1134" s="146"/>
      <c r="X1134" s="146"/>
      <c r="Y1134" s="146"/>
      <c r="Z1134" s="143"/>
    </row>
    <row r="1135" spans="1:26" x14ac:dyDescent="0.25">
      <c r="A1135" s="203">
        <f t="shared" si="25"/>
        <v>1134</v>
      </c>
      <c r="B1135" s="128" t="s">
        <v>889</v>
      </c>
      <c r="C1135" s="263"/>
      <c r="D1135" s="262"/>
      <c r="E1135" s="128"/>
      <c r="F1135" s="141" t="s">
        <v>1933</v>
      </c>
      <c r="G1135" s="129"/>
      <c r="H1135" s="128"/>
      <c r="I1135" s="142" t="s">
        <v>863</v>
      </c>
      <c r="J1135" s="133">
        <v>10</v>
      </c>
      <c r="K1135" s="129">
        <v>7</v>
      </c>
      <c r="L1135" s="129">
        <v>7</v>
      </c>
      <c r="M1135" s="129" t="s">
        <v>31</v>
      </c>
      <c r="N1135" s="129" t="s">
        <v>32</v>
      </c>
      <c r="O1135" s="139"/>
      <c r="P1135" s="127"/>
      <c r="Q1135" s="127"/>
      <c r="R1135" s="127"/>
      <c r="S1135" s="127"/>
      <c r="T1135" s="127"/>
      <c r="U1135" s="127"/>
      <c r="V1135" s="127"/>
      <c r="W1135" s="127"/>
      <c r="X1135" s="127"/>
      <c r="Y1135" s="127"/>
      <c r="Z1135" s="140"/>
    </row>
    <row r="1136" spans="1:26" x14ac:dyDescent="0.25">
      <c r="A1136" s="203">
        <f t="shared" si="25"/>
        <v>1135</v>
      </c>
      <c r="B1136" s="128" t="s">
        <v>1958</v>
      </c>
      <c r="C1136" s="263"/>
      <c r="D1136" s="262"/>
      <c r="E1136" s="128"/>
      <c r="F1136" s="141" t="s">
        <v>1933</v>
      </c>
      <c r="G1136" s="131"/>
      <c r="H1136" s="128"/>
      <c r="I1136" s="142" t="s">
        <v>863</v>
      </c>
      <c r="J1136" s="133">
        <v>10</v>
      </c>
      <c r="K1136" s="129">
        <v>8</v>
      </c>
      <c r="L1136" s="129">
        <v>0</v>
      </c>
      <c r="M1136" s="129" t="s">
        <v>31</v>
      </c>
      <c r="N1136" s="129" t="s">
        <v>32</v>
      </c>
      <c r="O1136" s="139"/>
      <c r="P1136" s="127"/>
      <c r="Q1136" s="127"/>
      <c r="R1136" s="127"/>
      <c r="S1136" s="127"/>
      <c r="T1136" s="127"/>
      <c r="U1136" s="127"/>
      <c r="V1136" s="127"/>
      <c r="W1136" s="127"/>
      <c r="X1136" s="127"/>
      <c r="Y1136" s="127"/>
      <c r="Z1136" s="143" t="s">
        <v>1951</v>
      </c>
    </row>
    <row r="1137" spans="1:26" x14ac:dyDescent="0.25">
      <c r="A1137" s="203">
        <f t="shared" si="25"/>
        <v>1136</v>
      </c>
      <c r="B1137" s="128" t="s">
        <v>1959</v>
      </c>
      <c r="C1137" s="263"/>
      <c r="D1137" s="262"/>
      <c r="E1137" s="128"/>
      <c r="F1137" s="141" t="s">
        <v>1933</v>
      </c>
      <c r="G1137" s="131"/>
      <c r="H1137" s="128"/>
      <c r="I1137" s="142" t="s">
        <v>863</v>
      </c>
      <c r="J1137" s="133">
        <v>10</v>
      </c>
      <c r="K1137" s="129">
        <v>8</v>
      </c>
      <c r="L1137" s="129">
        <v>1</v>
      </c>
      <c r="M1137" s="129" t="s">
        <v>31</v>
      </c>
      <c r="N1137" s="129" t="s">
        <v>32</v>
      </c>
      <c r="O1137" s="139"/>
      <c r="P1137" s="127"/>
      <c r="Q1137" s="127"/>
      <c r="R1137" s="127"/>
      <c r="S1137" s="127"/>
      <c r="T1137" s="127"/>
      <c r="U1137" s="127"/>
      <c r="V1137" s="127"/>
      <c r="W1137" s="127"/>
      <c r="X1137" s="127"/>
      <c r="Y1137" s="127"/>
      <c r="Z1137" s="143" t="s">
        <v>1951</v>
      </c>
    </row>
    <row r="1138" spans="1:26" x14ac:dyDescent="0.25">
      <c r="A1138" s="203">
        <f t="shared" si="25"/>
        <v>1137</v>
      </c>
      <c r="B1138" s="128" t="s">
        <v>1960</v>
      </c>
      <c r="C1138" s="263"/>
      <c r="D1138" s="262"/>
      <c r="E1138" s="128"/>
      <c r="F1138" s="141" t="s">
        <v>1933</v>
      </c>
      <c r="G1138" s="131"/>
      <c r="H1138" s="128"/>
      <c r="I1138" s="142" t="s">
        <v>863</v>
      </c>
      <c r="J1138" s="133">
        <v>10</v>
      </c>
      <c r="K1138" s="129">
        <v>8</v>
      </c>
      <c r="L1138" s="129">
        <v>2</v>
      </c>
      <c r="M1138" s="129" t="s">
        <v>31</v>
      </c>
      <c r="N1138" s="129" t="s">
        <v>32</v>
      </c>
      <c r="O1138" s="139"/>
      <c r="P1138" s="127"/>
      <c r="Q1138" s="127"/>
      <c r="R1138" s="127"/>
      <c r="S1138" s="127"/>
      <c r="T1138" s="127"/>
      <c r="U1138" s="127"/>
      <c r="V1138" s="127"/>
      <c r="W1138" s="127"/>
      <c r="X1138" s="127"/>
      <c r="Y1138" s="127"/>
      <c r="Z1138" s="143" t="s">
        <v>1951</v>
      </c>
    </row>
    <row r="1139" spans="1:26" x14ac:dyDescent="0.25">
      <c r="A1139" s="203">
        <f t="shared" si="25"/>
        <v>1138</v>
      </c>
      <c r="B1139" s="128" t="s">
        <v>1961</v>
      </c>
      <c r="C1139" s="263"/>
      <c r="D1139" s="262"/>
      <c r="E1139" s="128"/>
      <c r="F1139" s="141" t="s">
        <v>1933</v>
      </c>
      <c r="G1139" s="131"/>
      <c r="H1139" s="128"/>
      <c r="I1139" s="142" t="s">
        <v>863</v>
      </c>
      <c r="J1139" s="133">
        <v>10</v>
      </c>
      <c r="K1139" s="129">
        <v>8</v>
      </c>
      <c r="L1139" s="129">
        <v>3</v>
      </c>
      <c r="M1139" s="129" t="s">
        <v>31</v>
      </c>
      <c r="N1139" s="129" t="s">
        <v>32</v>
      </c>
      <c r="O1139" s="139"/>
      <c r="P1139" s="127"/>
      <c r="Q1139" s="127"/>
      <c r="R1139" s="127"/>
      <c r="S1139" s="127"/>
      <c r="T1139" s="127"/>
      <c r="U1139" s="127"/>
      <c r="V1139" s="127"/>
      <c r="W1139" s="127"/>
      <c r="X1139" s="127"/>
      <c r="Y1139" s="127"/>
      <c r="Z1139" s="143" t="s">
        <v>1951</v>
      </c>
    </row>
    <row r="1140" spans="1:26" x14ac:dyDescent="0.25">
      <c r="A1140" s="203">
        <f t="shared" si="25"/>
        <v>1139</v>
      </c>
      <c r="B1140" s="128" t="s">
        <v>1962</v>
      </c>
      <c r="C1140" s="263"/>
      <c r="D1140" s="262"/>
      <c r="E1140" s="128"/>
      <c r="F1140" s="141" t="s">
        <v>1933</v>
      </c>
      <c r="G1140" s="131"/>
      <c r="H1140" s="128"/>
      <c r="I1140" s="142" t="s">
        <v>863</v>
      </c>
      <c r="J1140" s="133">
        <v>10</v>
      </c>
      <c r="K1140" s="129">
        <v>8</v>
      </c>
      <c r="L1140" s="129">
        <v>4</v>
      </c>
      <c r="M1140" s="129" t="s">
        <v>31</v>
      </c>
      <c r="N1140" s="129" t="s">
        <v>32</v>
      </c>
      <c r="O1140" s="139"/>
      <c r="P1140" s="127"/>
      <c r="Q1140" s="127"/>
      <c r="R1140" s="127"/>
      <c r="S1140" s="127"/>
      <c r="T1140" s="127"/>
      <c r="U1140" s="127"/>
      <c r="V1140" s="127"/>
      <c r="W1140" s="127"/>
      <c r="X1140" s="127"/>
      <c r="Y1140" s="127"/>
      <c r="Z1140" s="143" t="s">
        <v>1951</v>
      </c>
    </row>
    <row r="1141" spans="1:26" x14ac:dyDescent="0.25">
      <c r="A1141" s="203">
        <f t="shared" si="25"/>
        <v>1140</v>
      </c>
      <c r="B1141" s="128" t="s">
        <v>1963</v>
      </c>
      <c r="C1141" s="263"/>
      <c r="D1141" s="262"/>
      <c r="E1141" s="128"/>
      <c r="F1141" s="141" t="s">
        <v>1933</v>
      </c>
      <c r="G1141" s="131"/>
      <c r="H1141" s="128"/>
      <c r="I1141" s="142" t="s">
        <v>863</v>
      </c>
      <c r="J1141" s="133">
        <v>10</v>
      </c>
      <c r="K1141" s="129">
        <v>8</v>
      </c>
      <c r="L1141" s="129">
        <v>5</v>
      </c>
      <c r="M1141" s="129" t="s">
        <v>31</v>
      </c>
      <c r="N1141" s="129" t="s">
        <v>32</v>
      </c>
      <c r="O1141" s="139"/>
      <c r="P1141" s="127"/>
      <c r="Q1141" s="127"/>
      <c r="R1141" s="127"/>
      <c r="S1141" s="127"/>
      <c r="T1141" s="127"/>
      <c r="U1141" s="127"/>
      <c r="V1141" s="127"/>
      <c r="W1141" s="127"/>
      <c r="X1141" s="127"/>
      <c r="Y1141" s="127"/>
      <c r="Z1141" s="143" t="s">
        <v>1951</v>
      </c>
    </row>
    <row r="1142" spans="1:26" x14ac:dyDescent="0.25">
      <c r="A1142" s="203">
        <f t="shared" si="25"/>
        <v>1141</v>
      </c>
      <c r="B1142" s="133"/>
      <c r="C1142" s="263"/>
      <c r="D1142" s="264"/>
      <c r="E1142" s="133"/>
      <c r="F1142" s="141" t="s">
        <v>1933</v>
      </c>
      <c r="G1142" s="129"/>
      <c r="H1142" s="133"/>
      <c r="I1142" s="142" t="s">
        <v>863</v>
      </c>
      <c r="J1142" s="133">
        <v>10</v>
      </c>
      <c r="K1142" s="129">
        <v>8</v>
      </c>
      <c r="L1142" s="129">
        <v>13</v>
      </c>
      <c r="M1142" s="129" t="s">
        <v>31</v>
      </c>
      <c r="N1142" s="129" t="s">
        <v>32</v>
      </c>
      <c r="O1142" s="146"/>
      <c r="P1142" s="146"/>
      <c r="Q1142" s="146"/>
      <c r="R1142" s="146"/>
      <c r="S1142" s="146"/>
      <c r="T1142" s="146"/>
      <c r="U1142" s="146"/>
      <c r="V1142" s="146"/>
      <c r="W1142" s="146"/>
      <c r="X1142" s="146"/>
      <c r="Y1142" s="146"/>
      <c r="Z1142" s="143"/>
    </row>
    <row r="1143" spans="1:26" x14ac:dyDescent="0.25">
      <c r="A1143" s="203">
        <f t="shared" si="25"/>
        <v>1142</v>
      </c>
      <c r="B1143" s="133"/>
      <c r="C1143" s="263"/>
      <c r="D1143" s="264"/>
      <c r="E1143" s="133"/>
      <c r="F1143" s="141" t="s">
        <v>1933</v>
      </c>
      <c r="G1143" s="129"/>
      <c r="H1143" s="133"/>
      <c r="I1143" s="142" t="s">
        <v>863</v>
      </c>
      <c r="J1143" s="133">
        <v>10</v>
      </c>
      <c r="K1143" s="129">
        <v>8</v>
      </c>
      <c r="L1143" s="129">
        <v>14</v>
      </c>
      <c r="M1143" s="129" t="s">
        <v>31</v>
      </c>
      <c r="N1143" s="129" t="s">
        <v>32</v>
      </c>
      <c r="O1143" s="146"/>
      <c r="P1143" s="146"/>
      <c r="Q1143" s="146"/>
      <c r="R1143" s="146"/>
      <c r="S1143" s="146"/>
      <c r="T1143" s="146"/>
      <c r="U1143" s="146"/>
      <c r="V1143" s="146"/>
      <c r="W1143" s="146"/>
      <c r="X1143" s="146"/>
      <c r="Y1143" s="146"/>
      <c r="Z1143" s="143"/>
    </row>
    <row r="1144" spans="1:26" x14ac:dyDescent="0.25">
      <c r="A1144" s="203">
        <f t="shared" si="25"/>
        <v>1143</v>
      </c>
      <c r="B1144" s="133"/>
      <c r="C1144" s="263"/>
      <c r="D1144" s="264"/>
      <c r="E1144" s="133"/>
      <c r="F1144" s="141" t="s">
        <v>1933</v>
      </c>
      <c r="G1144" s="129"/>
      <c r="H1144" s="133"/>
      <c r="I1144" s="142" t="s">
        <v>863</v>
      </c>
      <c r="J1144" s="133">
        <v>10</v>
      </c>
      <c r="K1144" s="129">
        <v>8</v>
      </c>
      <c r="L1144" s="129">
        <v>15</v>
      </c>
      <c r="M1144" s="129" t="s">
        <v>31</v>
      </c>
      <c r="N1144" s="129" t="s">
        <v>32</v>
      </c>
      <c r="O1144" s="146"/>
      <c r="P1144" s="146"/>
      <c r="Q1144" s="146"/>
      <c r="R1144" s="146"/>
      <c r="S1144" s="146"/>
      <c r="T1144" s="146"/>
      <c r="U1144" s="146"/>
      <c r="V1144" s="146"/>
      <c r="W1144" s="146"/>
      <c r="X1144" s="146"/>
      <c r="Y1144" s="146"/>
      <c r="Z1144" s="143"/>
    </row>
    <row r="1145" spans="1:26" x14ac:dyDescent="0.25">
      <c r="A1145" s="203">
        <f t="shared" si="25"/>
        <v>1144</v>
      </c>
      <c r="B1145" s="128" t="s">
        <v>1964</v>
      </c>
      <c r="C1145" s="263"/>
      <c r="D1145" s="262"/>
      <c r="E1145" s="128"/>
      <c r="F1145" s="141" t="s">
        <v>1933</v>
      </c>
      <c r="G1145" s="131"/>
      <c r="H1145" s="128"/>
      <c r="I1145" s="142" t="s">
        <v>863</v>
      </c>
      <c r="J1145" s="133">
        <v>10</v>
      </c>
      <c r="K1145" s="129">
        <v>9</v>
      </c>
      <c r="L1145" s="129">
        <v>0</v>
      </c>
      <c r="M1145" s="129" t="s">
        <v>82</v>
      </c>
      <c r="N1145" s="129" t="s">
        <v>83</v>
      </c>
      <c r="O1145" s="139"/>
      <c r="P1145" s="127"/>
      <c r="Q1145" s="127"/>
      <c r="R1145" s="127"/>
      <c r="S1145" s="127"/>
      <c r="T1145" s="127"/>
      <c r="U1145" s="127"/>
      <c r="V1145" s="127"/>
      <c r="W1145" s="127"/>
      <c r="X1145" s="127"/>
      <c r="Y1145" s="127"/>
      <c r="Z1145" s="143" t="s">
        <v>1951</v>
      </c>
    </row>
    <row r="1146" spans="1:26" x14ac:dyDescent="0.25">
      <c r="A1146" s="203">
        <f t="shared" si="25"/>
        <v>1145</v>
      </c>
      <c r="B1146" s="128" t="s">
        <v>1965</v>
      </c>
      <c r="C1146" s="263"/>
      <c r="D1146" s="262"/>
      <c r="E1146" s="128"/>
      <c r="F1146" s="141" t="s">
        <v>1933</v>
      </c>
      <c r="G1146" s="131"/>
      <c r="H1146" s="128"/>
      <c r="I1146" s="142" t="s">
        <v>863</v>
      </c>
      <c r="J1146" s="133">
        <v>10</v>
      </c>
      <c r="K1146" s="129">
        <v>9</v>
      </c>
      <c r="L1146" s="129">
        <v>1</v>
      </c>
      <c r="M1146" s="129" t="s">
        <v>82</v>
      </c>
      <c r="N1146" s="129" t="s">
        <v>83</v>
      </c>
      <c r="O1146" s="139"/>
      <c r="P1146" s="127"/>
      <c r="Q1146" s="127"/>
      <c r="R1146" s="127"/>
      <c r="S1146" s="127"/>
      <c r="T1146" s="127"/>
      <c r="U1146" s="127"/>
      <c r="V1146" s="127"/>
      <c r="W1146" s="127"/>
      <c r="X1146" s="127"/>
      <c r="Y1146" s="127"/>
      <c r="Z1146" s="143" t="s">
        <v>1951</v>
      </c>
    </row>
    <row r="1147" spans="1:26" x14ac:dyDescent="0.25">
      <c r="A1147" s="203">
        <f t="shared" si="25"/>
        <v>1146</v>
      </c>
      <c r="B1147" s="133"/>
      <c r="C1147" s="263"/>
      <c r="D1147" s="264"/>
      <c r="E1147" s="133"/>
      <c r="F1147" s="141" t="s">
        <v>1933</v>
      </c>
      <c r="G1147" s="129"/>
      <c r="H1147" s="133"/>
      <c r="I1147" s="142" t="s">
        <v>863</v>
      </c>
      <c r="J1147" s="133">
        <v>10</v>
      </c>
      <c r="K1147" s="129">
        <v>9</v>
      </c>
      <c r="L1147" s="129">
        <v>15</v>
      </c>
      <c r="M1147" s="129" t="s">
        <v>82</v>
      </c>
      <c r="N1147" s="129" t="s">
        <v>83</v>
      </c>
      <c r="O1147" s="146"/>
      <c r="P1147" s="146"/>
      <c r="Q1147" s="146"/>
      <c r="R1147" s="146"/>
      <c r="S1147" s="146"/>
      <c r="T1147" s="146"/>
      <c r="U1147" s="146"/>
      <c r="V1147" s="146"/>
      <c r="W1147" s="146"/>
      <c r="X1147" s="146"/>
      <c r="Y1147" s="146"/>
      <c r="Z1147" s="143"/>
    </row>
    <row r="1148" spans="1:26" x14ac:dyDescent="0.25">
      <c r="A1148" s="203">
        <f t="shared" si="25"/>
        <v>1147</v>
      </c>
      <c r="B1148" s="128"/>
      <c r="C1148" s="263"/>
      <c r="D1148" s="264"/>
      <c r="E1148" s="133"/>
      <c r="F1148" s="141" t="s">
        <v>1933</v>
      </c>
      <c r="G1148" s="142"/>
      <c r="H1148" s="133"/>
      <c r="I1148" s="142" t="s">
        <v>863</v>
      </c>
      <c r="J1148" s="133">
        <v>10</v>
      </c>
      <c r="K1148" s="133">
        <v>10</v>
      </c>
      <c r="L1148" s="133">
        <v>2</v>
      </c>
      <c r="M1148" s="129" t="s">
        <v>658</v>
      </c>
      <c r="N1148" s="129" t="s">
        <v>659</v>
      </c>
      <c r="O1148" s="139"/>
      <c r="P1148" s="127"/>
      <c r="Q1148" s="127"/>
      <c r="R1148" s="127"/>
      <c r="S1148" s="127"/>
      <c r="T1148" s="127"/>
      <c r="U1148" s="127"/>
      <c r="V1148" s="127"/>
      <c r="W1148" s="127"/>
      <c r="X1148" s="127"/>
      <c r="Y1148" s="127"/>
      <c r="Z1148" s="140"/>
    </row>
    <row r="1149" spans="1:26" x14ac:dyDescent="0.25">
      <c r="A1149" s="203">
        <f t="shared" si="25"/>
        <v>1148</v>
      </c>
      <c r="B1149" s="128"/>
      <c r="C1149" s="263"/>
      <c r="D1149" s="264"/>
      <c r="E1149" s="133"/>
      <c r="F1149" s="141" t="s">
        <v>1933</v>
      </c>
      <c r="G1149" s="142"/>
      <c r="H1149" s="133"/>
      <c r="I1149" s="142" t="s">
        <v>863</v>
      </c>
      <c r="J1149" s="133">
        <v>10</v>
      </c>
      <c r="K1149" s="133">
        <v>10</v>
      </c>
      <c r="L1149" s="133">
        <v>3</v>
      </c>
      <c r="M1149" s="129" t="s">
        <v>658</v>
      </c>
      <c r="N1149" s="129" t="s">
        <v>659</v>
      </c>
      <c r="O1149" s="139"/>
      <c r="P1149" s="127"/>
      <c r="Q1149" s="127"/>
      <c r="R1149" s="127"/>
      <c r="S1149" s="127"/>
      <c r="T1149" s="127"/>
      <c r="U1149" s="127"/>
      <c r="V1149" s="127"/>
      <c r="W1149" s="127"/>
      <c r="X1149" s="127"/>
      <c r="Y1149" s="127"/>
      <c r="Z1149" s="140"/>
    </row>
    <row r="1150" spans="1:26" x14ac:dyDescent="0.25">
      <c r="A1150" s="203">
        <f t="shared" si="25"/>
        <v>1149</v>
      </c>
      <c r="B1150" s="128"/>
      <c r="C1150" s="263"/>
      <c r="D1150" s="264"/>
      <c r="E1150" s="133"/>
      <c r="F1150" s="141" t="s">
        <v>1933</v>
      </c>
      <c r="G1150" s="142"/>
      <c r="H1150" s="133"/>
      <c r="I1150" s="142" t="s">
        <v>863</v>
      </c>
      <c r="J1150" s="133">
        <v>10</v>
      </c>
      <c r="K1150" s="133">
        <v>10</v>
      </c>
      <c r="L1150" s="133">
        <v>4</v>
      </c>
      <c r="M1150" s="129" t="s">
        <v>658</v>
      </c>
      <c r="N1150" s="129" t="s">
        <v>659</v>
      </c>
      <c r="O1150" s="139"/>
      <c r="P1150" s="127"/>
      <c r="Q1150" s="127"/>
      <c r="R1150" s="127"/>
      <c r="S1150" s="127"/>
      <c r="T1150" s="127"/>
      <c r="U1150" s="127"/>
      <c r="V1150" s="127"/>
      <c r="W1150" s="127"/>
      <c r="X1150" s="127"/>
      <c r="Y1150" s="127"/>
      <c r="Z1150" s="140"/>
    </row>
    <row r="1151" spans="1:26" x14ac:dyDescent="0.25">
      <c r="A1151" s="203">
        <f t="shared" si="25"/>
        <v>1150</v>
      </c>
      <c r="B1151" s="128"/>
      <c r="C1151" s="263"/>
      <c r="D1151" s="264"/>
      <c r="E1151" s="133"/>
      <c r="F1151" s="141" t="s">
        <v>1933</v>
      </c>
      <c r="G1151" s="142"/>
      <c r="H1151" s="133"/>
      <c r="I1151" s="142" t="s">
        <v>863</v>
      </c>
      <c r="J1151" s="133">
        <v>10</v>
      </c>
      <c r="K1151" s="133">
        <v>10</v>
      </c>
      <c r="L1151" s="133">
        <v>5</v>
      </c>
      <c r="M1151" s="129" t="s">
        <v>658</v>
      </c>
      <c r="N1151" s="129" t="s">
        <v>659</v>
      </c>
      <c r="O1151" s="139"/>
      <c r="P1151" s="127"/>
      <c r="Q1151" s="127"/>
      <c r="R1151" s="127"/>
      <c r="S1151" s="127"/>
      <c r="T1151" s="127"/>
      <c r="U1151" s="127"/>
      <c r="V1151" s="127"/>
      <c r="W1151" s="127"/>
      <c r="X1151" s="127"/>
      <c r="Y1151" s="127"/>
      <c r="Z1151" s="140"/>
    </row>
    <row r="1152" spans="1:26" x14ac:dyDescent="0.25">
      <c r="A1152" s="203">
        <f t="shared" si="25"/>
        <v>1151</v>
      </c>
      <c r="B1152" s="128"/>
      <c r="C1152" s="263"/>
      <c r="D1152" s="264"/>
      <c r="E1152" s="133"/>
      <c r="F1152" s="141" t="s">
        <v>1933</v>
      </c>
      <c r="G1152" s="142"/>
      <c r="H1152" s="133"/>
      <c r="I1152" s="142" t="s">
        <v>863</v>
      </c>
      <c r="J1152" s="133">
        <v>10</v>
      </c>
      <c r="K1152" s="133">
        <v>10</v>
      </c>
      <c r="L1152" s="133">
        <v>6</v>
      </c>
      <c r="M1152" s="129" t="s">
        <v>658</v>
      </c>
      <c r="N1152" s="129" t="s">
        <v>659</v>
      </c>
      <c r="O1152" s="139"/>
      <c r="P1152" s="127"/>
      <c r="Q1152" s="127"/>
      <c r="R1152" s="127"/>
      <c r="S1152" s="127"/>
      <c r="T1152" s="127"/>
      <c r="U1152" s="127"/>
      <c r="V1152" s="127"/>
      <c r="W1152" s="127"/>
      <c r="X1152" s="127"/>
      <c r="Y1152" s="127"/>
      <c r="Z1152" s="140"/>
    </row>
    <row r="1153" spans="1:26" x14ac:dyDescent="0.25">
      <c r="A1153" s="203">
        <f t="shared" si="25"/>
        <v>1152</v>
      </c>
      <c r="B1153" s="128"/>
      <c r="C1153" s="263"/>
      <c r="D1153" s="264"/>
      <c r="E1153" s="133"/>
      <c r="F1153" s="141" t="s">
        <v>1933</v>
      </c>
      <c r="G1153" s="142"/>
      <c r="H1153" s="133"/>
      <c r="I1153" s="142" t="s">
        <v>863</v>
      </c>
      <c r="J1153" s="133">
        <v>10</v>
      </c>
      <c r="K1153" s="133">
        <v>10</v>
      </c>
      <c r="L1153" s="133">
        <v>7</v>
      </c>
      <c r="M1153" s="129" t="s">
        <v>658</v>
      </c>
      <c r="N1153" s="129" t="s">
        <v>659</v>
      </c>
      <c r="O1153" s="139"/>
      <c r="P1153" s="127"/>
      <c r="Q1153" s="127"/>
      <c r="R1153" s="127"/>
      <c r="S1153" s="127"/>
      <c r="T1153" s="127"/>
      <c r="U1153" s="127"/>
      <c r="V1153" s="127"/>
      <c r="W1153" s="127"/>
      <c r="X1153" s="127"/>
      <c r="Y1153" s="127"/>
      <c r="Z1153" s="140"/>
    </row>
    <row r="1154" spans="1:26" x14ac:dyDescent="0.25">
      <c r="A1154" s="203">
        <f t="shared" si="25"/>
        <v>1153</v>
      </c>
      <c r="B1154" s="128"/>
      <c r="C1154" s="263"/>
      <c r="D1154" s="264"/>
      <c r="E1154" s="133"/>
      <c r="F1154" s="141" t="s">
        <v>1933</v>
      </c>
      <c r="G1154" s="142"/>
      <c r="H1154" s="133"/>
      <c r="I1154" s="142" t="s">
        <v>863</v>
      </c>
      <c r="J1154" s="133">
        <v>10</v>
      </c>
      <c r="K1154" s="133">
        <v>11</v>
      </c>
      <c r="L1154" s="133">
        <v>1</v>
      </c>
      <c r="M1154" s="129" t="s">
        <v>664</v>
      </c>
      <c r="N1154" s="129" t="s">
        <v>665</v>
      </c>
      <c r="O1154" s="139"/>
      <c r="P1154" s="127"/>
      <c r="Q1154" s="127"/>
      <c r="R1154" s="127"/>
      <c r="S1154" s="127"/>
      <c r="T1154" s="127"/>
      <c r="U1154" s="127"/>
      <c r="V1154" s="127"/>
      <c r="W1154" s="127"/>
      <c r="X1154" s="127"/>
      <c r="Y1154" s="127"/>
      <c r="Z1154" s="140"/>
    </row>
    <row r="1155" spans="1:26" x14ac:dyDescent="0.25">
      <c r="A1155" s="203">
        <f t="shared" si="25"/>
        <v>1154</v>
      </c>
      <c r="B1155" s="128"/>
      <c r="C1155" s="263"/>
      <c r="D1155" s="264"/>
      <c r="E1155" s="133"/>
      <c r="F1155" s="141" t="s">
        <v>1933</v>
      </c>
      <c r="G1155" s="142"/>
      <c r="H1155" s="133"/>
      <c r="I1155" s="142" t="s">
        <v>863</v>
      </c>
      <c r="J1155" s="133">
        <v>10</v>
      </c>
      <c r="K1155" s="133">
        <v>11</v>
      </c>
      <c r="L1155" s="133">
        <v>2</v>
      </c>
      <c r="M1155" s="129" t="s">
        <v>664</v>
      </c>
      <c r="N1155" s="129" t="s">
        <v>665</v>
      </c>
      <c r="O1155" s="139"/>
      <c r="P1155" s="127"/>
      <c r="Q1155" s="127"/>
      <c r="R1155" s="127"/>
      <c r="S1155" s="127"/>
      <c r="T1155" s="127"/>
      <c r="U1155" s="127"/>
      <c r="V1155" s="127"/>
      <c r="W1155" s="127"/>
      <c r="X1155" s="127"/>
      <c r="Y1155" s="127"/>
      <c r="Z1155" s="140"/>
    </row>
    <row r="1156" spans="1:26" x14ac:dyDescent="0.25">
      <c r="A1156" s="203">
        <f t="shared" si="25"/>
        <v>1155</v>
      </c>
      <c r="B1156" s="128"/>
      <c r="C1156" s="263"/>
      <c r="D1156" s="264"/>
      <c r="E1156" s="133"/>
      <c r="F1156" s="141" t="s">
        <v>1933</v>
      </c>
      <c r="G1156" s="142"/>
      <c r="H1156" s="133"/>
      <c r="I1156" s="142" t="s">
        <v>863</v>
      </c>
      <c r="J1156" s="133">
        <v>10</v>
      </c>
      <c r="K1156" s="133">
        <v>11</v>
      </c>
      <c r="L1156" s="133">
        <v>3</v>
      </c>
      <c r="M1156" s="129" t="s">
        <v>664</v>
      </c>
      <c r="N1156" s="129" t="s">
        <v>665</v>
      </c>
      <c r="O1156" s="139"/>
      <c r="P1156" s="127"/>
      <c r="Q1156" s="127"/>
      <c r="R1156" s="127"/>
      <c r="S1156" s="127"/>
      <c r="T1156" s="127"/>
      <c r="U1156" s="127"/>
      <c r="V1156" s="127"/>
      <c r="W1156" s="127"/>
      <c r="X1156" s="127"/>
      <c r="Y1156" s="127"/>
      <c r="Z1156" s="140"/>
    </row>
    <row r="1157" spans="1:26" x14ac:dyDescent="0.25">
      <c r="A1157" s="203">
        <f t="shared" si="25"/>
        <v>1156</v>
      </c>
      <c r="B1157" s="128"/>
      <c r="C1157" s="263"/>
      <c r="D1157" s="264"/>
      <c r="E1157" s="133"/>
      <c r="F1157" s="141" t="s">
        <v>1933</v>
      </c>
      <c r="G1157" s="142"/>
      <c r="H1157" s="133"/>
      <c r="I1157" s="142" t="s">
        <v>863</v>
      </c>
      <c r="J1157" s="133">
        <v>10</v>
      </c>
      <c r="K1157" s="133">
        <v>11</v>
      </c>
      <c r="L1157" s="133">
        <v>4</v>
      </c>
      <c r="M1157" s="129" t="s">
        <v>664</v>
      </c>
      <c r="N1157" s="129" t="s">
        <v>665</v>
      </c>
      <c r="O1157" s="139"/>
      <c r="P1157" s="127"/>
      <c r="Q1157" s="127"/>
      <c r="R1157" s="127"/>
      <c r="S1157" s="127"/>
      <c r="T1157" s="127"/>
      <c r="U1157" s="127"/>
      <c r="V1157" s="127"/>
      <c r="W1157" s="127"/>
      <c r="X1157" s="127"/>
      <c r="Y1157" s="127"/>
      <c r="Z1157" s="140"/>
    </row>
    <row r="1158" spans="1:26" x14ac:dyDescent="0.25">
      <c r="A1158" s="203">
        <f t="shared" si="25"/>
        <v>1157</v>
      </c>
      <c r="B1158" s="128"/>
      <c r="C1158" s="263"/>
      <c r="D1158" s="264"/>
      <c r="E1158" s="133"/>
      <c r="F1158" s="141" t="s">
        <v>1933</v>
      </c>
      <c r="G1158" s="142"/>
      <c r="H1158" s="133"/>
      <c r="I1158" s="142" t="s">
        <v>863</v>
      </c>
      <c r="J1158" s="133">
        <v>10</v>
      </c>
      <c r="K1158" s="133">
        <v>11</v>
      </c>
      <c r="L1158" s="133">
        <v>5</v>
      </c>
      <c r="M1158" s="129" t="s">
        <v>664</v>
      </c>
      <c r="N1158" s="129" t="s">
        <v>665</v>
      </c>
      <c r="O1158" s="139"/>
      <c r="P1158" s="127"/>
      <c r="Q1158" s="127"/>
      <c r="R1158" s="127"/>
      <c r="S1158" s="127"/>
      <c r="T1158" s="127"/>
      <c r="U1158" s="127"/>
      <c r="V1158" s="127"/>
      <c r="W1158" s="127"/>
      <c r="X1158" s="127"/>
      <c r="Y1158" s="127"/>
      <c r="Z1158" s="140"/>
    </row>
    <row r="1159" spans="1:26" x14ac:dyDescent="0.25">
      <c r="A1159" s="203">
        <f t="shared" si="25"/>
        <v>1158</v>
      </c>
      <c r="B1159" s="128"/>
      <c r="C1159" s="263"/>
      <c r="D1159" s="264"/>
      <c r="E1159" s="133"/>
      <c r="F1159" s="141" t="s">
        <v>1933</v>
      </c>
      <c r="G1159" s="142"/>
      <c r="H1159" s="133"/>
      <c r="I1159" s="142" t="s">
        <v>863</v>
      </c>
      <c r="J1159" s="133">
        <v>10</v>
      </c>
      <c r="K1159" s="133">
        <v>11</v>
      </c>
      <c r="L1159" s="133">
        <v>6</v>
      </c>
      <c r="M1159" s="129" t="s">
        <v>664</v>
      </c>
      <c r="N1159" s="129" t="s">
        <v>665</v>
      </c>
      <c r="O1159" s="139"/>
      <c r="P1159" s="127"/>
      <c r="Q1159" s="127"/>
      <c r="R1159" s="127"/>
      <c r="S1159" s="127"/>
      <c r="T1159" s="127"/>
      <c r="U1159" s="127"/>
      <c r="V1159" s="127"/>
      <c r="W1159" s="127"/>
      <c r="X1159" s="127"/>
      <c r="Y1159" s="127"/>
      <c r="Z1159" s="140"/>
    </row>
    <row r="1160" spans="1:26" x14ac:dyDescent="0.25">
      <c r="A1160" s="203">
        <f t="shared" si="25"/>
        <v>1159</v>
      </c>
      <c r="B1160" s="128"/>
      <c r="C1160" s="263"/>
      <c r="D1160" s="264"/>
      <c r="E1160" s="133"/>
      <c r="F1160" s="141" t="s">
        <v>1933</v>
      </c>
      <c r="G1160" s="142"/>
      <c r="H1160" s="133"/>
      <c r="I1160" s="142" t="s">
        <v>863</v>
      </c>
      <c r="J1160" s="133">
        <v>10</v>
      </c>
      <c r="K1160" s="133">
        <v>11</v>
      </c>
      <c r="L1160" s="133">
        <v>7</v>
      </c>
      <c r="M1160" s="129" t="s">
        <v>664</v>
      </c>
      <c r="N1160" s="129" t="s">
        <v>665</v>
      </c>
      <c r="O1160" s="139"/>
      <c r="P1160" s="127"/>
      <c r="Q1160" s="127"/>
      <c r="R1160" s="127"/>
      <c r="S1160" s="127"/>
      <c r="T1160" s="127"/>
      <c r="U1160" s="127"/>
      <c r="V1160" s="127"/>
      <c r="W1160" s="127"/>
      <c r="X1160" s="127"/>
      <c r="Y1160" s="127"/>
      <c r="Z1160" s="140"/>
    </row>
    <row r="1161" spans="1:26" x14ac:dyDescent="0.25">
      <c r="A1161" s="203">
        <f t="shared" si="25"/>
        <v>1160</v>
      </c>
      <c r="B1161" s="128"/>
      <c r="C1161" s="263"/>
      <c r="D1161" s="262"/>
      <c r="E1161" s="128"/>
      <c r="F1161" s="138" t="s">
        <v>1933</v>
      </c>
      <c r="G1161" s="131"/>
      <c r="H1161" s="128"/>
      <c r="I1161" s="132" t="s">
        <v>115</v>
      </c>
      <c r="J1161" s="133">
        <v>11</v>
      </c>
      <c r="K1161" s="129">
        <v>1</v>
      </c>
      <c r="L1161" s="129">
        <v>6</v>
      </c>
      <c r="M1161" s="129" t="s">
        <v>138</v>
      </c>
      <c r="N1161" s="129" t="s">
        <v>139</v>
      </c>
      <c r="O1161" s="139"/>
      <c r="P1161" s="127"/>
      <c r="Q1161" s="127"/>
      <c r="R1161" s="127"/>
      <c r="S1161" s="127"/>
      <c r="T1161" s="127"/>
      <c r="U1161" s="127"/>
      <c r="V1161" s="127"/>
      <c r="W1161" s="127"/>
      <c r="X1161" s="127"/>
      <c r="Y1161" s="127"/>
      <c r="Z1161" s="140"/>
    </row>
    <row r="1162" spans="1:26" x14ac:dyDescent="0.25">
      <c r="A1162" s="203">
        <f t="shared" si="25"/>
        <v>1161</v>
      </c>
      <c r="B1162" s="128"/>
      <c r="C1162" s="263"/>
      <c r="D1162" s="262"/>
      <c r="E1162" s="128"/>
      <c r="F1162" s="138" t="s">
        <v>1933</v>
      </c>
      <c r="G1162" s="131"/>
      <c r="H1162" s="128"/>
      <c r="I1162" s="132" t="s">
        <v>115</v>
      </c>
      <c r="J1162" s="133">
        <v>11</v>
      </c>
      <c r="K1162" s="129">
        <v>1</v>
      </c>
      <c r="L1162" s="129">
        <v>7</v>
      </c>
      <c r="M1162" s="129" t="s">
        <v>138</v>
      </c>
      <c r="N1162" s="129" t="s">
        <v>139</v>
      </c>
      <c r="O1162" s="139"/>
      <c r="P1162" s="127"/>
      <c r="Q1162" s="127"/>
      <c r="R1162" s="127"/>
      <c r="S1162" s="127"/>
      <c r="T1162" s="127"/>
      <c r="U1162" s="127"/>
      <c r="V1162" s="127"/>
      <c r="W1162" s="127"/>
      <c r="X1162" s="127"/>
      <c r="Y1162" s="127"/>
      <c r="Z1162" s="140"/>
    </row>
    <row r="1163" spans="1:26" x14ac:dyDescent="0.25">
      <c r="A1163" s="203">
        <f t="shared" si="25"/>
        <v>1162</v>
      </c>
      <c r="B1163" s="128"/>
      <c r="C1163" s="263"/>
      <c r="D1163" s="262"/>
      <c r="E1163" s="128"/>
      <c r="F1163" s="138" t="s">
        <v>1935</v>
      </c>
      <c r="G1163" s="131"/>
      <c r="H1163" s="128"/>
      <c r="I1163" s="132" t="s">
        <v>115</v>
      </c>
      <c r="J1163" s="133">
        <v>11</v>
      </c>
      <c r="K1163" s="129">
        <v>2</v>
      </c>
      <c r="L1163" s="129">
        <v>0</v>
      </c>
      <c r="M1163" s="129" t="s">
        <v>1936</v>
      </c>
      <c r="N1163" s="129" t="s">
        <v>295</v>
      </c>
      <c r="O1163" s="139"/>
      <c r="P1163" s="127"/>
      <c r="Q1163" s="127"/>
      <c r="R1163" s="127"/>
      <c r="S1163" s="127"/>
      <c r="T1163" s="127"/>
      <c r="U1163" s="127"/>
      <c r="V1163" s="127"/>
      <c r="W1163" s="127"/>
      <c r="X1163" s="127"/>
      <c r="Y1163" s="127"/>
      <c r="Z1163" s="140"/>
    </row>
    <row r="1164" spans="1:26" x14ac:dyDescent="0.25">
      <c r="A1164" s="203">
        <f t="shared" si="25"/>
        <v>1163</v>
      </c>
      <c r="B1164" s="128"/>
      <c r="C1164" s="263"/>
      <c r="D1164" s="262"/>
      <c r="E1164" s="128"/>
      <c r="F1164" s="138" t="s">
        <v>1933</v>
      </c>
      <c r="G1164" s="131"/>
      <c r="H1164" s="128"/>
      <c r="I1164" s="132" t="s">
        <v>115</v>
      </c>
      <c r="J1164" s="133">
        <v>11</v>
      </c>
      <c r="K1164" s="129">
        <v>3</v>
      </c>
      <c r="L1164" s="129">
        <v>12</v>
      </c>
      <c r="M1164" s="129" t="s">
        <v>31</v>
      </c>
      <c r="N1164" s="129" t="s">
        <v>32</v>
      </c>
      <c r="O1164" s="139"/>
      <c r="P1164" s="127"/>
      <c r="Q1164" s="127"/>
      <c r="R1164" s="127"/>
      <c r="S1164" s="127"/>
      <c r="T1164" s="127"/>
      <c r="U1164" s="127"/>
      <c r="V1164" s="127"/>
      <c r="W1164" s="127"/>
      <c r="X1164" s="127"/>
      <c r="Y1164" s="127"/>
      <c r="Z1164" s="140"/>
    </row>
    <row r="1165" spans="1:26" x14ac:dyDescent="0.25">
      <c r="A1165" s="203">
        <f t="shared" si="25"/>
        <v>1164</v>
      </c>
      <c r="B1165" s="128"/>
      <c r="C1165" s="263"/>
      <c r="D1165" s="262"/>
      <c r="E1165" s="128"/>
      <c r="F1165" s="138" t="s">
        <v>1933</v>
      </c>
      <c r="G1165" s="131"/>
      <c r="H1165" s="128"/>
      <c r="I1165" s="132" t="s">
        <v>115</v>
      </c>
      <c r="J1165" s="133">
        <v>11</v>
      </c>
      <c r="K1165" s="129">
        <v>3</v>
      </c>
      <c r="L1165" s="129">
        <v>13</v>
      </c>
      <c r="M1165" s="129" t="s">
        <v>31</v>
      </c>
      <c r="N1165" s="129" t="s">
        <v>32</v>
      </c>
      <c r="O1165" s="139"/>
      <c r="P1165" s="127"/>
      <c r="Q1165" s="127"/>
      <c r="R1165" s="127"/>
      <c r="S1165" s="127"/>
      <c r="T1165" s="127"/>
      <c r="U1165" s="127"/>
      <c r="V1165" s="127"/>
      <c r="W1165" s="127"/>
      <c r="X1165" s="127"/>
      <c r="Y1165" s="127"/>
      <c r="Z1165" s="140"/>
    </row>
    <row r="1166" spans="1:26" x14ac:dyDescent="0.25">
      <c r="A1166" s="203">
        <f t="shared" si="25"/>
        <v>1165</v>
      </c>
      <c r="B1166" s="128"/>
      <c r="C1166" s="263"/>
      <c r="D1166" s="262"/>
      <c r="E1166" s="128"/>
      <c r="F1166" s="138" t="s">
        <v>1933</v>
      </c>
      <c r="G1166" s="131"/>
      <c r="H1166" s="128"/>
      <c r="I1166" s="132" t="s">
        <v>115</v>
      </c>
      <c r="J1166" s="133">
        <v>11</v>
      </c>
      <c r="K1166" s="129">
        <v>3</v>
      </c>
      <c r="L1166" s="129">
        <v>14</v>
      </c>
      <c r="M1166" s="129" t="s">
        <v>31</v>
      </c>
      <c r="N1166" s="129" t="s">
        <v>32</v>
      </c>
      <c r="O1166" s="139"/>
      <c r="P1166" s="127"/>
      <c r="Q1166" s="127"/>
      <c r="R1166" s="127"/>
      <c r="S1166" s="127"/>
      <c r="T1166" s="127"/>
      <c r="U1166" s="127"/>
      <c r="V1166" s="127"/>
      <c r="W1166" s="127"/>
      <c r="X1166" s="127"/>
      <c r="Y1166" s="127"/>
      <c r="Z1166" s="140"/>
    </row>
    <row r="1167" spans="1:26" x14ac:dyDescent="0.25">
      <c r="A1167" s="203">
        <f t="shared" si="25"/>
        <v>1166</v>
      </c>
      <c r="B1167" s="128"/>
      <c r="C1167" s="263"/>
      <c r="D1167" s="262"/>
      <c r="E1167" s="128"/>
      <c r="F1167" s="138" t="s">
        <v>1933</v>
      </c>
      <c r="G1167" s="131"/>
      <c r="H1167" s="128"/>
      <c r="I1167" s="132" t="s">
        <v>115</v>
      </c>
      <c r="J1167" s="133">
        <v>11</v>
      </c>
      <c r="K1167" s="129">
        <v>3</v>
      </c>
      <c r="L1167" s="129">
        <v>15</v>
      </c>
      <c r="M1167" s="129" t="s">
        <v>31</v>
      </c>
      <c r="N1167" s="129" t="s">
        <v>32</v>
      </c>
      <c r="O1167" s="139"/>
      <c r="P1167" s="127"/>
      <c r="Q1167" s="127"/>
      <c r="R1167" s="127"/>
      <c r="S1167" s="127"/>
      <c r="T1167" s="127"/>
      <c r="U1167" s="127"/>
      <c r="V1167" s="127"/>
      <c r="W1167" s="127"/>
      <c r="X1167" s="127"/>
      <c r="Y1167" s="127"/>
      <c r="Z1167" s="140"/>
    </row>
    <row r="1168" spans="1:26" x14ac:dyDescent="0.25">
      <c r="A1168" s="203">
        <f t="shared" si="25"/>
        <v>1167</v>
      </c>
      <c r="B1168" s="128"/>
      <c r="C1168" s="263"/>
      <c r="D1168" s="262"/>
      <c r="E1168" s="128"/>
      <c r="F1168" s="138" t="s">
        <v>1933</v>
      </c>
      <c r="G1168" s="131"/>
      <c r="H1168" s="128"/>
      <c r="I1168" s="132" t="s">
        <v>115</v>
      </c>
      <c r="J1168" s="133">
        <v>11</v>
      </c>
      <c r="K1168" s="129">
        <v>4</v>
      </c>
      <c r="L1168" s="129">
        <v>0</v>
      </c>
      <c r="M1168" s="129" t="s">
        <v>31</v>
      </c>
      <c r="N1168" s="129" t="s">
        <v>32</v>
      </c>
      <c r="O1168" s="139"/>
      <c r="P1168" s="127"/>
      <c r="Q1168" s="127"/>
      <c r="R1168" s="127"/>
      <c r="S1168" s="127"/>
      <c r="T1168" s="127"/>
      <c r="U1168" s="127"/>
      <c r="V1168" s="127"/>
      <c r="W1168" s="127"/>
      <c r="X1168" s="127"/>
      <c r="Y1168" s="127"/>
      <c r="Z1168" s="154"/>
    </row>
    <row r="1169" spans="1:26" x14ac:dyDescent="0.25">
      <c r="A1169" s="203">
        <f t="shared" si="25"/>
        <v>1168</v>
      </c>
      <c r="B1169" s="128"/>
      <c r="C1169" s="263"/>
      <c r="D1169" s="262"/>
      <c r="E1169" s="128"/>
      <c r="F1169" s="138" t="s">
        <v>1933</v>
      </c>
      <c r="G1169" s="131"/>
      <c r="H1169" s="128"/>
      <c r="I1169" s="132" t="s">
        <v>115</v>
      </c>
      <c r="J1169" s="133">
        <v>11</v>
      </c>
      <c r="K1169" s="129">
        <v>4</v>
      </c>
      <c r="L1169" s="129">
        <v>1</v>
      </c>
      <c r="M1169" s="129" t="s">
        <v>31</v>
      </c>
      <c r="N1169" s="129" t="s">
        <v>32</v>
      </c>
      <c r="O1169" s="139"/>
      <c r="P1169" s="127"/>
      <c r="Q1169" s="127"/>
      <c r="R1169" s="127"/>
      <c r="S1169" s="127"/>
      <c r="T1169" s="127"/>
      <c r="U1169" s="127"/>
      <c r="V1169" s="127"/>
      <c r="W1169" s="127"/>
      <c r="X1169" s="127"/>
      <c r="Y1169" s="127"/>
      <c r="Z1169" s="140"/>
    </row>
    <row r="1170" spans="1:26" x14ac:dyDescent="0.25">
      <c r="A1170" s="203">
        <f t="shared" si="25"/>
        <v>1169</v>
      </c>
      <c r="B1170" s="128"/>
      <c r="C1170" s="263"/>
      <c r="D1170" s="262"/>
      <c r="E1170" s="128"/>
      <c r="F1170" s="138" t="s">
        <v>1933</v>
      </c>
      <c r="G1170" s="131"/>
      <c r="H1170" s="128"/>
      <c r="I1170" s="132" t="s">
        <v>115</v>
      </c>
      <c r="J1170" s="133">
        <v>11</v>
      </c>
      <c r="K1170" s="129">
        <v>4</v>
      </c>
      <c r="L1170" s="129">
        <v>2</v>
      </c>
      <c r="M1170" s="129" t="s">
        <v>31</v>
      </c>
      <c r="N1170" s="129" t="s">
        <v>32</v>
      </c>
      <c r="O1170" s="139"/>
      <c r="P1170" s="127"/>
      <c r="Q1170" s="127"/>
      <c r="R1170" s="127"/>
      <c r="S1170" s="127"/>
      <c r="T1170" s="127"/>
      <c r="U1170" s="127"/>
      <c r="V1170" s="127"/>
      <c r="W1170" s="127"/>
      <c r="X1170" s="127"/>
      <c r="Y1170" s="127"/>
      <c r="Z1170" s="140"/>
    </row>
    <row r="1171" spans="1:26" x14ac:dyDescent="0.25">
      <c r="A1171" s="203">
        <f t="shared" si="25"/>
        <v>1170</v>
      </c>
      <c r="B1171" s="128"/>
      <c r="C1171" s="263"/>
      <c r="D1171" s="262"/>
      <c r="E1171" s="128"/>
      <c r="F1171" s="138" t="s">
        <v>1933</v>
      </c>
      <c r="G1171" s="131"/>
      <c r="H1171" s="128"/>
      <c r="I1171" s="132" t="s">
        <v>115</v>
      </c>
      <c r="J1171" s="133">
        <v>11</v>
      </c>
      <c r="K1171" s="129">
        <v>4</v>
      </c>
      <c r="L1171" s="129">
        <v>3</v>
      </c>
      <c r="M1171" s="129" t="s">
        <v>31</v>
      </c>
      <c r="N1171" s="129" t="s">
        <v>32</v>
      </c>
      <c r="O1171" s="139"/>
      <c r="P1171" s="127"/>
      <c r="Q1171" s="127"/>
      <c r="R1171" s="127"/>
      <c r="S1171" s="127"/>
      <c r="T1171" s="127"/>
      <c r="U1171" s="127"/>
      <c r="V1171" s="127"/>
      <c r="W1171" s="127"/>
      <c r="X1171" s="127"/>
      <c r="Y1171" s="127"/>
      <c r="Z1171" s="140"/>
    </row>
    <row r="1172" spans="1:26" x14ac:dyDescent="0.25">
      <c r="A1172" s="203">
        <f t="shared" si="25"/>
        <v>1171</v>
      </c>
      <c r="B1172" s="128"/>
      <c r="C1172" s="263"/>
      <c r="D1172" s="262"/>
      <c r="E1172" s="128"/>
      <c r="F1172" s="138" t="s">
        <v>1933</v>
      </c>
      <c r="G1172" s="131"/>
      <c r="H1172" s="128"/>
      <c r="I1172" s="132" t="s">
        <v>115</v>
      </c>
      <c r="J1172" s="133">
        <v>11</v>
      </c>
      <c r="K1172" s="129">
        <v>4</v>
      </c>
      <c r="L1172" s="129">
        <v>4</v>
      </c>
      <c r="M1172" s="129" t="s">
        <v>31</v>
      </c>
      <c r="N1172" s="129" t="s">
        <v>32</v>
      </c>
      <c r="O1172" s="139"/>
      <c r="P1172" s="127"/>
      <c r="Q1172" s="127"/>
      <c r="R1172" s="127"/>
      <c r="S1172" s="127"/>
      <c r="T1172" s="127"/>
      <c r="U1172" s="127"/>
      <c r="V1172" s="127"/>
      <c r="W1172" s="127"/>
      <c r="X1172" s="127"/>
      <c r="Y1172" s="127"/>
      <c r="Z1172" s="140"/>
    </row>
    <row r="1173" spans="1:26" x14ac:dyDescent="0.25">
      <c r="A1173" s="203">
        <f t="shared" si="25"/>
        <v>1172</v>
      </c>
      <c r="B1173" s="128"/>
      <c r="C1173" s="263"/>
      <c r="D1173" s="262"/>
      <c r="E1173" s="128"/>
      <c r="F1173" s="138" t="s">
        <v>1933</v>
      </c>
      <c r="G1173" s="131"/>
      <c r="H1173" s="128"/>
      <c r="I1173" s="132" t="s">
        <v>115</v>
      </c>
      <c r="J1173" s="133">
        <v>11</v>
      </c>
      <c r="K1173" s="129">
        <v>4</v>
      </c>
      <c r="L1173" s="129">
        <v>13</v>
      </c>
      <c r="M1173" s="129" t="s">
        <v>31</v>
      </c>
      <c r="N1173" s="129" t="s">
        <v>32</v>
      </c>
      <c r="O1173" s="139"/>
      <c r="P1173" s="127"/>
      <c r="Q1173" s="127"/>
      <c r="R1173" s="127"/>
      <c r="S1173" s="127"/>
      <c r="T1173" s="127"/>
      <c r="U1173" s="127"/>
      <c r="V1173" s="127"/>
      <c r="W1173" s="127"/>
      <c r="X1173" s="127"/>
      <c r="Y1173" s="127"/>
      <c r="Z1173" s="140"/>
    </row>
    <row r="1174" spans="1:26" x14ac:dyDescent="0.25">
      <c r="A1174" s="203">
        <f t="shared" si="25"/>
        <v>1173</v>
      </c>
      <c r="B1174" s="128"/>
      <c r="C1174" s="263"/>
      <c r="D1174" s="262"/>
      <c r="E1174" s="128"/>
      <c r="F1174" s="138" t="s">
        <v>1933</v>
      </c>
      <c r="G1174" s="131"/>
      <c r="H1174" s="128"/>
      <c r="I1174" s="132" t="s">
        <v>115</v>
      </c>
      <c r="J1174" s="133">
        <v>11</v>
      </c>
      <c r="K1174" s="129">
        <v>4</v>
      </c>
      <c r="L1174" s="129">
        <v>14</v>
      </c>
      <c r="M1174" s="129" t="s">
        <v>31</v>
      </c>
      <c r="N1174" s="129" t="s">
        <v>32</v>
      </c>
      <c r="O1174" s="139"/>
      <c r="P1174" s="127"/>
      <c r="Q1174" s="127"/>
      <c r="R1174" s="127"/>
      <c r="S1174" s="127"/>
      <c r="T1174" s="127"/>
      <c r="U1174" s="127"/>
      <c r="V1174" s="127"/>
      <c r="W1174" s="127"/>
      <c r="X1174" s="127"/>
      <c r="Y1174" s="127"/>
      <c r="Z1174" s="140"/>
    </row>
    <row r="1175" spans="1:26" x14ac:dyDescent="0.25">
      <c r="A1175" s="203">
        <f t="shared" si="25"/>
        <v>1174</v>
      </c>
      <c r="B1175" s="128"/>
      <c r="C1175" s="263"/>
      <c r="D1175" s="262"/>
      <c r="E1175" s="128"/>
      <c r="F1175" s="138" t="s">
        <v>1933</v>
      </c>
      <c r="G1175" s="131"/>
      <c r="H1175" s="128"/>
      <c r="I1175" s="132" t="s">
        <v>115</v>
      </c>
      <c r="J1175" s="133">
        <v>11</v>
      </c>
      <c r="K1175" s="129">
        <v>4</v>
      </c>
      <c r="L1175" s="129">
        <v>15</v>
      </c>
      <c r="M1175" s="129" t="s">
        <v>31</v>
      </c>
      <c r="N1175" s="129" t="s">
        <v>32</v>
      </c>
      <c r="O1175" s="139"/>
      <c r="P1175" s="127"/>
      <c r="Q1175" s="127"/>
      <c r="R1175" s="127"/>
      <c r="S1175" s="127"/>
      <c r="T1175" s="127"/>
      <c r="U1175" s="127"/>
      <c r="V1175" s="127"/>
      <c r="W1175" s="127"/>
      <c r="X1175" s="127"/>
      <c r="Y1175" s="127"/>
      <c r="Z1175" s="140"/>
    </row>
    <row r="1176" spans="1:26" x14ac:dyDescent="0.25">
      <c r="A1176" s="203">
        <f t="shared" si="25"/>
        <v>1175</v>
      </c>
      <c r="B1176" s="128"/>
      <c r="C1176" s="263"/>
      <c r="D1176" s="262"/>
      <c r="E1176" s="128"/>
      <c r="F1176" s="138" t="s">
        <v>1933</v>
      </c>
      <c r="G1176" s="131"/>
      <c r="H1176" s="128"/>
      <c r="I1176" s="132" t="s">
        <v>115</v>
      </c>
      <c r="J1176" s="133">
        <v>11</v>
      </c>
      <c r="K1176" s="129">
        <v>5</v>
      </c>
      <c r="L1176" s="129">
        <v>0</v>
      </c>
      <c r="M1176" s="129" t="s">
        <v>31</v>
      </c>
      <c r="N1176" s="129" t="s">
        <v>32</v>
      </c>
      <c r="O1176" s="139"/>
      <c r="P1176" s="127"/>
      <c r="Q1176" s="127"/>
      <c r="R1176" s="127"/>
      <c r="S1176" s="127"/>
      <c r="T1176" s="127"/>
      <c r="U1176" s="127"/>
      <c r="V1176" s="127"/>
      <c r="W1176" s="127"/>
      <c r="X1176" s="127"/>
      <c r="Y1176" s="127"/>
      <c r="Z1176" s="140"/>
    </row>
    <row r="1177" spans="1:26" x14ac:dyDescent="0.25">
      <c r="A1177" s="203">
        <f t="shared" si="25"/>
        <v>1176</v>
      </c>
      <c r="B1177" s="128"/>
      <c r="C1177" s="263"/>
      <c r="D1177" s="262"/>
      <c r="E1177" s="128"/>
      <c r="F1177" s="138" t="s">
        <v>1933</v>
      </c>
      <c r="G1177" s="131"/>
      <c r="H1177" s="128"/>
      <c r="I1177" s="132" t="s">
        <v>115</v>
      </c>
      <c r="J1177" s="133">
        <v>11</v>
      </c>
      <c r="K1177" s="129">
        <v>5</v>
      </c>
      <c r="L1177" s="129">
        <v>1</v>
      </c>
      <c r="M1177" s="129" t="s">
        <v>31</v>
      </c>
      <c r="N1177" s="129" t="s">
        <v>32</v>
      </c>
      <c r="O1177" s="139"/>
      <c r="P1177" s="127"/>
      <c r="Q1177" s="127"/>
      <c r="R1177" s="127"/>
      <c r="S1177" s="127"/>
      <c r="T1177" s="127"/>
      <c r="U1177" s="127"/>
      <c r="V1177" s="127"/>
      <c r="W1177" s="127"/>
      <c r="X1177" s="127"/>
      <c r="Y1177" s="127"/>
      <c r="Z1177" s="140"/>
    </row>
    <row r="1178" spans="1:26" x14ac:dyDescent="0.25">
      <c r="A1178" s="203">
        <f t="shared" si="25"/>
        <v>1177</v>
      </c>
      <c r="B1178" s="128"/>
      <c r="C1178" s="263"/>
      <c r="D1178" s="262"/>
      <c r="E1178" s="128"/>
      <c r="F1178" s="138" t="s">
        <v>1933</v>
      </c>
      <c r="G1178" s="131"/>
      <c r="H1178" s="128"/>
      <c r="I1178" s="132" t="s">
        <v>115</v>
      </c>
      <c r="J1178" s="133">
        <v>11</v>
      </c>
      <c r="K1178" s="129">
        <v>5</v>
      </c>
      <c r="L1178" s="129">
        <v>2</v>
      </c>
      <c r="M1178" s="129" t="s">
        <v>31</v>
      </c>
      <c r="N1178" s="129" t="s">
        <v>32</v>
      </c>
      <c r="O1178" s="139"/>
      <c r="P1178" s="127"/>
      <c r="Q1178" s="127"/>
      <c r="R1178" s="127"/>
      <c r="S1178" s="127"/>
      <c r="T1178" s="127"/>
      <c r="U1178" s="127"/>
      <c r="V1178" s="127"/>
      <c r="W1178" s="127"/>
      <c r="X1178" s="127"/>
      <c r="Y1178" s="127"/>
      <c r="Z1178" s="140"/>
    </row>
    <row r="1179" spans="1:26" x14ac:dyDescent="0.25">
      <c r="A1179" s="203">
        <f t="shared" si="25"/>
        <v>1178</v>
      </c>
      <c r="B1179" s="128"/>
      <c r="C1179" s="263"/>
      <c r="D1179" s="262"/>
      <c r="E1179" s="128"/>
      <c r="F1179" s="138" t="s">
        <v>1933</v>
      </c>
      <c r="G1179" s="131"/>
      <c r="H1179" s="128"/>
      <c r="I1179" s="132" t="s">
        <v>115</v>
      </c>
      <c r="J1179" s="133">
        <v>11</v>
      </c>
      <c r="K1179" s="129">
        <v>5</v>
      </c>
      <c r="L1179" s="129">
        <v>3</v>
      </c>
      <c r="M1179" s="129" t="s">
        <v>31</v>
      </c>
      <c r="N1179" s="129" t="s">
        <v>32</v>
      </c>
      <c r="O1179" s="139"/>
      <c r="P1179" s="127"/>
      <c r="Q1179" s="127"/>
      <c r="R1179" s="127"/>
      <c r="S1179" s="127"/>
      <c r="T1179" s="127"/>
      <c r="U1179" s="127"/>
      <c r="V1179" s="127"/>
      <c r="W1179" s="127"/>
      <c r="X1179" s="127"/>
      <c r="Y1179" s="127"/>
      <c r="Z1179" s="140"/>
    </row>
    <row r="1180" spans="1:26" x14ac:dyDescent="0.25">
      <c r="A1180" s="203">
        <f t="shared" si="25"/>
        <v>1179</v>
      </c>
      <c r="B1180" s="128"/>
      <c r="C1180" s="263"/>
      <c r="D1180" s="262"/>
      <c r="E1180" s="128"/>
      <c r="F1180" s="138" t="s">
        <v>1933</v>
      </c>
      <c r="G1180" s="131"/>
      <c r="H1180" s="128"/>
      <c r="I1180" s="132" t="s">
        <v>115</v>
      </c>
      <c r="J1180" s="133">
        <v>11</v>
      </c>
      <c r="K1180" s="129">
        <v>5</v>
      </c>
      <c r="L1180" s="129">
        <v>4</v>
      </c>
      <c r="M1180" s="129" t="s">
        <v>31</v>
      </c>
      <c r="N1180" s="129" t="s">
        <v>32</v>
      </c>
      <c r="O1180" s="139"/>
      <c r="P1180" s="127"/>
      <c r="Q1180" s="127"/>
      <c r="R1180" s="127"/>
      <c r="S1180" s="127"/>
      <c r="T1180" s="127"/>
      <c r="U1180" s="127"/>
      <c r="V1180" s="127"/>
      <c r="W1180" s="127"/>
      <c r="X1180" s="127"/>
      <c r="Y1180" s="127"/>
      <c r="Z1180" s="140"/>
    </row>
    <row r="1181" spans="1:26" x14ac:dyDescent="0.25">
      <c r="A1181" s="203">
        <f t="shared" ref="A1181:A1244" si="26">ROW()-1</f>
        <v>1180</v>
      </c>
      <c r="B1181" s="128"/>
      <c r="C1181" s="263"/>
      <c r="D1181" s="262"/>
      <c r="E1181" s="128"/>
      <c r="F1181" s="138" t="s">
        <v>1933</v>
      </c>
      <c r="G1181" s="131"/>
      <c r="H1181" s="128"/>
      <c r="I1181" s="132" t="s">
        <v>115</v>
      </c>
      <c r="J1181" s="133">
        <v>11</v>
      </c>
      <c r="K1181" s="129">
        <v>5</v>
      </c>
      <c r="L1181" s="129">
        <v>5</v>
      </c>
      <c r="M1181" s="129" t="s">
        <v>31</v>
      </c>
      <c r="N1181" s="129" t="s">
        <v>32</v>
      </c>
      <c r="O1181" s="139"/>
      <c r="P1181" s="127"/>
      <c r="Q1181" s="127"/>
      <c r="R1181" s="127"/>
      <c r="S1181" s="127"/>
      <c r="T1181" s="127"/>
      <c r="U1181" s="127"/>
      <c r="V1181" s="127"/>
      <c r="W1181" s="127"/>
      <c r="X1181" s="127"/>
      <c r="Y1181" s="127"/>
      <c r="Z1181" s="140"/>
    </row>
    <row r="1182" spans="1:26" x14ac:dyDescent="0.25">
      <c r="A1182" s="203">
        <f t="shared" si="26"/>
        <v>1181</v>
      </c>
      <c r="B1182" s="128"/>
      <c r="C1182" s="263"/>
      <c r="D1182" s="262"/>
      <c r="E1182" s="128"/>
      <c r="F1182" s="138" t="s">
        <v>1933</v>
      </c>
      <c r="G1182" s="131"/>
      <c r="H1182" s="128"/>
      <c r="I1182" s="132" t="s">
        <v>115</v>
      </c>
      <c r="J1182" s="133">
        <v>11</v>
      </c>
      <c r="K1182" s="129">
        <v>5</v>
      </c>
      <c r="L1182" s="129">
        <v>6</v>
      </c>
      <c r="M1182" s="129" t="s">
        <v>31</v>
      </c>
      <c r="N1182" s="129" t="s">
        <v>32</v>
      </c>
      <c r="O1182" s="139"/>
      <c r="P1182" s="127"/>
      <c r="Q1182" s="127"/>
      <c r="R1182" s="127"/>
      <c r="S1182" s="127"/>
      <c r="T1182" s="127"/>
      <c r="U1182" s="127"/>
      <c r="V1182" s="127"/>
      <c r="W1182" s="127"/>
      <c r="X1182" s="127"/>
      <c r="Y1182" s="127"/>
      <c r="Z1182" s="140"/>
    </row>
    <row r="1183" spans="1:26" x14ac:dyDescent="0.25">
      <c r="A1183" s="203">
        <f t="shared" si="26"/>
        <v>1182</v>
      </c>
      <c r="B1183" s="128"/>
      <c r="C1183" s="263"/>
      <c r="D1183" s="262"/>
      <c r="E1183" s="128"/>
      <c r="F1183" s="138" t="s">
        <v>1933</v>
      </c>
      <c r="G1183" s="131"/>
      <c r="H1183" s="128"/>
      <c r="I1183" s="132" t="s">
        <v>115</v>
      </c>
      <c r="J1183" s="133">
        <v>11</v>
      </c>
      <c r="K1183" s="129">
        <v>5</v>
      </c>
      <c r="L1183" s="129">
        <v>7</v>
      </c>
      <c r="M1183" s="129" t="s">
        <v>31</v>
      </c>
      <c r="N1183" s="129" t="s">
        <v>32</v>
      </c>
      <c r="O1183" s="139"/>
      <c r="P1183" s="127"/>
      <c r="Q1183" s="127"/>
      <c r="R1183" s="127"/>
      <c r="S1183" s="127"/>
      <c r="T1183" s="127"/>
      <c r="U1183" s="127"/>
      <c r="V1183" s="127"/>
      <c r="W1183" s="127"/>
      <c r="X1183" s="127"/>
      <c r="Y1183" s="127"/>
      <c r="Z1183" s="140"/>
    </row>
    <row r="1184" spans="1:26" x14ac:dyDescent="0.25">
      <c r="A1184" s="203">
        <f t="shared" si="26"/>
        <v>1183</v>
      </c>
      <c r="B1184" s="128"/>
      <c r="C1184" s="263"/>
      <c r="D1184" s="262"/>
      <c r="E1184" s="128"/>
      <c r="F1184" s="138" t="s">
        <v>1933</v>
      </c>
      <c r="G1184" s="131"/>
      <c r="H1184" s="128"/>
      <c r="I1184" s="132" t="s">
        <v>115</v>
      </c>
      <c r="J1184" s="133">
        <v>11</v>
      </c>
      <c r="K1184" s="129">
        <v>5</v>
      </c>
      <c r="L1184" s="129">
        <v>8</v>
      </c>
      <c r="M1184" s="129" t="s">
        <v>31</v>
      </c>
      <c r="N1184" s="129" t="s">
        <v>32</v>
      </c>
      <c r="O1184" s="139"/>
      <c r="P1184" s="127"/>
      <c r="Q1184" s="127"/>
      <c r="R1184" s="127"/>
      <c r="S1184" s="127"/>
      <c r="T1184" s="127"/>
      <c r="U1184" s="127"/>
      <c r="V1184" s="127"/>
      <c r="W1184" s="127"/>
      <c r="X1184" s="127"/>
      <c r="Y1184" s="127"/>
      <c r="Z1184" s="140"/>
    </row>
    <row r="1185" spans="1:26" x14ac:dyDescent="0.25">
      <c r="A1185" s="203">
        <f t="shared" si="26"/>
        <v>1184</v>
      </c>
      <c r="B1185" s="128"/>
      <c r="C1185" s="263"/>
      <c r="D1185" s="262"/>
      <c r="E1185" s="128"/>
      <c r="F1185" s="138" t="s">
        <v>1933</v>
      </c>
      <c r="G1185" s="131"/>
      <c r="H1185" s="128"/>
      <c r="I1185" s="132" t="s">
        <v>115</v>
      </c>
      <c r="J1185" s="133">
        <v>11</v>
      </c>
      <c r="K1185" s="129">
        <v>5</v>
      </c>
      <c r="L1185" s="129">
        <v>9</v>
      </c>
      <c r="M1185" s="129" t="s">
        <v>31</v>
      </c>
      <c r="N1185" s="129" t="s">
        <v>32</v>
      </c>
      <c r="O1185" s="139"/>
      <c r="P1185" s="127"/>
      <c r="Q1185" s="127"/>
      <c r="R1185" s="127"/>
      <c r="S1185" s="127"/>
      <c r="T1185" s="127"/>
      <c r="U1185" s="127"/>
      <c r="V1185" s="127"/>
      <c r="W1185" s="127"/>
      <c r="X1185" s="127"/>
      <c r="Y1185" s="127"/>
      <c r="Z1185" s="140"/>
    </row>
    <row r="1186" spans="1:26" x14ac:dyDescent="0.25">
      <c r="A1186" s="203">
        <f t="shared" si="26"/>
        <v>1185</v>
      </c>
      <c r="B1186" s="128"/>
      <c r="C1186" s="263"/>
      <c r="D1186" s="262"/>
      <c r="E1186" s="128"/>
      <c r="F1186" s="138" t="s">
        <v>1933</v>
      </c>
      <c r="G1186" s="131"/>
      <c r="H1186" s="128"/>
      <c r="I1186" s="132" t="s">
        <v>115</v>
      </c>
      <c r="J1186" s="133">
        <v>11</v>
      </c>
      <c r="K1186" s="129">
        <v>5</v>
      </c>
      <c r="L1186" s="129">
        <v>10</v>
      </c>
      <c r="M1186" s="129" t="s">
        <v>31</v>
      </c>
      <c r="N1186" s="129" t="s">
        <v>32</v>
      </c>
      <c r="O1186" s="139"/>
      <c r="P1186" s="127"/>
      <c r="Q1186" s="127"/>
      <c r="R1186" s="127"/>
      <c r="S1186" s="127"/>
      <c r="T1186" s="127"/>
      <c r="U1186" s="127"/>
      <c r="V1186" s="127"/>
      <c r="W1186" s="127"/>
      <c r="X1186" s="127"/>
      <c r="Y1186" s="127"/>
      <c r="Z1186" s="140"/>
    </row>
    <row r="1187" spans="1:26" x14ac:dyDescent="0.25">
      <c r="A1187" s="203">
        <f t="shared" si="26"/>
        <v>1186</v>
      </c>
      <c r="B1187" s="128"/>
      <c r="C1187" s="263"/>
      <c r="D1187" s="262"/>
      <c r="E1187" s="128"/>
      <c r="F1187" s="138" t="s">
        <v>1933</v>
      </c>
      <c r="G1187" s="131"/>
      <c r="H1187" s="128"/>
      <c r="I1187" s="132" t="s">
        <v>115</v>
      </c>
      <c r="J1187" s="133">
        <v>11</v>
      </c>
      <c r="K1187" s="129">
        <v>5</v>
      </c>
      <c r="L1187" s="129">
        <v>11</v>
      </c>
      <c r="M1187" s="129" t="s">
        <v>31</v>
      </c>
      <c r="N1187" s="129" t="s">
        <v>32</v>
      </c>
      <c r="O1187" s="139"/>
      <c r="P1187" s="127"/>
      <c r="Q1187" s="127"/>
      <c r="R1187" s="127"/>
      <c r="S1187" s="127"/>
      <c r="T1187" s="127"/>
      <c r="U1187" s="127"/>
      <c r="V1187" s="127"/>
      <c r="W1187" s="127"/>
      <c r="X1187" s="127"/>
      <c r="Y1187" s="127"/>
      <c r="Z1187" s="140"/>
    </row>
    <row r="1188" spans="1:26" x14ac:dyDescent="0.25">
      <c r="A1188" s="203">
        <f t="shared" si="26"/>
        <v>1187</v>
      </c>
      <c r="B1188" s="128"/>
      <c r="C1188" s="263"/>
      <c r="D1188" s="262"/>
      <c r="E1188" s="128"/>
      <c r="F1188" s="138" t="s">
        <v>1933</v>
      </c>
      <c r="G1188" s="131"/>
      <c r="H1188" s="128"/>
      <c r="I1188" s="132" t="s">
        <v>115</v>
      </c>
      <c r="J1188" s="133">
        <v>11</v>
      </c>
      <c r="K1188" s="129">
        <v>5</v>
      </c>
      <c r="L1188" s="129">
        <v>12</v>
      </c>
      <c r="M1188" s="129" t="s">
        <v>31</v>
      </c>
      <c r="N1188" s="129" t="s">
        <v>32</v>
      </c>
      <c r="O1188" s="139"/>
      <c r="P1188" s="127"/>
      <c r="Q1188" s="127"/>
      <c r="R1188" s="127"/>
      <c r="S1188" s="127"/>
      <c r="T1188" s="127"/>
      <c r="U1188" s="127"/>
      <c r="V1188" s="127"/>
      <c r="W1188" s="127"/>
      <c r="X1188" s="127"/>
      <c r="Y1188" s="127"/>
      <c r="Z1188" s="140"/>
    </row>
    <row r="1189" spans="1:26" x14ac:dyDescent="0.25">
      <c r="A1189" s="203">
        <f t="shared" si="26"/>
        <v>1188</v>
      </c>
      <c r="B1189" s="128"/>
      <c r="C1189" s="263"/>
      <c r="D1189" s="262"/>
      <c r="E1189" s="128"/>
      <c r="F1189" s="138" t="s">
        <v>1933</v>
      </c>
      <c r="G1189" s="131"/>
      <c r="H1189" s="128"/>
      <c r="I1189" s="132" t="s">
        <v>115</v>
      </c>
      <c r="J1189" s="133">
        <v>11</v>
      </c>
      <c r="K1189" s="129">
        <v>5</v>
      </c>
      <c r="L1189" s="129">
        <v>13</v>
      </c>
      <c r="M1189" s="129" t="s">
        <v>31</v>
      </c>
      <c r="N1189" s="129" t="s">
        <v>32</v>
      </c>
      <c r="O1189" s="139"/>
      <c r="P1189" s="127"/>
      <c r="Q1189" s="127"/>
      <c r="R1189" s="127"/>
      <c r="S1189" s="127"/>
      <c r="T1189" s="127"/>
      <c r="U1189" s="127"/>
      <c r="V1189" s="127"/>
      <c r="W1189" s="127"/>
      <c r="X1189" s="127"/>
      <c r="Y1189" s="127"/>
      <c r="Z1189" s="140"/>
    </row>
    <row r="1190" spans="1:26" x14ac:dyDescent="0.25">
      <c r="A1190" s="203">
        <f t="shared" si="26"/>
        <v>1189</v>
      </c>
      <c r="B1190" s="128"/>
      <c r="C1190" s="263"/>
      <c r="D1190" s="262"/>
      <c r="E1190" s="128"/>
      <c r="F1190" s="138" t="s">
        <v>1933</v>
      </c>
      <c r="G1190" s="131"/>
      <c r="H1190" s="128"/>
      <c r="I1190" s="132" t="s">
        <v>115</v>
      </c>
      <c r="J1190" s="133">
        <v>11</v>
      </c>
      <c r="K1190" s="129">
        <v>5</v>
      </c>
      <c r="L1190" s="129">
        <v>14</v>
      </c>
      <c r="M1190" s="129" t="s">
        <v>31</v>
      </c>
      <c r="N1190" s="129" t="s">
        <v>32</v>
      </c>
      <c r="O1190" s="139"/>
      <c r="P1190" s="127"/>
      <c r="Q1190" s="127"/>
      <c r="R1190" s="127"/>
      <c r="S1190" s="127"/>
      <c r="T1190" s="127"/>
      <c r="U1190" s="127"/>
      <c r="V1190" s="127"/>
      <c r="W1190" s="127"/>
      <c r="X1190" s="127"/>
      <c r="Y1190" s="127"/>
      <c r="Z1190" s="140"/>
    </row>
    <row r="1191" spans="1:26" x14ac:dyDescent="0.25">
      <c r="A1191" s="203">
        <f t="shared" si="26"/>
        <v>1190</v>
      </c>
      <c r="B1191" s="128"/>
      <c r="C1191" s="263"/>
      <c r="D1191" s="262"/>
      <c r="E1191" s="128"/>
      <c r="F1191" s="138" t="s">
        <v>1933</v>
      </c>
      <c r="G1191" s="131"/>
      <c r="H1191" s="128"/>
      <c r="I1191" s="132" t="s">
        <v>115</v>
      </c>
      <c r="J1191" s="133">
        <v>11</v>
      </c>
      <c r="K1191" s="129">
        <v>5</v>
      </c>
      <c r="L1191" s="129">
        <v>15</v>
      </c>
      <c r="M1191" s="129" t="s">
        <v>31</v>
      </c>
      <c r="N1191" s="129" t="s">
        <v>32</v>
      </c>
      <c r="O1191" s="139"/>
      <c r="P1191" s="127"/>
      <c r="Q1191" s="127"/>
      <c r="R1191" s="127"/>
      <c r="S1191" s="127"/>
      <c r="T1191" s="127"/>
      <c r="U1191" s="127"/>
      <c r="V1191" s="127"/>
      <c r="W1191" s="127"/>
      <c r="X1191" s="127"/>
      <c r="Y1191" s="127"/>
      <c r="Z1191" s="140"/>
    </row>
    <row r="1192" spans="1:26" x14ac:dyDescent="0.25">
      <c r="A1192" s="203">
        <f t="shared" si="26"/>
        <v>1191</v>
      </c>
      <c r="B1192" s="128"/>
      <c r="C1192" s="263"/>
      <c r="D1192" s="262"/>
      <c r="E1192" s="128"/>
      <c r="F1192" s="138" t="s">
        <v>1933</v>
      </c>
      <c r="G1192" s="131"/>
      <c r="H1192" s="128"/>
      <c r="I1192" s="132" t="s">
        <v>115</v>
      </c>
      <c r="J1192" s="133">
        <v>11</v>
      </c>
      <c r="K1192" s="129">
        <v>6</v>
      </c>
      <c r="L1192" s="129">
        <v>5</v>
      </c>
      <c r="M1192" s="129" t="s">
        <v>82</v>
      </c>
      <c r="N1192" s="129" t="s">
        <v>83</v>
      </c>
      <c r="O1192" s="139"/>
      <c r="P1192" s="127"/>
      <c r="Q1192" s="127"/>
      <c r="R1192" s="127"/>
      <c r="S1192" s="127"/>
      <c r="T1192" s="127"/>
      <c r="U1192" s="127"/>
      <c r="V1192" s="127"/>
      <c r="W1192" s="127"/>
      <c r="X1192" s="127"/>
      <c r="Y1192" s="127"/>
      <c r="Z1192" s="140"/>
    </row>
    <row r="1193" spans="1:26" x14ac:dyDescent="0.25">
      <c r="A1193" s="203">
        <f t="shared" si="26"/>
        <v>1192</v>
      </c>
      <c r="B1193" s="128"/>
      <c r="C1193" s="263"/>
      <c r="D1193" s="262"/>
      <c r="E1193" s="128"/>
      <c r="F1193" s="138" t="s">
        <v>1933</v>
      </c>
      <c r="G1193" s="131"/>
      <c r="H1193" s="128"/>
      <c r="I1193" s="132" t="s">
        <v>115</v>
      </c>
      <c r="J1193" s="133">
        <v>11</v>
      </c>
      <c r="K1193" s="129">
        <v>6</v>
      </c>
      <c r="L1193" s="129">
        <v>6</v>
      </c>
      <c r="M1193" s="129" t="s">
        <v>82</v>
      </c>
      <c r="N1193" s="129" t="s">
        <v>83</v>
      </c>
      <c r="O1193" s="139"/>
      <c r="P1193" s="127"/>
      <c r="Q1193" s="127"/>
      <c r="R1193" s="127"/>
      <c r="S1193" s="127"/>
      <c r="T1193" s="127"/>
      <c r="U1193" s="127"/>
      <c r="V1193" s="127"/>
      <c r="W1193" s="127"/>
      <c r="X1193" s="127"/>
      <c r="Y1193" s="127"/>
      <c r="Z1193" s="140"/>
    </row>
    <row r="1194" spans="1:26" x14ac:dyDescent="0.25">
      <c r="A1194" s="203">
        <f t="shared" si="26"/>
        <v>1193</v>
      </c>
      <c r="B1194" s="128"/>
      <c r="C1194" s="263"/>
      <c r="D1194" s="262"/>
      <c r="E1194" s="128"/>
      <c r="F1194" s="138" t="s">
        <v>1933</v>
      </c>
      <c r="G1194" s="131"/>
      <c r="H1194" s="128"/>
      <c r="I1194" s="132" t="s">
        <v>115</v>
      </c>
      <c r="J1194" s="133">
        <v>11</v>
      </c>
      <c r="K1194" s="129">
        <v>6</v>
      </c>
      <c r="L1194" s="129">
        <v>7</v>
      </c>
      <c r="M1194" s="129" t="s">
        <v>82</v>
      </c>
      <c r="N1194" s="129" t="s">
        <v>83</v>
      </c>
      <c r="O1194" s="139"/>
      <c r="P1194" s="127"/>
      <c r="Q1194" s="127"/>
      <c r="R1194" s="127"/>
      <c r="S1194" s="127"/>
      <c r="T1194" s="127"/>
      <c r="U1194" s="127"/>
      <c r="V1194" s="127"/>
      <c r="W1194" s="127"/>
      <c r="X1194" s="127"/>
      <c r="Y1194" s="127"/>
      <c r="Z1194" s="140"/>
    </row>
    <row r="1195" spans="1:26" x14ac:dyDescent="0.25">
      <c r="A1195" s="203">
        <f t="shared" si="26"/>
        <v>1194</v>
      </c>
      <c r="B1195" s="128"/>
      <c r="C1195" s="263"/>
      <c r="D1195" s="262"/>
      <c r="E1195" s="128"/>
      <c r="F1195" s="138" t="s">
        <v>1933</v>
      </c>
      <c r="G1195" s="131"/>
      <c r="H1195" s="128"/>
      <c r="I1195" s="132" t="s">
        <v>115</v>
      </c>
      <c r="J1195" s="133">
        <v>11</v>
      </c>
      <c r="K1195" s="129">
        <v>6</v>
      </c>
      <c r="L1195" s="129">
        <v>8</v>
      </c>
      <c r="M1195" s="129" t="s">
        <v>82</v>
      </c>
      <c r="N1195" s="129" t="s">
        <v>83</v>
      </c>
      <c r="O1195" s="139"/>
      <c r="P1195" s="127"/>
      <c r="Q1195" s="127"/>
      <c r="R1195" s="127"/>
      <c r="S1195" s="127"/>
      <c r="T1195" s="127"/>
      <c r="U1195" s="127"/>
      <c r="V1195" s="127"/>
      <c r="W1195" s="127"/>
      <c r="X1195" s="127"/>
      <c r="Y1195" s="127"/>
      <c r="Z1195" s="140"/>
    </row>
    <row r="1196" spans="1:26" x14ac:dyDescent="0.25">
      <c r="A1196" s="203">
        <f t="shared" si="26"/>
        <v>1195</v>
      </c>
      <c r="B1196" s="128"/>
      <c r="C1196" s="263"/>
      <c r="D1196" s="262"/>
      <c r="E1196" s="128"/>
      <c r="F1196" s="138" t="s">
        <v>1933</v>
      </c>
      <c r="G1196" s="131"/>
      <c r="H1196" s="128"/>
      <c r="I1196" s="132" t="s">
        <v>115</v>
      </c>
      <c r="J1196" s="133">
        <v>11</v>
      </c>
      <c r="K1196" s="129">
        <v>6</v>
      </c>
      <c r="L1196" s="129">
        <v>13</v>
      </c>
      <c r="M1196" s="129" t="s">
        <v>82</v>
      </c>
      <c r="N1196" s="129" t="s">
        <v>83</v>
      </c>
      <c r="O1196" s="139"/>
      <c r="P1196" s="127"/>
      <c r="Q1196" s="127"/>
      <c r="R1196" s="127"/>
      <c r="S1196" s="127"/>
      <c r="T1196" s="127"/>
      <c r="U1196" s="127"/>
      <c r="V1196" s="127"/>
      <c r="W1196" s="127"/>
      <c r="X1196" s="127"/>
      <c r="Y1196" s="127"/>
      <c r="Z1196" s="140"/>
    </row>
    <row r="1197" spans="1:26" x14ac:dyDescent="0.25">
      <c r="A1197" s="203">
        <f t="shared" si="26"/>
        <v>1196</v>
      </c>
      <c r="B1197" s="128"/>
      <c r="C1197" s="263"/>
      <c r="D1197" s="262"/>
      <c r="E1197" s="128"/>
      <c r="F1197" s="138" t="s">
        <v>1933</v>
      </c>
      <c r="G1197" s="131"/>
      <c r="H1197" s="128"/>
      <c r="I1197" s="132" t="s">
        <v>115</v>
      </c>
      <c r="J1197" s="133">
        <v>11</v>
      </c>
      <c r="K1197" s="129">
        <v>6</v>
      </c>
      <c r="L1197" s="129">
        <v>14</v>
      </c>
      <c r="M1197" s="129" t="s">
        <v>82</v>
      </c>
      <c r="N1197" s="129" t="s">
        <v>83</v>
      </c>
      <c r="O1197" s="139"/>
      <c r="P1197" s="127"/>
      <c r="Q1197" s="127"/>
      <c r="R1197" s="127"/>
      <c r="S1197" s="127"/>
      <c r="T1197" s="127"/>
      <c r="U1197" s="127"/>
      <c r="V1197" s="127"/>
      <c r="W1197" s="127"/>
      <c r="X1197" s="127"/>
      <c r="Y1197" s="127"/>
      <c r="Z1197" s="140"/>
    </row>
    <row r="1198" spans="1:26" x14ac:dyDescent="0.25">
      <c r="A1198" s="203">
        <f t="shared" si="26"/>
        <v>1197</v>
      </c>
      <c r="B1198" s="128"/>
      <c r="C1198" s="263"/>
      <c r="D1198" s="262"/>
      <c r="E1198" s="128"/>
      <c r="F1198" s="138" t="s">
        <v>1933</v>
      </c>
      <c r="G1198" s="131"/>
      <c r="H1198" s="128"/>
      <c r="I1198" s="132" t="s">
        <v>115</v>
      </c>
      <c r="J1198" s="133">
        <v>11</v>
      </c>
      <c r="K1198" s="129">
        <v>6</v>
      </c>
      <c r="L1198" s="129">
        <v>15</v>
      </c>
      <c r="M1198" s="129" t="s">
        <v>82</v>
      </c>
      <c r="N1198" s="129" t="s">
        <v>83</v>
      </c>
      <c r="O1198" s="139"/>
      <c r="P1198" s="127"/>
      <c r="Q1198" s="127"/>
      <c r="R1198" s="127"/>
      <c r="S1198" s="127"/>
      <c r="T1198" s="127"/>
      <c r="U1198" s="127"/>
      <c r="V1198" s="127"/>
      <c r="W1198" s="127"/>
      <c r="X1198" s="127"/>
      <c r="Y1198" s="127"/>
      <c r="Z1198" s="140"/>
    </row>
    <row r="1199" spans="1:26" x14ac:dyDescent="0.25">
      <c r="A1199" s="203">
        <f t="shared" si="26"/>
        <v>1198</v>
      </c>
      <c r="B1199" s="128"/>
      <c r="C1199" s="263"/>
      <c r="D1199" s="262"/>
      <c r="E1199" s="128"/>
      <c r="F1199" s="138" t="s">
        <v>1933</v>
      </c>
      <c r="G1199" s="131"/>
      <c r="H1199" s="128"/>
      <c r="I1199" s="132" t="s">
        <v>115</v>
      </c>
      <c r="J1199" s="133">
        <v>11</v>
      </c>
      <c r="K1199" s="129">
        <v>7</v>
      </c>
      <c r="L1199" s="129">
        <v>0</v>
      </c>
      <c r="M1199" s="129" t="s">
        <v>82</v>
      </c>
      <c r="N1199" s="129" t="s">
        <v>83</v>
      </c>
      <c r="O1199" s="139"/>
      <c r="P1199" s="127"/>
      <c r="Q1199" s="127"/>
      <c r="R1199" s="127"/>
      <c r="S1199" s="127"/>
      <c r="T1199" s="127"/>
      <c r="U1199" s="127"/>
      <c r="V1199" s="127"/>
      <c r="W1199" s="127"/>
      <c r="X1199" s="127"/>
      <c r="Y1199" s="127"/>
      <c r="Z1199" s="140"/>
    </row>
    <row r="1200" spans="1:26" x14ac:dyDescent="0.25">
      <c r="A1200" s="203">
        <f t="shared" si="26"/>
        <v>1199</v>
      </c>
      <c r="B1200" s="128"/>
      <c r="C1200" s="263"/>
      <c r="D1200" s="262"/>
      <c r="E1200" s="128"/>
      <c r="F1200" s="138" t="s">
        <v>1933</v>
      </c>
      <c r="G1200" s="131"/>
      <c r="H1200" s="128"/>
      <c r="I1200" s="132" t="s">
        <v>115</v>
      </c>
      <c r="J1200" s="133">
        <v>11</v>
      </c>
      <c r="K1200" s="129">
        <v>7</v>
      </c>
      <c r="L1200" s="129">
        <v>13</v>
      </c>
      <c r="M1200" s="129" t="s">
        <v>82</v>
      </c>
      <c r="N1200" s="129" t="s">
        <v>83</v>
      </c>
      <c r="O1200" s="139"/>
      <c r="P1200" s="127"/>
      <c r="Q1200" s="127"/>
      <c r="R1200" s="127"/>
      <c r="S1200" s="127"/>
      <c r="T1200" s="127"/>
      <c r="U1200" s="127"/>
      <c r="V1200" s="127"/>
      <c r="W1200" s="127"/>
      <c r="X1200" s="127"/>
      <c r="Y1200" s="127"/>
      <c r="Z1200" s="140"/>
    </row>
    <row r="1201" spans="1:26" x14ac:dyDescent="0.25">
      <c r="A1201" s="203">
        <f t="shared" si="26"/>
        <v>1200</v>
      </c>
      <c r="B1201" s="128"/>
      <c r="C1201" s="263"/>
      <c r="D1201" s="262"/>
      <c r="E1201" s="128"/>
      <c r="F1201" s="138" t="s">
        <v>1933</v>
      </c>
      <c r="G1201" s="131"/>
      <c r="H1201" s="128"/>
      <c r="I1201" s="132" t="s">
        <v>115</v>
      </c>
      <c r="J1201" s="133">
        <v>11</v>
      </c>
      <c r="K1201" s="129">
        <v>7</v>
      </c>
      <c r="L1201" s="129">
        <v>14</v>
      </c>
      <c r="M1201" s="129" t="s">
        <v>82</v>
      </c>
      <c r="N1201" s="129" t="s">
        <v>83</v>
      </c>
      <c r="O1201" s="139"/>
      <c r="P1201" s="127"/>
      <c r="Q1201" s="127"/>
      <c r="R1201" s="127"/>
      <c r="S1201" s="127"/>
      <c r="T1201" s="127"/>
      <c r="U1201" s="127"/>
      <c r="V1201" s="127"/>
      <c r="W1201" s="127"/>
      <c r="X1201" s="127"/>
      <c r="Y1201" s="127"/>
      <c r="Z1201" s="140"/>
    </row>
    <row r="1202" spans="1:26" x14ac:dyDescent="0.25">
      <c r="A1202" s="203">
        <f t="shared" si="26"/>
        <v>1201</v>
      </c>
      <c r="B1202" s="128"/>
      <c r="C1202" s="263"/>
      <c r="D1202" s="262"/>
      <c r="E1202" s="128"/>
      <c r="F1202" s="138" t="s">
        <v>1933</v>
      </c>
      <c r="G1202" s="131"/>
      <c r="H1202" s="128"/>
      <c r="I1202" s="132" t="s">
        <v>115</v>
      </c>
      <c r="J1202" s="133">
        <v>11</v>
      </c>
      <c r="K1202" s="129">
        <v>7</v>
      </c>
      <c r="L1202" s="129">
        <v>15</v>
      </c>
      <c r="M1202" s="129" t="s">
        <v>82</v>
      </c>
      <c r="N1202" s="129" t="s">
        <v>83</v>
      </c>
      <c r="O1202" s="139"/>
      <c r="P1202" s="127"/>
      <c r="Q1202" s="127"/>
      <c r="R1202" s="127"/>
      <c r="S1202" s="127"/>
      <c r="T1202" s="127"/>
      <c r="U1202" s="127"/>
      <c r="V1202" s="127"/>
      <c r="W1202" s="127"/>
      <c r="X1202" s="127"/>
      <c r="Y1202" s="127"/>
      <c r="Z1202" s="140"/>
    </row>
    <row r="1203" spans="1:26" x14ac:dyDescent="0.25">
      <c r="A1203" s="203">
        <f t="shared" si="26"/>
        <v>1202</v>
      </c>
      <c r="B1203" s="128"/>
      <c r="C1203" s="263"/>
      <c r="D1203" s="262"/>
      <c r="E1203" s="128"/>
      <c r="F1203" s="138" t="s">
        <v>1935</v>
      </c>
      <c r="G1203" s="131"/>
      <c r="H1203" s="128"/>
      <c r="I1203" s="132" t="s">
        <v>115</v>
      </c>
      <c r="J1203" s="133">
        <v>11</v>
      </c>
      <c r="K1203" s="129">
        <v>8</v>
      </c>
      <c r="L1203" s="129">
        <v>0</v>
      </c>
      <c r="M1203" s="129" t="s">
        <v>1936</v>
      </c>
      <c r="N1203" s="129" t="s">
        <v>295</v>
      </c>
      <c r="O1203" s="139"/>
      <c r="P1203" s="127"/>
      <c r="Q1203" s="127"/>
      <c r="R1203" s="127"/>
      <c r="S1203" s="127"/>
      <c r="T1203" s="127"/>
      <c r="U1203" s="127"/>
      <c r="V1203" s="127"/>
      <c r="W1203" s="127"/>
      <c r="X1203" s="127"/>
      <c r="Y1203" s="127"/>
      <c r="Z1203" s="140"/>
    </row>
    <row r="1204" spans="1:26" x14ac:dyDescent="0.25">
      <c r="A1204" s="203">
        <f t="shared" si="26"/>
        <v>1203</v>
      </c>
      <c r="B1204" s="128"/>
      <c r="C1204" s="263"/>
      <c r="D1204" s="262"/>
      <c r="E1204" s="128"/>
      <c r="F1204" s="138" t="s">
        <v>1933</v>
      </c>
      <c r="G1204" s="131"/>
      <c r="H1204" s="128"/>
      <c r="I1204" s="132" t="s">
        <v>115</v>
      </c>
      <c r="J1204" s="133">
        <v>11</v>
      </c>
      <c r="K1204" s="129">
        <v>9</v>
      </c>
      <c r="L1204" s="129">
        <v>2</v>
      </c>
      <c r="M1204" s="129" t="s">
        <v>658</v>
      </c>
      <c r="N1204" s="129" t="s">
        <v>659</v>
      </c>
      <c r="O1204" s="139"/>
      <c r="P1204" s="127"/>
      <c r="Q1204" s="127"/>
      <c r="R1204" s="127"/>
      <c r="S1204" s="127"/>
      <c r="T1204" s="127"/>
      <c r="U1204" s="127"/>
      <c r="V1204" s="127"/>
      <c r="W1204" s="127"/>
      <c r="X1204" s="127"/>
      <c r="Y1204" s="127"/>
      <c r="Z1204" s="140"/>
    </row>
    <row r="1205" spans="1:26" x14ac:dyDescent="0.25">
      <c r="A1205" s="203">
        <f t="shared" si="26"/>
        <v>1204</v>
      </c>
      <c r="B1205" s="128"/>
      <c r="C1205" s="263"/>
      <c r="D1205" s="262"/>
      <c r="E1205" s="128"/>
      <c r="F1205" s="138" t="s">
        <v>1933</v>
      </c>
      <c r="G1205" s="131"/>
      <c r="H1205" s="128"/>
      <c r="I1205" s="132" t="s">
        <v>115</v>
      </c>
      <c r="J1205" s="133">
        <v>11</v>
      </c>
      <c r="K1205" s="129">
        <v>9</v>
      </c>
      <c r="L1205" s="129">
        <v>3</v>
      </c>
      <c r="M1205" s="129" t="s">
        <v>658</v>
      </c>
      <c r="N1205" s="129" t="s">
        <v>659</v>
      </c>
      <c r="O1205" s="139"/>
      <c r="P1205" s="127"/>
      <c r="Q1205" s="127"/>
      <c r="R1205" s="127"/>
      <c r="S1205" s="127"/>
      <c r="T1205" s="127"/>
      <c r="U1205" s="127"/>
      <c r="V1205" s="127"/>
      <c r="W1205" s="127"/>
      <c r="X1205" s="127"/>
      <c r="Y1205" s="127"/>
      <c r="Z1205" s="140"/>
    </row>
    <row r="1206" spans="1:26" x14ac:dyDescent="0.25">
      <c r="A1206" s="203">
        <f t="shared" si="26"/>
        <v>1205</v>
      </c>
      <c r="B1206" s="128"/>
      <c r="C1206" s="263"/>
      <c r="D1206" s="262"/>
      <c r="E1206" s="128"/>
      <c r="F1206" s="138" t="s">
        <v>1933</v>
      </c>
      <c r="G1206" s="131"/>
      <c r="H1206" s="128"/>
      <c r="I1206" s="132" t="s">
        <v>115</v>
      </c>
      <c r="J1206" s="133">
        <v>11</v>
      </c>
      <c r="K1206" s="129">
        <v>9</v>
      </c>
      <c r="L1206" s="129">
        <v>4</v>
      </c>
      <c r="M1206" s="129" t="s">
        <v>658</v>
      </c>
      <c r="N1206" s="129" t="s">
        <v>659</v>
      </c>
      <c r="O1206" s="139"/>
      <c r="P1206" s="127"/>
      <c r="Q1206" s="127"/>
      <c r="R1206" s="127"/>
      <c r="S1206" s="127"/>
      <c r="T1206" s="127"/>
      <c r="U1206" s="127"/>
      <c r="V1206" s="127"/>
      <c r="W1206" s="127"/>
      <c r="X1206" s="127"/>
      <c r="Y1206" s="127"/>
      <c r="Z1206" s="140"/>
    </row>
    <row r="1207" spans="1:26" x14ac:dyDescent="0.25">
      <c r="A1207" s="203">
        <f t="shared" si="26"/>
        <v>1206</v>
      </c>
      <c r="B1207" s="128"/>
      <c r="C1207" s="263"/>
      <c r="D1207" s="262"/>
      <c r="E1207" s="128"/>
      <c r="F1207" s="138" t="s">
        <v>1933</v>
      </c>
      <c r="G1207" s="131"/>
      <c r="H1207" s="128"/>
      <c r="I1207" s="132" t="s">
        <v>115</v>
      </c>
      <c r="J1207" s="133">
        <v>11</v>
      </c>
      <c r="K1207" s="129">
        <v>9</v>
      </c>
      <c r="L1207" s="129">
        <v>5</v>
      </c>
      <c r="M1207" s="129" t="s">
        <v>658</v>
      </c>
      <c r="N1207" s="129" t="s">
        <v>659</v>
      </c>
      <c r="O1207" s="139"/>
      <c r="P1207" s="127"/>
      <c r="Q1207" s="127"/>
      <c r="R1207" s="127"/>
      <c r="S1207" s="127"/>
      <c r="T1207" s="127"/>
      <c r="U1207" s="127"/>
      <c r="V1207" s="127"/>
      <c r="W1207" s="127"/>
      <c r="X1207" s="127"/>
      <c r="Y1207" s="127"/>
      <c r="Z1207" s="140"/>
    </row>
    <row r="1208" spans="1:26" x14ac:dyDescent="0.25">
      <c r="A1208" s="203">
        <f t="shared" si="26"/>
        <v>1207</v>
      </c>
      <c r="B1208" s="128"/>
      <c r="C1208" s="263"/>
      <c r="D1208" s="262"/>
      <c r="E1208" s="128"/>
      <c r="F1208" s="138" t="s">
        <v>1933</v>
      </c>
      <c r="G1208" s="131"/>
      <c r="H1208" s="128"/>
      <c r="I1208" s="132" t="s">
        <v>115</v>
      </c>
      <c r="J1208" s="133">
        <v>11</v>
      </c>
      <c r="K1208" s="129">
        <v>9</v>
      </c>
      <c r="L1208" s="129">
        <v>6</v>
      </c>
      <c r="M1208" s="129" t="s">
        <v>658</v>
      </c>
      <c r="N1208" s="129" t="s">
        <v>659</v>
      </c>
      <c r="O1208" s="139"/>
      <c r="P1208" s="127"/>
      <c r="Q1208" s="127"/>
      <c r="R1208" s="127"/>
      <c r="S1208" s="127"/>
      <c r="T1208" s="127"/>
      <c r="U1208" s="127"/>
      <c r="V1208" s="127"/>
      <c r="W1208" s="127"/>
      <c r="X1208" s="127"/>
      <c r="Y1208" s="127"/>
      <c r="Z1208" s="140"/>
    </row>
    <row r="1209" spans="1:26" x14ac:dyDescent="0.25">
      <c r="A1209" s="203">
        <f t="shared" si="26"/>
        <v>1208</v>
      </c>
      <c r="B1209" s="128"/>
      <c r="C1209" s="263"/>
      <c r="D1209" s="262"/>
      <c r="E1209" s="128"/>
      <c r="F1209" s="138" t="s">
        <v>1933</v>
      </c>
      <c r="G1209" s="131"/>
      <c r="H1209" s="128"/>
      <c r="I1209" s="132" t="s">
        <v>115</v>
      </c>
      <c r="J1209" s="133">
        <v>11</v>
      </c>
      <c r="K1209" s="129">
        <v>9</v>
      </c>
      <c r="L1209" s="129">
        <v>7</v>
      </c>
      <c r="M1209" s="129" t="s">
        <v>658</v>
      </c>
      <c r="N1209" s="129" t="s">
        <v>659</v>
      </c>
      <c r="O1209" s="139"/>
      <c r="P1209" s="127"/>
      <c r="Q1209" s="127"/>
      <c r="R1209" s="127"/>
      <c r="S1209" s="127"/>
      <c r="T1209" s="127"/>
      <c r="U1209" s="127"/>
      <c r="V1209" s="127"/>
      <c r="W1209" s="127"/>
      <c r="X1209" s="127"/>
      <c r="Y1209" s="127"/>
      <c r="Z1209" s="140"/>
    </row>
    <row r="1210" spans="1:26" x14ac:dyDescent="0.25">
      <c r="A1210" s="203">
        <f t="shared" si="26"/>
        <v>1209</v>
      </c>
      <c r="B1210" s="128"/>
      <c r="C1210" s="263"/>
      <c r="D1210" s="262"/>
      <c r="E1210" s="128"/>
      <c r="F1210" s="138" t="s">
        <v>1933</v>
      </c>
      <c r="G1210" s="131"/>
      <c r="H1210" s="128"/>
      <c r="I1210" s="132" t="s">
        <v>115</v>
      </c>
      <c r="J1210" s="133">
        <v>11</v>
      </c>
      <c r="K1210" s="129">
        <v>10</v>
      </c>
      <c r="L1210" s="129">
        <v>1</v>
      </c>
      <c r="M1210" s="129" t="s">
        <v>664</v>
      </c>
      <c r="N1210" s="129" t="s">
        <v>665</v>
      </c>
      <c r="O1210" s="139"/>
      <c r="P1210" s="127"/>
      <c r="Q1210" s="127"/>
      <c r="R1210" s="127"/>
      <c r="S1210" s="127"/>
      <c r="T1210" s="127"/>
      <c r="U1210" s="127"/>
      <c r="V1210" s="127"/>
      <c r="W1210" s="127"/>
      <c r="X1210" s="127"/>
      <c r="Y1210" s="127"/>
      <c r="Z1210" s="140"/>
    </row>
    <row r="1211" spans="1:26" x14ac:dyDescent="0.25">
      <c r="A1211" s="203">
        <f t="shared" si="26"/>
        <v>1210</v>
      </c>
      <c r="B1211" s="128"/>
      <c r="C1211" s="263"/>
      <c r="D1211" s="262"/>
      <c r="E1211" s="128"/>
      <c r="F1211" s="138" t="s">
        <v>1933</v>
      </c>
      <c r="G1211" s="131"/>
      <c r="H1211" s="128"/>
      <c r="I1211" s="132" t="s">
        <v>115</v>
      </c>
      <c r="J1211" s="133">
        <v>11</v>
      </c>
      <c r="K1211" s="129">
        <v>10</v>
      </c>
      <c r="L1211" s="129">
        <v>2</v>
      </c>
      <c r="M1211" s="129" t="s">
        <v>664</v>
      </c>
      <c r="N1211" s="129" t="s">
        <v>665</v>
      </c>
      <c r="O1211" s="139"/>
      <c r="P1211" s="127"/>
      <c r="Q1211" s="127"/>
      <c r="R1211" s="127"/>
      <c r="S1211" s="127"/>
      <c r="T1211" s="127"/>
      <c r="U1211" s="127"/>
      <c r="V1211" s="127"/>
      <c r="W1211" s="127"/>
      <c r="X1211" s="127"/>
      <c r="Y1211" s="127"/>
      <c r="Z1211" s="140"/>
    </row>
    <row r="1212" spans="1:26" x14ac:dyDescent="0.25">
      <c r="A1212" s="203">
        <f t="shared" si="26"/>
        <v>1211</v>
      </c>
      <c r="B1212" s="128"/>
      <c r="C1212" s="263"/>
      <c r="D1212" s="262"/>
      <c r="E1212" s="128"/>
      <c r="F1212" s="138" t="s">
        <v>1933</v>
      </c>
      <c r="G1212" s="131"/>
      <c r="H1212" s="128"/>
      <c r="I1212" s="132" t="s">
        <v>115</v>
      </c>
      <c r="J1212" s="133">
        <v>11</v>
      </c>
      <c r="K1212" s="129">
        <v>10</v>
      </c>
      <c r="L1212" s="129">
        <v>3</v>
      </c>
      <c r="M1212" s="129" t="s">
        <v>664</v>
      </c>
      <c r="N1212" s="129" t="s">
        <v>665</v>
      </c>
      <c r="O1212" s="139"/>
      <c r="P1212" s="127"/>
      <c r="Q1212" s="127"/>
      <c r="R1212" s="127"/>
      <c r="S1212" s="127"/>
      <c r="T1212" s="127"/>
      <c r="U1212" s="127"/>
      <c r="V1212" s="127"/>
      <c r="W1212" s="127"/>
      <c r="X1212" s="127"/>
      <c r="Y1212" s="127"/>
      <c r="Z1212" s="140"/>
    </row>
    <row r="1213" spans="1:26" x14ac:dyDescent="0.25">
      <c r="A1213" s="203">
        <f t="shared" si="26"/>
        <v>1212</v>
      </c>
      <c r="B1213" s="128"/>
      <c r="C1213" s="263"/>
      <c r="D1213" s="262"/>
      <c r="E1213" s="128"/>
      <c r="F1213" s="138" t="s">
        <v>1933</v>
      </c>
      <c r="G1213" s="131"/>
      <c r="H1213" s="128"/>
      <c r="I1213" s="132" t="s">
        <v>115</v>
      </c>
      <c r="J1213" s="133">
        <v>11</v>
      </c>
      <c r="K1213" s="129">
        <v>10</v>
      </c>
      <c r="L1213" s="129">
        <v>4</v>
      </c>
      <c r="M1213" s="129" t="s">
        <v>664</v>
      </c>
      <c r="N1213" s="129" t="s">
        <v>665</v>
      </c>
      <c r="O1213" s="139"/>
      <c r="P1213" s="127"/>
      <c r="Q1213" s="127"/>
      <c r="R1213" s="127"/>
      <c r="S1213" s="127"/>
      <c r="T1213" s="127"/>
      <c r="U1213" s="127"/>
      <c r="V1213" s="127"/>
      <c r="W1213" s="127"/>
      <c r="X1213" s="127"/>
      <c r="Y1213" s="127"/>
      <c r="Z1213" s="140"/>
    </row>
    <row r="1214" spans="1:26" x14ac:dyDescent="0.25">
      <c r="A1214" s="203">
        <f t="shared" si="26"/>
        <v>1213</v>
      </c>
      <c r="B1214" s="128"/>
      <c r="C1214" s="263"/>
      <c r="D1214" s="262"/>
      <c r="E1214" s="128"/>
      <c r="F1214" s="138" t="s">
        <v>1933</v>
      </c>
      <c r="G1214" s="131"/>
      <c r="H1214" s="128"/>
      <c r="I1214" s="132" t="s">
        <v>115</v>
      </c>
      <c r="J1214" s="133">
        <v>11</v>
      </c>
      <c r="K1214" s="129">
        <v>10</v>
      </c>
      <c r="L1214" s="129">
        <v>5</v>
      </c>
      <c r="M1214" s="129" t="s">
        <v>664</v>
      </c>
      <c r="N1214" s="129" t="s">
        <v>665</v>
      </c>
      <c r="O1214" s="139"/>
      <c r="P1214" s="127"/>
      <c r="Q1214" s="127"/>
      <c r="R1214" s="127"/>
      <c r="S1214" s="127"/>
      <c r="T1214" s="127"/>
      <c r="U1214" s="127"/>
      <c r="V1214" s="127"/>
      <c r="W1214" s="127"/>
      <c r="X1214" s="127"/>
      <c r="Y1214" s="127"/>
      <c r="Z1214" s="140"/>
    </row>
    <row r="1215" spans="1:26" x14ac:dyDescent="0.25">
      <c r="A1215" s="203">
        <f t="shared" si="26"/>
        <v>1214</v>
      </c>
      <c r="B1215" s="128"/>
      <c r="C1215" s="263"/>
      <c r="D1215" s="262"/>
      <c r="E1215" s="128"/>
      <c r="F1215" s="138" t="s">
        <v>1933</v>
      </c>
      <c r="G1215" s="131"/>
      <c r="H1215" s="128"/>
      <c r="I1215" s="132" t="s">
        <v>115</v>
      </c>
      <c r="J1215" s="133">
        <v>11</v>
      </c>
      <c r="K1215" s="129">
        <v>10</v>
      </c>
      <c r="L1215" s="129">
        <v>6</v>
      </c>
      <c r="M1215" s="129" t="s">
        <v>664</v>
      </c>
      <c r="N1215" s="129" t="s">
        <v>665</v>
      </c>
      <c r="O1215" s="139"/>
      <c r="P1215" s="127"/>
      <c r="Q1215" s="127"/>
      <c r="R1215" s="127"/>
      <c r="S1215" s="127"/>
      <c r="T1215" s="127"/>
      <c r="U1215" s="127"/>
      <c r="V1215" s="127"/>
      <c r="W1215" s="127"/>
      <c r="X1215" s="127"/>
      <c r="Y1215" s="127"/>
      <c r="Z1215" s="140"/>
    </row>
    <row r="1216" spans="1:26" x14ac:dyDescent="0.25">
      <c r="A1216" s="203">
        <f t="shared" si="26"/>
        <v>1215</v>
      </c>
      <c r="B1216" s="128"/>
      <c r="C1216" s="263"/>
      <c r="D1216" s="262"/>
      <c r="E1216" s="128"/>
      <c r="F1216" s="138" t="s">
        <v>1933</v>
      </c>
      <c r="G1216" s="131"/>
      <c r="H1216" s="128"/>
      <c r="I1216" s="132" t="s">
        <v>115</v>
      </c>
      <c r="J1216" s="133">
        <v>11</v>
      </c>
      <c r="K1216" s="129">
        <v>10</v>
      </c>
      <c r="L1216" s="129">
        <v>7</v>
      </c>
      <c r="M1216" s="129" t="s">
        <v>664</v>
      </c>
      <c r="N1216" s="129" t="s">
        <v>665</v>
      </c>
      <c r="O1216" s="139"/>
      <c r="P1216" s="127"/>
      <c r="Q1216" s="127"/>
      <c r="R1216" s="127"/>
      <c r="S1216" s="127"/>
      <c r="T1216" s="127"/>
      <c r="U1216" s="127"/>
      <c r="V1216" s="127"/>
      <c r="W1216" s="127"/>
      <c r="X1216" s="127"/>
      <c r="Y1216" s="127"/>
      <c r="Z1216" s="140"/>
    </row>
    <row r="1217" spans="1:26" x14ac:dyDescent="0.25">
      <c r="A1217" s="203">
        <f t="shared" si="26"/>
        <v>1216</v>
      </c>
      <c r="B1217" s="128"/>
      <c r="C1217" s="263"/>
      <c r="D1217" s="262"/>
      <c r="E1217" s="128"/>
      <c r="F1217" s="138" t="s">
        <v>1933</v>
      </c>
      <c r="G1217" s="131"/>
      <c r="H1217" s="128"/>
      <c r="I1217" s="132" t="s">
        <v>1023</v>
      </c>
      <c r="J1217" s="133">
        <v>12</v>
      </c>
      <c r="K1217" s="129">
        <v>1</v>
      </c>
      <c r="L1217" s="129">
        <v>2</v>
      </c>
      <c r="M1217" s="129" t="s">
        <v>138</v>
      </c>
      <c r="N1217" s="129" t="s">
        <v>139</v>
      </c>
      <c r="O1217" s="139"/>
      <c r="P1217" s="127"/>
      <c r="Q1217" s="127"/>
      <c r="R1217" s="127"/>
      <c r="S1217" s="127"/>
      <c r="T1217" s="127"/>
      <c r="U1217" s="127"/>
      <c r="V1217" s="127"/>
      <c r="W1217" s="127"/>
      <c r="X1217" s="127"/>
      <c r="Y1217" s="127"/>
      <c r="Z1217" s="140"/>
    </row>
    <row r="1218" spans="1:26" x14ac:dyDescent="0.25">
      <c r="A1218" s="203">
        <f t="shared" si="26"/>
        <v>1217</v>
      </c>
      <c r="B1218" s="128"/>
      <c r="C1218" s="263"/>
      <c r="D1218" s="262"/>
      <c r="E1218" s="128"/>
      <c r="F1218" s="138" t="s">
        <v>1933</v>
      </c>
      <c r="G1218" s="131"/>
      <c r="H1218" s="128"/>
      <c r="I1218" s="132" t="s">
        <v>1023</v>
      </c>
      <c r="J1218" s="133">
        <v>12</v>
      </c>
      <c r="K1218" s="129">
        <v>1</v>
      </c>
      <c r="L1218" s="129">
        <v>3</v>
      </c>
      <c r="M1218" s="129" t="s">
        <v>138</v>
      </c>
      <c r="N1218" s="129" t="s">
        <v>139</v>
      </c>
      <c r="O1218" s="139"/>
      <c r="P1218" s="127"/>
      <c r="Q1218" s="127"/>
      <c r="R1218" s="127"/>
      <c r="S1218" s="127"/>
      <c r="T1218" s="127"/>
      <c r="U1218" s="127"/>
      <c r="V1218" s="127"/>
      <c r="W1218" s="127"/>
      <c r="X1218" s="127"/>
      <c r="Y1218" s="127"/>
      <c r="Z1218" s="140"/>
    </row>
    <row r="1219" spans="1:26" x14ac:dyDescent="0.25">
      <c r="A1219" s="203">
        <f t="shared" si="26"/>
        <v>1218</v>
      </c>
      <c r="B1219" s="128"/>
      <c r="C1219" s="263"/>
      <c r="D1219" s="262"/>
      <c r="E1219" s="128"/>
      <c r="F1219" s="138" t="s">
        <v>1933</v>
      </c>
      <c r="G1219" s="131"/>
      <c r="H1219" s="128"/>
      <c r="I1219" s="132" t="s">
        <v>1023</v>
      </c>
      <c r="J1219" s="133">
        <v>12</v>
      </c>
      <c r="K1219" s="129">
        <v>1</v>
      </c>
      <c r="L1219" s="129">
        <v>6</v>
      </c>
      <c r="M1219" s="129" t="s">
        <v>138</v>
      </c>
      <c r="N1219" s="129" t="s">
        <v>139</v>
      </c>
      <c r="O1219" s="139"/>
      <c r="P1219" s="127"/>
      <c r="Q1219" s="127"/>
      <c r="R1219" s="127"/>
      <c r="S1219" s="127"/>
      <c r="T1219" s="127"/>
      <c r="U1219" s="127"/>
      <c r="V1219" s="127"/>
      <c r="W1219" s="127"/>
      <c r="X1219" s="127"/>
      <c r="Y1219" s="127"/>
      <c r="Z1219" s="140"/>
    </row>
    <row r="1220" spans="1:26" x14ac:dyDescent="0.25">
      <c r="A1220" s="203">
        <f t="shared" si="26"/>
        <v>1219</v>
      </c>
      <c r="B1220" s="128"/>
      <c r="C1220" s="263"/>
      <c r="D1220" s="262"/>
      <c r="E1220" s="128"/>
      <c r="F1220" s="138" t="s">
        <v>1933</v>
      </c>
      <c r="G1220" s="131"/>
      <c r="H1220" s="128"/>
      <c r="I1220" s="132" t="s">
        <v>1023</v>
      </c>
      <c r="J1220" s="133">
        <v>12</v>
      </c>
      <c r="K1220" s="129">
        <v>1</v>
      </c>
      <c r="L1220" s="129">
        <v>7</v>
      </c>
      <c r="M1220" s="129" t="s">
        <v>138</v>
      </c>
      <c r="N1220" s="129" t="s">
        <v>139</v>
      </c>
      <c r="O1220" s="139"/>
      <c r="P1220" s="127"/>
      <c r="Q1220" s="127"/>
      <c r="R1220" s="127"/>
      <c r="S1220" s="127"/>
      <c r="T1220" s="127"/>
      <c r="U1220" s="127"/>
      <c r="V1220" s="127"/>
      <c r="W1220" s="127"/>
      <c r="X1220" s="127"/>
      <c r="Y1220" s="127"/>
      <c r="Z1220" s="140"/>
    </row>
    <row r="1221" spans="1:26" x14ac:dyDescent="0.25">
      <c r="A1221" s="203">
        <f t="shared" si="26"/>
        <v>1220</v>
      </c>
      <c r="B1221" s="128"/>
      <c r="C1221" s="264"/>
      <c r="D1221" s="264"/>
      <c r="E1221" s="133"/>
      <c r="F1221" s="141" t="s">
        <v>1933</v>
      </c>
      <c r="G1221" s="142"/>
      <c r="H1221" s="133"/>
      <c r="I1221" s="142" t="s">
        <v>1023</v>
      </c>
      <c r="J1221" s="133">
        <v>12</v>
      </c>
      <c r="K1221" s="133">
        <v>3</v>
      </c>
      <c r="L1221" s="133">
        <v>6</v>
      </c>
      <c r="M1221" s="133" t="s">
        <v>138</v>
      </c>
      <c r="N1221" s="133" t="s">
        <v>139</v>
      </c>
      <c r="O1221" s="139"/>
      <c r="P1221" s="127"/>
      <c r="Q1221" s="127"/>
      <c r="R1221" s="127"/>
      <c r="S1221" s="127"/>
      <c r="T1221" s="127"/>
      <c r="U1221" s="127"/>
      <c r="V1221" s="127"/>
      <c r="W1221" s="127"/>
      <c r="X1221" s="127"/>
      <c r="Y1221" s="127"/>
      <c r="Z1221" s="140"/>
    </row>
    <row r="1222" spans="1:26" x14ac:dyDescent="0.25">
      <c r="A1222" s="203">
        <f t="shared" si="26"/>
        <v>1221</v>
      </c>
      <c r="B1222" s="128"/>
      <c r="C1222" s="264"/>
      <c r="D1222" s="264"/>
      <c r="E1222" s="133"/>
      <c r="F1222" s="141" t="s">
        <v>1933</v>
      </c>
      <c r="G1222" s="142"/>
      <c r="H1222" s="133"/>
      <c r="I1222" s="142" t="s">
        <v>1023</v>
      </c>
      <c r="J1222" s="133">
        <v>12</v>
      </c>
      <c r="K1222" s="133">
        <v>3</v>
      </c>
      <c r="L1222" s="133">
        <v>7</v>
      </c>
      <c r="M1222" s="133" t="s">
        <v>138</v>
      </c>
      <c r="N1222" s="133" t="s">
        <v>139</v>
      </c>
      <c r="O1222" s="139"/>
      <c r="P1222" s="127"/>
      <c r="Q1222" s="127"/>
      <c r="R1222" s="127"/>
      <c r="S1222" s="127"/>
      <c r="T1222" s="127"/>
      <c r="U1222" s="127"/>
      <c r="V1222" s="127"/>
      <c r="W1222" s="127"/>
      <c r="X1222" s="127"/>
      <c r="Y1222" s="127"/>
      <c r="Z1222" s="140"/>
    </row>
    <row r="1223" spans="1:26" x14ac:dyDescent="0.25">
      <c r="A1223" s="203">
        <f t="shared" si="26"/>
        <v>1222</v>
      </c>
      <c r="B1223" s="128"/>
      <c r="C1223" s="263"/>
      <c r="D1223" s="262"/>
      <c r="E1223" s="128"/>
      <c r="F1223" s="138" t="s">
        <v>1933</v>
      </c>
      <c r="G1223" s="131"/>
      <c r="H1223" s="128"/>
      <c r="I1223" s="132" t="s">
        <v>1023</v>
      </c>
      <c r="J1223" s="133">
        <v>12</v>
      </c>
      <c r="K1223" s="129">
        <v>4</v>
      </c>
      <c r="L1223" s="129">
        <v>2</v>
      </c>
      <c r="M1223" s="129" t="s">
        <v>944</v>
      </c>
      <c r="N1223" s="129" t="s">
        <v>945</v>
      </c>
      <c r="O1223" s="139"/>
      <c r="P1223" s="127"/>
      <c r="Q1223" s="127"/>
      <c r="R1223" s="127"/>
      <c r="S1223" s="127"/>
      <c r="T1223" s="127"/>
      <c r="U1223" s="127"/>
      <c r="V1223" s="127"/>
      <c r="W1223" s="127"/>
      <c r="X1223" s="127"/>
      <c r="Y1223" s="127"/>
      <c r="Z1223" s="140"/>
    </row>
    <row r="1224" spans="1:26" x14ac:dyDescent="0.25">
      <c r="A1224" s="203">
        <f t="shared" si="26"/>
        <v>1223</v>
      </c>
      <c r="B1224" s="128"/>
      <c r="C1224" s="263"/>
      <c r="D1224" s="262"/>
      <c r="E1224" s="128"/>
      <c r="F1224" s="138" t="s">
        <v>1933</v>
      </c>
      <c r="G1224" s="131"/>
      <c r="H1224" s="128"/>
      <c r="I1224" s="132" t="s">
        <v>1023</v>
      </c>
      <c r="J1224" s="133">
        <v>12</v>
      </c>
      <c r="K1224" s="129">
        <v>4</v>
      </c>
      <c r="L1224" s="129">
        <v>3</v>
      </c>
      <c r="M1224" s="129" t="s">
        <v>944</v>
      </c>
      <c r="N1224" s="129" t="s">
        <v>945</v>
      </c>
      <c r="O1224" s="139"/>
      <c r="P1224" s="127"/>
      <c r="Q1224" s="127"/>
      <c r="R1224" s="127"/>
      <c r="S1224" s="127"/>
      <c r="T1224" s="127"/>
      <c r="U1224" s="127"/>
      <c r="V1224" s="127"/>
      <c r="W1224" s="127"/>
      <c r="X1224" s="127"/>
      <c r="Y1224" s="127"/>
      <c r="Z1224" s="140"/>
    </row>
    <row r="1225" spans="1:26" x14ac:dyDescent="0.25">
      <c r="A1225" s="203">
        <f t="shared" si="26"/>
        <v>1224</v>
      </c>
      <c r="B1225" s="128"/>
      <c r="C1225" s="263"/>
      <c r="D1225" s="262"/>
      <c r="E1225" s="128"/>
      <c r="F1225" s="138" t="s">
        <v>1933</v>
      </c>
      <c r="G1225" s="131"/>
      <c r="H1225" s="128"/>
      <c r="I1225" s="132" t="s">
        <v>1023</v>
      </c>
      <c r="J1225" s="133">
        <v>12</v>
      </c>
      <c r="K1225" s="129">
        <v>4</v>
      </c>
      <c r="L1225" s="129">
        <v>4</v>
      </c>
      <c r="M1225" s="129" t="s">
        <v>944</v>
      </c>
      <c r="N1225" s="129" t="s">
        <v>945</v>
      </c>
      <c r="O1225" s="139"/>
      <c r="P1225" s="127"/>
      <c r="Q1225" s="127"/>
      <c r="R1225" s="127"/>
      <c r="S1225" s="127"/>
      <c r="T1225" s="127"/>
      <c r="U1225" s="127"/>
      <c r="V1225" s="127"/>
      <c r="W1225" s="127"/>
      <c r="X1225" s="127"/>
      <c r="Y1225" s="127"/>
      <c r="Z1225" s="140"/>
    </row>
    <row r="1226" spans="1:26" x14ac:dyDescent="0.25">
      <c r="A1226" s="203">
        <f t="shared" si="26"/>
        <v>1225</v>
      </c>
      <c r="B1226" s="128"/>
      <c r="C1226" s="263"/>
      <c r="D1226" s="262"/>
      <c r="E1226" s="128"/>
      <c r="F1226" s="138" t="s">
        <v>1933</v>
      </c>
      <c r="G1226" s="131"/>
      <c r="H1226" s="128"/>
      <c r="I1226" s="132" t="s">
        <v>1023</v>
      </c>
      <c r="J1226" s="133">
        <v>12</v>
      </c>
      <c r="K1226" s="129">
        <v>4</v>
      </c>
      <c r="L1226" s="129">
        <v>5</v>
      </c>
      <c r="M1226" s="129" t="s">
        <v>944</v>
      </c>
      <c r="N1226" s="129" t="s">
        <v>945</v>
      </c>
      <c r="O1226" s="139"/>
      <c r="P1226" s="127"/>
      <c r="Q1226" s="127"/>
      <c r="R1226" s="127"/>
      <c r="S1226" s="127"/>
      <c r="T1226" s="127"/>
      <c r="U1226" s="127"/>
      <c r="V1226" s="127"/>
      <c r="W1226" s="127"/>
      <c r="X1226" s="127"/>
      <c r="Y1226" s="127"/>
      <c r="Z1226" s="140"/>
    </row>
    <row r="1227" spans="1:26" x14ac:dyDescent="0.25">
      <c r="A1227" s="203">
        <f t="shared" si="26"/>
        <v>1226</v>
      </c>
      <c r="B1227" s="128"/>
      <c r="C1227" s="263"/>
      <c r="D1227" s="262"/>
      <c r="E1227" s="128"/>
      <c r="F1227" s="138" t="s">
        <v>1933</v>
      </c>
      <c r="G1227" s="131"/>
      <c r="H1227" s="128"/>
      <c r="I1227" s="132" t="s">
        <v>1023</v>
      </c>
      <c r="J1227" s="133">
        <v>12</v>
      </c>
      <c r="K1227" s="129">
        <v>4</v>
      </c>
      <c r="L1227" s="129">
        <v>6</v>
      </c>
      <c r="M1227" s="129" t="s">
        <v>944</v>
      </c>
      <c r="N1227" s="129" t="s">
        <v>945</v>
      </c>
      <c r="O1227" s="139"/>
      <c r="P1227" s="127"/>
      <c r="Q1227" s="127"/>
      <c r="R1227" s="127"/>
      <c r="S1227" s="127"/>
      <c r="T1227" s="127"/>
      <c r="U1227" s="127"/>
      <c r="V1227" s="127"/>
      <c r="W1227" s="127"/>
      <c r="X1227" s="127"/>
      <c r="Y1227" s="127"/>
      <c r="Z1227" s="140"/>
    </row>
    <row r="1228" spans="1:26" x14ac:dyDescent="0.25">
      <c r="A1228" s="203">
        <f t="shared" si="26"/>
        <v>1227</v>
      </c>
      <c r="B1228" s="128"/>
      <c r="C1228" s="263"/>
      <c r="D1228" s="262"/>
      <c r="E1228" s="128"/>
      <c r="F1228" s="138" t="s">
        <v>1933</v>
      </c>
      <c r="G1228" s="131"/>
      <c r="H1228" s="128"/>
      <c r="I1228" s="132" t="s">
        <v>1023</v>
      </c>
      <c r="J1228" s="133">
        <v>12</v>
      </c>
      <c r="K1228" s="129">
        <v>4</v>
      </c>
      <c r="L1228" s="129">
        <v>7</v>
      </c>
      <c r="M1228" s="129" t="s">
        <v>944</v>
      </c>
      <c r="N1228" s="129" t="s">
        <v>945</v>
      </c>
      <c r="O1228" s="139"/>
      <c r="P1228" s="127"/>
      <c r="Q1228" s="127"/>
      <c r="R1228" s="127"/>
      <c r="S1228" s="127"/>
      <c r="T1228" s="127"/>
      <c r="U1228" s="127"/>
      <c r="V1228" s="127"/>
      <c r="W1228" s="127"/>
      <c r="X1228" s="127"/>
      <c r="Y1228" s="127"/>
      <c r="Z1228" s="140"/>
    </row>
    <row r="1229" spans="1:26" s="136" customFormat="1" x14ac:dyDescent="0.25">
      <c r="A1229" s="203">
        <f t="shared" si="26"/>
        <v>1228</v>
      </c>
      <c r="B1229" s="128"/>
      <c r="C1229" s="263"/>
      <c r="D1229" s="262"/>
      <c r="E1229" s="128"/>
      <c r="F1229" s="138" t="s">
        <v>1933</v>
      </c>
      <c r="G1229" s="131"/>
      <c r="H1229" s="128"/>
      <c r="I1229" s="132" t="s">
        <v>1023</v>
      </c>
      <c r="J1229" s="133">
        <v>12</v>
      </c>
      <c r="K1229" s="129">
        <v>5</v>
      </c>
      <c r="L1229" s="129">
        <v>9</v>
      </c>
      <c r="M1229" s="129" t="s">
        <v>31</v>
      </c>
      <c r="N1229" s="129" t="s">
        <v>32</v>
      </c>
      <c r="O1229" s="139"/>
      <c r="P1229" s="127"/>
      <c r="Q1229" s="127"/>
      <c r="R1229" s="127"/>
      <c r="S1229" s="127"/>
      <c r="T1229" s="127"/>
      <c r="U1229" s="127"/>
      <c r="V1229" s="127"/>
      <c r="W1229" s="127"/>
      <c r="X1229" s="127"/>
      <c r="Y1229" s="127"/>
      <c r="Z1229" s="140"/>
    </row>
    <row r="1230" spans="1:26" x14ac:dyDescent="0.25">
      <c r="A1230" s="203">
        <f t="shared" si="26"/>
        <v>1229</v>
      </c>
      <c r="B1230" s="128"/>
      <c r="C1230" s="263"/>
      <c r="D1230" s="262"/>
      <c r="E1230" s="128"/>
      <c r="F1230" s="138" t="s">
        <v>1933</v>
      </c>
      <c r="G1230" s="131"/>
      <c r="H1230" s="128"/>
      <c r="I1230" s="132" t="s">
        <v>1023</v>
      </c>
      <c r="J1230" s="133">
        <v>12</v>
      </c>
      <c r="K1230" s="129">
        <v>5</v>
      </c>
      <c r="L1230" s="129">
        <v>10</v>
      </c>
      <c r="M1230" s="129" t="s">
        <v>31</v>
      </c>
      <c r="N1230" s="129" t="s">
        <v>32</v>
      </c>
      <c r="O1230" s="139"/>
      <c r="P1230" s="127"/>
      <c r="Q1230" s="127"/>
      <c r="R1230" s="127"/>
      <c r="S1230" s="127"/>
      <c r="T1230" s="127"/>
      <c r="U1230" s="127"/>
      <c r="V1230" s="127"/>
      <c r="W1230" s="127"/>
      <c r="X1230" s="127"/>
      <c r="Y1230" s="127"/>
      <c r="Z1230" s="140"/>
    </row>
    <row r="1231" spans="1:26" x14ac:dyDescent="0.25">
      <c r="A1231" s="203">
        <f t="shared" si="26"/>
        <v>1230</v>
      </c>
      <c r="B1231" s="128"/>
      <c r="C1231" s="263"/>
      <c r="D1231" s="262"/>
      <c r="E1231" s="128"/>
      <c r="F1231" s="138" t="s">
        <v>1933</v>
      </c>
      <c r="G1231" s="131"/>
      <c r="H1231" s="128"/>
      <c r="I1231" s="132" t="s">
        <v>1023</v>
      </c>
      <c r="J1231" s="133">
        <v>12</v>
      </c>
      <c r="K1231" s="129">
        <v>5</v>
      </c>
      <c r="L1231" s="129">
        <v>11</v>
      </c>
      <c r="M1231" s="129" t="s">
        <v>31</v>
      </c>
      <c r="N1231" s="129" t="s">
        <v>32</v>
      </c>
      <c r="O1231" s="139"/>
      <c r="P1231" s="127"/>
      <c r="Q1231" s="127"/>
      <c r="R1231" s="127"/>
      <c r="S1231" s="127"/>
      <c r="T1231" s="127"/>
      <c r="U1231" s="127"/>
      <c r="V1231" s="127"/>
      <c r="W1231" s="127"/>
      <c r="X1231" s="127"/>
      <c r="Y1231" s="127"/>
      <c r="Z1231" s="140"/>
    </row>
    <row r="1232" spans="1:26" x14ac:dyDescent="0.25">
      <c r="A1232" s="203">
        <f t="shared" si="26"/>
        <v>1231</v>
      </c>
      <c r="B1232" s="128"/>
      <c r="C1232" s="263"/>
      <c r="D1232" s="262"/>
      <c r="E1232" s="128"/>
      <c r="F1232" s="138" t="s">
        <v>1933</v>
      </c>
      <c r="G1232" s="131"/>
      <c r="H1232" s="128"/>
      <c r="I1232" s="132" t="s">
        <v>1023</v>
      </c>
      <c r="J1232" s="133">
        <v>12</v>
      </c>
      <c r="K1232" s="129">
        <v>5</v>
      </c>
      <c r="L1232" s="129">
        <v>12</v>
      </c>
      <c r="M1232" s="129" t="s">
        <v>31</v>
      </c>
      <c r="N1232" s="129" t="s">
        <v>32</v>
      </c>
      <c r="O1232" s="139"/>
      <c r="P1232" s="127"/>
      <c r="Q1232" s="127"/>
      <c r="R1232" s="127"/>
      <c r="S1232" s="127"/>
      <c r="T1232" s="127"/>
      <c r="U1232" s="127"/>
      <c r="V1232" s="127"/>
      <c r="W1232" s="127"/>
      <c r="X1232" s="127"/>
      <c r="Y1232" s="127"/>
      <c r="Z1232" s="140"/>
    </row>
    <row r="1233" spans="1:26" x14ac:dyDescent="0.25">
      <c r="A1233" s="203">
        <f t="shared" si="26"/>
        <v>1232</v>
      </c>
      <c r="B1233" s="128"/>
      <c r="C1233" s="263"/>
      <c r="D1233" s="262"/>
      <c r="E1233" s="128"/>
      <c r="F1233" s="138" t="s">
        <v>1933</v>
      </c>
      <c r="G1233" s="131"/>
      <c r="H1233" s="128"/>
      <c r="I1233" s="132" t="s">
        <v>1023</v>
      </c>
      <c r="J1233" s="133">
        <v>12</v>
      </c>
      <c r="K1233" s="129">
        <v>5</v>
      </c>
      <c r="L1233" s="129">
        <v>13</v>
      </c>
      <c r="M1233" s="129" t="s">
        <v>31</v>
      </c>
      <c r="N1233" s="129" t="s">
        <v>32</v>
      </c>
      <c r="O1233" s="139"/>
      <c r="P1233" s="127"/>
      <c r="Q1233" s="127"/>
      <c r="R1233" s="127"/>
      <c r="S1233" s="127"/>
      <c r="T1233" s="127"/>
      <c r="U1233" s="127"/>
      <c r="V1233" s="127"/>
      <c r="W1233" s="127"/>
      <c r="X1233" s="127"/>
      <c r="Y1233" s="127"/>
      <c r="Z1233" s="140"/>
    </row>
    <row r="1234" spans="1:26" x14ac:dyDescent="0.25">
      <c r="A1234" s="203">
        <f t="shared" si="26"/>
        <v>1233</v>
      </c>
      <c r="B1234" s="128"/>
      <c r="C1234" s="263"/>
      <c r="D1234" s="262"/>
      <c r="E1234" s="128"/>
      <c r="F1234" s="138" t="s">
        <v>1933</v>
      </c>
      <c r="G1234" s="131"/>
      <c r="H1234" s="128"/>
      <c r="I1234" s="132" t="s">
        <v>1023</v>
      </c>
      <c r="J1234" s="133">
        <v>12</v>
      </c>
      <c r="K1234" s="129">
        <v>5</v>
      </c>
      <c r="L1234" s="129">
        <v>14</v>
      </c>
      <c r="M1234" s="129" t="s">
        <v>31</v>
      </c>
      <c r="N1234" s="129" t="s">
        <v>32</v>
      </c>
      <c r="O1234" s="139"/>
      <c r="P1234" s="127"/>
      <c r="Q1234" s="127"/>
      <c r="R1234" s="127"/>
      <c r="S1234" s="127"/>
      <c r="T1234" s="127"/>
      <c r="U1234" s="127"/>
      <c r="V1234" s="127"/>
      <c r="W1234" s="127"/>
      <c r="X1234" s="127"/>
      <c r="Y1234" s="127"/>
      <c r="Z1234" s="140"/>
    </row>
    <row r="1235" spans="1:26" x14ac:dyDescent="0.25">
      <c r="A1235" s="203">
        <f t="shared" si="26"/>
        <v>1234</v>
      </c>
      <c r="B1235" s="128"/>
      <c r="C1235" s="263"/>
      <c r="D1235" s="262"/>
      <c r="E1235" s="128"/>
      <c r="F1235" s="138" t="s">
        <v>1933</v>
      </c>
      <c r="G1235" s="131"/>
      <c r="H1235" s="128"/>
      <c r="I1235" s="132" t="s">
        <v>1023</v>
      </c>
      <c r="J1235" s="133">
        <v>12</v>
      </c>
      <c r="K1235" s="129">
        <v>5</v>
      </c>
      <c r="L1235" s="129">
        <v>15</v>
      </c>
      <c r="M1235" s="129" t="s">
        <v>31</v>
      </c>
      <c r="N1235" s="129" t="s">
        <v>32</v>
      </c>
      <c r="O1235" s="139"/>
      <c r="P1235" s="127"/>
      <c r="Q1235" s="127"/>
      <c r="R1235" s="127"/>
      <c r="S1235" s="127"/>
      <c r="T1235" s="127"/>
      <c r="U1235" s="127"/>
      <c r="V1235" s="127"/>
      <c r="W1235" s="127"/>
      <c r="X1235" s="127"/>
      <c r="Y1235" s="127"/>
      <c r="Z1235" s="140"/>
    </row>
    <row r="1236" spans="1:26" x14ac:dyDescent="0.25">
      <c r="A1236" s="203">
        <f t="shared" si="26"/>
        <v>1235</v>
      </c>
      <c r="B1236" s="128"/>
      <c r="C1236" s="263"/>
      <c r="D1236" s="262"/>
      <c r="E1236" s="128"/>
      <c r="F1236" s="138" t="s">
        <v>1933</v>
      </c>
      <c r="G1236" s="131"/>
      <c r="H1236" s="128"/>
      <c r="I1236" s="132" t="s">
        <v>1023</v>
      </c>
      <c r="J1236" s="133">
        <v>12</v>
      </c>
      <c r="K1236" s="129">
        <v>6</v>
      </c>
      <c r="L1236" s="129">
        <v>5</v>
      </c>
      <c r="M1236" s="129" t="s">
        <v>31</v>
      </c>
      <c r="N1236" s="129" t="s">
        <v>32</v>
      </c>
      <c r="O1236" s="139"/>
      <c r="P1236" s="127"/>
      <c r="Q1236" s="127"/>
      <c r="R1236" s="127"/>
      <c r="S1236" s="127"/>
      <c r="T1236" s="127"/>
      <c r="U1236" s="127"/>
      <c r="V1236" s="127"/>
      <c r="W1236" s="127"/>
      <c r="X1236" s="127"/>
      <c r="Y1236" s="127"/>
      <c r="Z1236" s="140"/>
    </row>
    <row r="1237" spans="1:26" x14ac:dyDescent="0.25">
      <c r="A1237" s="203">
        <f t="shared" si="26"/>
        <v>1236</v>
      </c>
      <c r="B1237" s="128"/>
      <c r="C1237" s="263"/>
      <c r="D1237" s="262"/>
      <c r="E1237" s="128"/>
      <c r="F1237" s="138" t="s">
        <v>1933</v>
      </c>
      <c r="G1237" s="131"/>
      <c r="H1237" s="128"/>
      <c r="I1237" s="132" t="s">
        <v>1023</v>
      </c>
      <c r="J1237" s="133">
        <v>12</v>
      </c>
      <c r="K1237" s="129">
        <v>6</v>
      </c>
      <c r="L1237" s="129">
        <v>10</v>
      </c>
      <c r="M1237" s="129" t="s">
        <v>31</v>
      </c>
      <c r="N1237" s="129" t="s">
        <v>32</v>
      </c>
      <c r="O1237" s="139"/>
      <c r="P1237" s="127"/>
      <c r="Q1237" s="127"/>
      <c r="R1237" s="127"/>
      <c r="S1237" s="127"/>
      <c r="T1237" s="127"/>
      <c r="U1237" s="127"/>
      <c r="V1237" s="127"/>
      <c r="W1237" s="127"/>
      <c r="X1237" s="127"/>
      <c r="Y1237" s="127"/>
      <c r="Z1237" s="140"/>
    </row>
    <row r="1238" spans="1:26" x14ac:dyDescent="0.25">
      <c r="A1238" s="203">
        <f t="shared" si="26"/>
        <v>1237</v>
      </c>
      <c r="B1238" s="128"/>
      <c r="C1238" s="263"/>
      <c r="D1238" s="262"/>
      <c r="E1238" s="128"/>
      <c r="F1238" s="138" t="s">
        <v>1933</v>
      </c>
      <c r="G1238" s="131"/>
      <c r="H1238" s="128"/>
      <c r="I1238" s="132" t="s">
        <v>1023</v>
      </c>
      <c r="J1238" s="133">
        <v>12</v>
      </c>
      <c r="K1238" s="129">
        <v>6</v>
      </c>
      <c r="L1238" s="129">
        <v>11</v>
      </c>
      <c r="M1238" s="129" t="s">
        <v>31</v>
      </c>
      <c r="N1238" s="129" t="s">
        <v>32</v>
      </c>
      <c r="O1238" s="139"/>
      <c r="P1238" s="127"/>
      <c r="Q1238" s="127"/>
      <c r="R1238" s="127"/>
      <c r="S1238" s="127"/>
      <c r="T1238" s="127"/>
      <c r="U1238" s="127"/>
      <c r="V1238" s="127"/>
      <c r="W1238" s="127"/>
      <c r="X1238" s="127"/>
      <c r="Y1238" s="127"/>
      <c r="Z1238" s="140"/>
    </row>
    <row r="1239" spans="1:26" x14ac:dyDescent="0.25">
      <c r="A1239" s="203">
        <f t="shared" si="26"/>
        <v>1238</v>
      </c>
      <c r="B1239" s="128"/>
      <c r="C1239" s="263"/>
      <c r="D1239" s="262"/>
      <c r="E1239" s="128"/>
      <c r="F1239" s="138" t="s">
        <v>1933</v>
      </c>
      <c r="G1239" s="131"/>
      <c r="H1239" s="128"/>
      <c r="I1239" s="132" t="s">
        <v>1023</v>
      </c>
      <c r="J1239" s="133">
        <v>12</v>
      </c>
      <c r="K1239" s="129">
        <v>6</v>
      </c>
      <c r="L1239" s="129">
        <v>12</v>
      </c>
      <c r="M1239" s="129" t="s">
        <v>31</v>
      </c>
      <c r="N1239" s="129" t="s">
        <v>32</v>
      </c>
      <c r="O1239" s="139"/>
      <c r="P1239" s="127"/>
      <c r="Q1239" s="127"/>
      <c r="R1239" s="127"/>
      <c r="S1239" s="127"/>
      <c r="T1239" s="127"/>
      <c r="U1239" s="127"/>
      <c r="V1239" s="127"/>
      <c r="W1239" s="127"/>
      <c r="X1239" s="127"/>
      <c r="Y1239" s="127"/>
      <c r="Z1239" s="140"/>
    </row>
    <row r="1240" spans="1:26" x14ac:dyDescent="0.25">
      <c r="A1240" s="203">
        <f t="shared" si="26"/>
        <v>1239</v>
      </c>
      <c r="B1240" s="128"/>
      <c r="C1240" s="263"/>
      <c r="D1240" s="262"/>
      <c r="E1240" s="128"/>
      <c r="F1240" s="138" t="s">
        <v>1933</v>
      </c>
      <c r="G1240" s="131"/>
      <c r="H1240" s="128"/>
      <c r="I1240" s="132" t="s">
        <v>1023</v>
      </c>
      <c r="J1240" s="133">
        <v>12</v>
      </c>
      <c r="K1240" s="129">
        <v>6</v>
      </c>
      <c r="L1240" s="129">
        <v>13</v>
      </c>
      <c r="M1240" s="129" t="s">
        <v>31</v>
      </c>
      <c r="N1240" s="129" t="s">
        <v>32</v>
      </c>
      <c r="O1240" s="139"/>
      <c r="P1240" s="127"/>
      <c r="Q1240" s="127"/>
      <c r="R1240" s="127"/>
      <c r="S1240" s="127"/>
      <c r="T1240" s="127"/>
      <c r="U1240" s="127"/>
      <c r="V1240" s="127"/>
      <c r="W1240" s="127"/>
      <c r="X1240" s="127"/>
      <c r="Y1240" s="127"/>
      <c r="Z1240" s="140"/>
    </row>
    <row r="1241" spans="1:26" x14ac:dyDescent="0.25">
      <c r="A1241" s="203">
        <f t="shared" si="26"/>
        <v>1240</v>
      </c>
      <c r="B1241" s="128"/>
      <c r="C1241" s="263"/>
      <c r="D1241" s="262"/>
      <c r="E1241" s="128"/>
      <c r="F1241" s="138" t="s">
        <v>1933</v>
      </c>
      <c r="G1241" s="131"/>
      <c r="H1241" s="128"/>
      <c r="I1241" s="132" t="s">
        <v>1023</v>
      </c>
      <c r="J1241" s="133">
        <v>12</v>
      </c>
      <c r="K1241" s="129">
        <v>6</v>
      </c>
      <c r="L1241" s="129">
        <v>14</v>
      </c>
      <c r="M1241" s="129" t="s">
        <v>31</v>
      </c>
      <c r="N1241" s="129" t="s">
        <v>32</v>
      </c>
      <c r="O1241" s="139"/>
      <c r="P1241" s="127"/>
      <c r="Q1241" s="127"/>
      <c r="R1241" s="127"/>
      <c r="S1241" s="127"/>
      <c r="T1241" s="127"/>
      <c r="U1241" s="127"/>
      <c r="V1241" s="127"/>
      <c r="W1241" s="127"/>
      <c r="X1241" s="127"/>
      <c r="Y1241" s="127"/>
      <c r="Z1241" s="140"/>
    </row>
    <row r="1242" spans="1:26" x14ac:dyDescent="0.25">
      <c r="A1242" s="203">
        <f t="shared" si="26"/>
        <v>1241</v>
      </c>
      <c r="B1242" s="128"/>
      <c r="C1242" s="263"/>
      <c r="D1242" s="262"/>
      <c r="E1242" s="128"/>
      <c r="F1242" s="138" t="s">
        <v>1933</v>
      </c>
      <c r="G1242" s="131"/>
      <c r="H1242" s="128"/>
      <c r="I1242" s="132" t="s">
        <v>1023</v>
      </c>
      <c r="J1242" s="133">
        <v>12</v>
      </c>
      <c r="K1242" s="129">
        <v>6</v>
      </c>
      <c r="L1242" s="129">
        <v>15</v>
      </c>
      <c r="M1242" s="129" t="s">
        <v>31</v>
      </c>
      <c r="N1242" s="129" t="s">
        <v>32</v>
      </c>
      <c r="O1242" s="139"/>
      <c r="P1242" s="127"/>
      <c r="Q1242" s="127"/>
      <c r="R1242" s="127"/>
      <c r="S1242" s="127"/>
      <c r="T1242" s="127"/>
      <c r="U1242" s="127"/>
      <c r="V1242" s="127"/>
      <c r="W1242" s="127"/>
      <c r="X1242" s="127"/>
      <c r="Y1242" s="127"/>
      <c r="Z1242" s="140"/>
    </row>
    <row r="1243" spans="1:26" x14ac:dyDescent="0.25">
      <c r="A1243" s="203">
        <f t="shared" si="26"/>
        <v>1242</v>
      </c>
      <c r="B1243" s="128"/>
      <c r="C1243" s="263"/>
      <c r="D1243" s="262"/>
      <c r="E1243" s="128"/>
      <c r="F1243" s="138" t="s">
        <v>1935</v>
      </c>
      <c r="G1243" s="131"/>
      <c r="H1243" s="128"/>
      <c r="I1243" s="132" t="s">
        <v>1023</v>
      </c>
      <c r="J1243" s="133">
        <v>12</v>
      </c>
      <c r="K1243" s="129">
        <v>7</v>
      </c>
      <c r="L1243" s="129">
        <v>0</v>
      </c>
      <c r="M1243" s="129" t="s">
        <v>1936</v>
      </c>
      <c r="N1243" s="129" t="s">
        <v>295</v>
      </c>
      <c r="O1243" s="139"/>
      <c r="P1243" s="127"/>
      <c r="Q1243" s="127"/>
      <c r="R1243" s="127"/>
      <c r="S1243" s="127"/>
      <c r="T1243" s="127"/>
      <c r="U1243" s="127"/>
      <c r="V1243" s="127"/>
      <c r="W1243" s="127"/>
      <c r="X1243" s="127"/>
      <c r="Y1243" s="127"/>
      <c r="Z1243" s="140"/>
    </row>
    <row r="1244" spans="1:26" x14ac:dyDescent="0.25">
      <c r="A1244" s="203">
        <f t="shared" si="26"/>
        <v>1243</v>
      </c>
      <c r="B1244" s="128"/>
      <c r="C1244" s="263"/>
      <c r="D1244" s="262"/>
      <c r="E1244" s="128"/>
      <c r="F1244" s="138" t="s">
        <v>1933</v>
      </c>
      <c r="G1244" s="131"/>
      <c r="H1244" s="128"/>
      <c r="I1244" s="132" t="s">
        <v>1023</v>
      </c>
      <c r="J1244" s="133">
        <v>12</v>
      </c>
      <c r="K1244" s="129">
        <v>8</v>
      </c>
      <c r="L1244" s="129">
        <v>8</v>
      </c>
      <c r="M1244" s="129" t="s">
        <v>82</v>
      </c>
      <c r="N1244" s="129" t="s">
        <v>83</v>
      </c>
      <c r="O1244" s="139"/>
      <c r="P1244" s="127"/>
      <c r="Q1244" s="127"/>
      <c r="R1244" s="127"/>
      <c r="S1244" s="127"/>
      <c r="T1244" s="127"/>
      <c r="U1244" s="127"/>
      <c r="V1244" s="127"/>
      <c r="W1244" s="127"/>
      <c r="X1244" s="127"/>
      <c r="Y1244" s="127"/>
      <c r="Z1244" s="140"/>
    </row>
    <row r="1245" spans="1:26" s="149" customFormat="1" x14ac:dyDescent="0.25">
      <c r="A1245" s="203">
        <f t="shared" ref="A1245:A1308" si="27">ROW()-1</f>
        <v>1244</v>
      </c>
      <c r="B1245" s="128"/>
      <c r="C1245" s="263"/>
      <c r="D1245" s="262"/>
      <c r="E1245" s="128"/>
      <c r="F1245" s="138" t="s">
        <v>1933</v>
      </c>
      <c r="G1245" s="131"/>
      <c r="H1245" s="128"/>
      <c r="I1245" s="132" t="s">
        <v>1023</v>
      </c>
      <c r="J1245" s="133">
        <v>12</v>
      </c>
      <c r="K1245" s="129">
        <v>8</v>
      </c>
      <c r="L1245" s="129">
        <v>9</v>
      </c>
      <c r="M1245" s="129" t="s">
        <v>82</v>
      </c>
      <c r="N1245" s="129" t="s">
        <v>83</v>
      </c>
      <c r="O1245" s="139"/>
      <c r="P1245" s="127"/>
      <c r="Q1245" s="127"/>
      <c r="R1245" s="127"/>
      <c r="S1245" s="127"/>
      <c r="T1245" s="127"/>
      <c r="U1245" s="127"/>
      <c r="V1245" s="127"/>
      <c r="W1245" s="127"/>
      <c r="X1245" s="127"/>
      <c r="Y1245" s="127"/>
      <c r="Z1245" s="140"/>
    </row>
    <row r="1246" spans="1:26" s="149" customFormat="1" x14ac:dyDescent="0.25">
      <c r="A1246" s="203">
        <f t="shared" si="27"/>
        <v>1245</v>
      </c>
      <c r="B1246" s="128"/>
      <c r="C1246" s="263"/>
      <c r="D1246" s="262"/>
      <c r="E1246" s="128"/>
      <c r="F1246" s="138" t="s">
        <v>1933</v>
      </c>
      <c r="G1246" s="131"/>
      <c r="H1246" s="128"/>
      <c r="I1246" s="132" t="s">
        <v>1023</v>
      </c>
      <c r="J1246" s="133">
        <v>12</v>
      </c>
      <c r="K1246" s="129">
        <v>8</v>
      </c>
      <c r="L1246" s="129">
        <v>10</v>
      </c>
      <c r="M1246" s="129" t="s">
        <v>82</v>
      </c>
      <c r="N1246" s="129" t="s">
        <v>83</v>
      </c>
      <c r="O1246" s="139"/>
      <c r="P1246" s="127"/>
      <c r="Q1246" s="127"/>
      <c r="R1246" s="127"/>
      <c r="S1246" s="127"/>
      <c r="T1246" s="127"/>
      <c r="U1246" s="127"/>
      <c r="V1246" s="127"/>
      <c r="W1246" s="127"/>
      <c r="X1246" s="127"/>
      <c r="Y1246" s="127"/>
      <c r="Z1246" s="140"/>
    </row>
    <row r="1247" spans="1:26" s="149" customFormat="1" x14ac:dyDescent="0.25">
      <c r="A1247" s="203">
        <f t="shared" si="27"/>
        <v>1246</v>
      </c>
      <c r="B1247" s="128"/>
      <c r="C1247" s="263"/>
      <c r="D1247" s="262"/>
      <c r="E1247" s="128"/>
      <c r="F1247" s="138" t="s">
        <v>1933</v>
      </c>
      <c r="G1247" s="131"/>
      <c r="H1247" s="128"/>
      <c r="I1247" s="132" t="s">
        <v>1023</v>
      </c>
      <c r="J1247" s="133">
        <v>12</v>
      </c>
      <c r="K1247" s="129">
        <v>8</v>
      </c>
      <c r="L1247" s="129">
        <v>11</v>
      </c>
      <c r="M1247" s="129" t="s">
        <v>82</v>
      </c>
      <c r="N1247" s="129" t="s">
        <v>83</v>
      </c>
      <c r="O1247" s="139"/>
      <c r="P1247" s="127"/>
      <c r="Q1247" s="127"/>
      <c r="R1247" s="127"/>
      <c r="S1247" s="127"/>
      <c r="T1247" s="127"/>
      <c r="U1247" s="127"/>
      <c r="V1247" s="127"/>
      <c r="W1247" s="127"/>
      <c r="X1247" s="127"/>
      <c r="Y1247" s="127"/>
      <c r="Z1247" s="140"/>
    </row>
    <row r="1248" spans="1:26" s="149" customFormat="1" x14ac:dyDescent="0.25">
      <c r="A1248" s="203">
        <f t="shared" si="27"/>
        <v>1247</v>
      </c>
      <c r="B1248" s="128"/>
      <c r="C1248" s="263"/>
      <c r="D1248" s="262"/>
      <c r="E1248" s="128"/>
      <c r="F1248" s="138" t="s">
        <v>1933</v>
      </c>
      <c r="G1248" s="131"/>
      <c r="H1248" s="128"/>
      <c r="I1248" s="132" t="s">
        <v>1023</v>
      </c>
      <c r="J1248" s="133">
        <v>12</v>
      </c>
      <c r="K1248" s="129">
        <v>8</v>
      </c>
      <c r="L1248" s="129">
        <v>12</v>
      </c>
      <c r="M1248" s="129" t="s">
        <v>82</v>
      </c>
      <c r="N1248" s="129" t="s">
        <v>83</v>
      </c>
      <c r="O1248" s="139"/>
      <c r="P1248" s="127"/>
      <c r="Q1248" s="127"/>
      <c r="R1248" s="127"/>
      <c r="S1248" s="127"/>
      <c r="T1248" s="127"/>
      <c r="U1248" s="127"/>
      <c r="V1248" s="127"/>
      <c r="W1248" s="127"/>
      <c r="X1248" s="127"/>
      <c r="Y1248" s="127"/>
      <c r="Z1248" s="140"/>
    </row>
    <row r="1249" spans="1:26" s="149" customFormat="1" x14ac:dyDescent="0.25">
      <c r="A1249" s="203">
        <f t="shared" si="27"/>
        <v>1248</v>
      </c>
      <c r="B1249" s="128"/>
      <c r="C1249" s="263"/>
      <c r="D1249" s="262"/>
      <c r="E1249" s="128"/>
      <c r="F1249" s="138" t="s">
        <v>1933</v>
      </c>
      <c r="G1249" s="131"/>
      <c r="H1249" s="128"/>
      <c r="I1249" s="132" t="s">
        <v>1023</v>
      </c>
      <c r="J1249" s="133">
        <v>12</v>
      </c>
      <c r="K1249" s="129">
        <v>8</v>
      </c>
      <c r="L1249" s="129">
        <v>13</v>
      </c>
      <c r="M1249" s="129" t="s">
        <v>82</v>
      </c>
      <c r="N1249" s="129" t="s">
        <v>83</v>
      </c>
      <c r="O1249" s="139"/>
      <c r="P1249" s="127"/>
      <c r="Q1249" s="127"/>
      <c r="R1249" s="127"/>
      <c r="S1249" s="127"/>
      <c r="T1249" s="127"/>
      <c r="U1249" s="127"/>
      <c r="V1249" s="127"/>
      <c r="W1249" s="127"/>
      <c r="X1249" s="127"/>
      <c r="Y1249" s="127"/>
      <c r="Z1249" s="140"/>
    </row>
    <row r="1250" spans="1:26" s="149" customFormat="1" x14ac:dyDescent="0.25">
      <c r="A1250" s="203">
        <f t="shared" si="27"/>
        <v>1249</v>
      </c>
      <c r="B1250" s="128"/>
      <c r="C1250" s="263"/>
      <c r="D1250" s="262"/>
      <c r="E1250" s="128"/>
      <c r="F1250" s="138" t="s">
        <v>1933</v>
      </c>
      <c r="G1250" s="131"/>
      <c r="H1250" s="128"/>
      <c r="I1250" s="132" t="s">
        <v>1023</v>
      </c>
      <c r="J1250" s="133">
        <v>12</v>
      </c>
      <c r="K1250" s="129">
        <v>8</v>
      </c>
      <c r="L1250" s="129">
        <v>14</v>
      </c>
      <c r="M1250" s="129" t="s">
        <v>82</v>
      </c>
      <c r="N1250" s="129" t="s">
        <v>83</v>
      </c>
      <c r="O1250" s="139"/>
      <c r="P1250" s="127"/>
      <c r="Q1250" s="127"/>
      <c r="R1250" s="127"/>
      <c r="S1250" s="127"/>
      <c r="T1250" s="127"/>
      <c r="U1250" s="127"/>
      <c r="V1250" s="127"/>
      <c r="W1250" s="127"/>
      <c r="X1250" s="127"/>
      <c r="Y1250" s="127"/>
      <c r="Z1250" s="140"/>
    </row>
    <row r="1251" spans="1:26" x14ac:dyDescent="0.25">
      <c r="A1251" s="203">
        <f t="shared" si="27"/>
        <v>1250</v>
      </c>
      <c r="B1251" s="128"/>
      <c r="C1251" s="263"/>
      <c r="D1251" s="262"/>
      <c r="E1251" s="128"/>
      <c r="F1251" s="138" t="s">
        <v>1933</v>
      </c>
      <c r="G1251" s="131"/>
      <c r="H1251" s="128"/>
      <c r="I1251" s="132" t="s">
        <v>1023</v>
      </c>
      <c r="J1251" s="133">
        <v>12</v>
      </c>
      <c r="K1251" s="129">
        <v>8</v>
      </c>
      <c r="L1251" s="129">
        <v>15</v>
      </c>
      <c r="M1251" s="129" t="s">
        <v>82</v>
      </c>
      <c r="N1251" s="129" t="s">
        <v>83</v>
      </c>
      <c r="O1251" s="139"/>
      <c r="P1251" s="127"/>
      <c r="Q1251" s="127"/>
      <c r="R1251" s="127"/>
      <c r="S1251" s="127"/>
      <c r="T1251" s="127"/>
      <c r="U1251" s="127"/>
      <c r="V1251" s="127"/>
      <c r="W1251" s="127"/>
      <c r="X1251" s="127"/>
      <c r="Y1251" s="127"/>
      <c r="Z1251" s="140"/>
    </row>
    <row r="1252" spans="1:26" x14ac:dyDescent="0.25">
      <c r="A1252" s="203">
        <f t="shared" si="27"/>
        <v>1251</v>
      </c>
      <c r="B1252" s="128"/>
      <c r="C1252" s="263"/>
      <c r="D1252" s="264"/>
      <c r="E1252" s="133"/>
      <c r="F1252" s="141" t="s">
        <v>1933</v>
      </c>
      <c r="G1252" s="142"/>
      <c r="H1252" s="133"/>
      <c r="I1252" s="132" t="s">
        <v>1023</v>
      </c>
      <c r="J1252" s="133">
        <v>12</v>
      </c>
      <c r="K1252" s="129">
        <v>9</v>
      </c>
      <c r="L1252" s="129">
        <v>10</v>
      </c>
      <c r="M1252" s="129" t="s">
        <v>82</v>
      </c>
      <c r="N1252" s="129" t="s">
        <v>83</v>
      </c>
      <c r="O1252" s="139"/>
      <c r="P1252" s="127"/>
      <c r="Q1252" s="127"/>
      <c r="R1252" s="127"/>
      <c r="S1252" s="127"/>
      <c r="T1252" s="127"/>
      <c r="U1252" s="127"/>
      <c r="V1252" s="127"/>
      <c r="W1252" s="127"/>
      <c r="X1252" s="127"/>
      <c r="Y1252" s="127"/>
      <c r="Z1252" s="140"/>
    </row>
    <row r="1253" spans="1:26" x14ac:dyDescent="0.25">
      <c r="A1253" s="203">
        <f t="shared" si="27"/>
        <v>1252</v>
      </c>
      <c r="B1253" s="128"/>
      <c r="C1253" s="263"/>
      <c r="D1253" s="262"/>
      <c r="E1253" s="128"/>
      <c r="F1253" s="138" t="s">
        <v>1933</v>
      </c>
      <c r="G1253" s="131"/>
      <c r="H1253" s="128"/>
      <c r="I1253" s="132" t="s">
        <v>1023</v>
      </c>
      <c r="J1253" s="133">
        <v>12</v>
      </c>
      <c r="K1253" s="129">
        <v>9</v>
      </c>
      <c r="L1253" s="129">
        <v>11</v>
      </c>
      <c r="M1253" s="129" t="s">
        <v>82</v>
      </c>
      <c r="N1253" s="129" t="s">
        <v>83</v>
      </c>
      <c r="O1253" s="139"/>
      <c r="P1253" s="127"/>
      <c r="Q1253" s="127"/>
      <c r="R1253" s="127"/>
      <c r="S1253" s="127"/>
      <c r="T1253" s="127"/>
      <c r="U1253" s="127"/>
      <c r="V1253" s="127"/>
      <c r="W1253" s="127"/>
      <c r="X1253" s="127"/>
      <c r="Y1253" s="127"/>
      <c r="Z1253" s="140"/>
    </row>
    <row r="1254" spans="1:26" x14ac:dyDescent="0.25">
      <c r="A1254" s="203">
        <f t="shared" si="27"/>
        <v>1253</v>
      </c>
      <c r="B1254" s="128"/>
      <c r="C1254" s="263"/>
      <c r="D1254" s="262"/>
      <c r="E1254" s="128"/>
      <c r="F1254" s="138" t="s">
        <v>1933</v>
      </c>
      <c r="G1254" s="131"/>
      <c r="H1254" s="128"/>
      <c r="I1254" s="132" t="s">
        <v>1023</v>
      </c>
      <c r="J1254" s="133">
        <v>12</v>
      </c>
      <c r="K1254" s="129">
        <v>9</v>
      </c>
      <c r="L1254" s="129">
        <v>12</v>
      </c>
      <c r="M1254" s="129" t="s">
        <v>82</v>
      </c>
      <c r="N1254" s="129" t="s">
        <v>83</v>
      </c>
      <c r="O1254" s="139"/>
      <c r="P1254" s="127"/>
      <c r="Q1254" s="127"/>
      <c r="R1254" s="127"/>
      <c r="S1254" s="127"/>
      <c r="T1254" s="127"/>
      <c r="U1254" s="127"/>
      <c r="V1254" s="127"/>
      <c r="W1254" s="127"/>
      <c r="X1254" s="127"/>
      <c r="Y1254" s="127"/>
      <c r="Z1254" s="140"/>
    </row>
    <row r="1255" spans="1:26" x14ac:dyDescent="0.25">
      <c r="A1255" s="203">
        <f t="shared" si="27"/>
        <v>1254</v>
      </c>
      <c r="B1255" s="128"/>
      <c r="C1255" s="263"/>
      <c r="D1255" s="262"/>
      <c r="E1255" s="128"/>
      <c r="F1255" s="138" t="s">
        <v>1933</v>
      </c>
      <c r="G1255" s="131"/>
      <c r="H1255" s="128"/>
      <c r="I1255" s="132" t="s">
        <v>1023</v>
      </c>
      <c r="J1255" s="133">
        <v>12</v>
      </c>
      <c r="K1255" s="129">
        <v>9</v>
      </c>
      <c r="L1255" s="129">
        <v>13</v>
      </c>
      <c r="M1255" s="129" t="s">
        <v>82</v>
      </c>
      <c r="N1255" s="129" t="s">
        <v>83</v>
      </c>
      <c r="O1255" s="139"/>
      <c r="P1255" s="127"/>
      <c r="Q1255" s="127"/>
      <c r="R1255" s="127"/>
      <c r="S1255" s="127"/>
      <c r="T1255" s="127"/>
      <c r="U1255" s="127"/>
      <c r="V1255" s="127"/>
      <c r="W1255" s="127"/>
      <c r="X1255" s="127"/>
      <c r="Y1255" s="127"/>
      <c r="Z1255" s="140"/>
    </row>
    <row r="1256" spans="1:26" x14ac:dyDescent="0.25">
      <c r="A1256" s="203">
        <f t="shared" si="27"/>
        <v>1255</v>
      </c>
      <c r="B1256" s="128"/>
      <c r="C1256" s="263"/>
      <c r="D1256" s="262"/>
      <c r="E1256" s="128"/>
      <c r="F1256" s="138" t="s">
        <v>1933</v>
      </c>
      <c r="G1256" s="131"/>
      <c r="H1256" s="128"/>
      <c r="I1256" s="132" t="s">
        <v>1023</v>
      </c>
      <c r="J1256" s="133">
        <v>12</v>
      </c>
      <c r="K1256" s="129">
        <v>9</v>
      </c>
      <c r="L1256" s="129">
        <v>14</v>
      </c>
      <c r="M1256" s="129" t="s">
        <v>82</v>
      </c>
      <c r="N1256" s="129" t="s">
        <v>83</v>
      </c>
      <c r="O1256" s="139"/>
      <c r="P1256" s="127"/>
      <c r="Q1256" s="127"/>
      <c r="R1256" s="127"/>
      <c r="S1256" s="127"/>
      <c r="T1256" s="127"/>
      <c r="U1256" s="127"/>
      <c r="V1256" s="127"/>
      <c r="W1256" s="127"/>
      <c r="X1256" s="127"/>
      <c r="Y1256" s="127"/>
      <c r="Z1256" s="140"/>
    </row>
    <row r="1257" spans="1:26" x14ac:dyDescent="0.25">
      <c r="A1257" s="203">
        <f t="shared" si="27"/>
        <v>1256</v>
      </c>
      <c r="B1257" s="128"/>
      <c r="C1257" s="263"/>
      <c r="D1257" s="262"/>
      <c r="E1257" s="128"/>
      <c r="F1257" s="138" t="s">
        <v>1933</v>
      </c>
      <c r="G1257" s="129"/>
      <c r="H1257" s="128"/>
      <c r="I1257" s="132" t="s">
        <v>1023</v>
      </c>
      <c r="J1257" s="133">
        <v>12</v>
      </c>
      <c r="K1257" s="129">
        <v>10</v>
      </c>
      <c r="L1257" s="129">
        <v>2</v>
      </c>
      <c r="M1257" s="129" t="s">
        <v>658</v>
      </c>
      <c r="N1257" s="129" t="s">
        <v>659</v>
      </c>
      <c r="O1257" s="139"/>
      <c r="P1257" s="127"/>
      <c r="Q1257" s="127"/>
      <c r="R1257" s="127"/>
      <c r="S1257" s="127"/>
      <c r="T1257" s="127"/>
      <c r="U1257" s="127"/>
      <c r="V1257" s="127"/>
      <c r="W1257" s="127"/>
      <c r="X1257" s="127"/>
      <c r="Y1257" s="127"/>
      <c r="Z1257" s="140"/>
    </row>
    <row r="1258" spans="1:26" x14ac:dyDescent="0.25">
      <c r="A1258" s="203">
        <f t="shared" si="27"/>
        <v>1257</v>
      </c>
      <c r="B1258" s="128"/>
      <c r="C1258" s="263"/>
      <c r="D1258" s="262"/>
      <c r="E1258" s="128"/>
      <c r="F1258" s="138" t="s">
        <v>1933</v>
      </c>
      <c r="G1258" s="131"/>
      <c r="H1258" s="128"/>
      <c r="I1258" s="132" t="s">
        <v>1023</v>
      </c>
      <c r="J1258" s="133">
        <v>12</v>
      </c>
      <c r="K1258" s="129">
        <v>10</v>
      </c>
      <c r="L1258" s="129">
        <v>3</v>
      </c>
      <c r="M1258" s="129" t="s">
        <v>658</v>
      </c>
      <c r="N1258" s="129" t="s">
        <v>659</v>
      </c>
      <c r="O1258" s="139"/>
      <c r="P1258" s="127"/>
      <c r="Q1258" s="127"/>
      <c r="R1258" s="127"/>
      <c r="S1258" s="127"/>
      <c r="T1258" s="127"/>
      <c r="U1258" s="127"/>
      <c r="V1258" s="127"/>
      <c r="W1258" s="127"/>
      <c r="X1258" s="127"/>
      <c r="Y1258" s="127"/>
      <c r="Z1258" s="140"/>
    </row>
    <row r="1259" spans="1:26" x14ac:dyDescent="0.25">
      <c r="A1259" s="203">
        <f t="shared" si="27"/>
        <v>1258</v>
      </c>
      <c r="B1259" s="128"/>
      <c r="C1259" s="263"/>
      <c r="D1259" s="262"/>
      <c r="E1259" s="128"/>
      <c r="F1259" s="138" t="s">
        <v>1933</v>
      </c>
      <c r="G1259" s="131"/>
      <c r="H1259" s="128"/>
      <c r="I1259" s="132" t="s">
        <v>1023</v>
      </c>
      <c r="J1259" s="133">
        <v>12</v>
      </c>
      <c r="K1259" s="129">
        <v>10</v>
      </c>
      <c r="L1259" s="129">
        <v>4</v>
      </c>
      <c r="M1259" s="129" t="s">
        <v>658</v>
      </c>
      <c r="N1259" s="129" t="s">
        <v>659</v>
      </c>
      <c r="O1259" s="139"/>
      <c r="P1259" s="127"/>
      <c r="Q1259" s="127"/>
      <c r="R1259" s="127"/>
      <c r="S1259" s="127"/>
      <c r="T1259" s="127"/>
      <c r="U1259" s="127"/>
      <c r="V1259" s="127"/>
      <c r="W1259" s="127"/>
      <c r="X1259" s="127"/>
      <c r="Y1259" s="127"/>
      <c r="Z1259" s="140"/>
    </row>
    <row r="1260" spans="1:26" x14ac:dyDescent="0.25">
      <c r="A1260" s="203">
        <f t="shared" si="27"/>
        <v>1259</v>
      </c>
      <c r="B1260" s="128"/>
      <c r="C1260" s="263"/>
      <c r="D1260" s="262"/>
      <c r="E1260" s="128"/>
      <c r="F1260" s="138" t="s">
        <v>1933</v>
      </c>
      <c r="G1260" s="131"/>
      <c r="H1260" s="128"/>
      <c r="I1260" s="132" t="s">
        <v>1023</v>
      </c>
      <c r="J1260" s="133">
        <v>12</v>
      </c>
      <c r="K1260" s="129">
        <v>10</v>
      </c>
      <c r="L1260" s="129">
        <v>5</v>
      </c>
      <c r="M1260" s="129" t="s">
        <v>658</v>
      </c>
      <c r="N1260" s="129" t="s">
        <v>659</v>
      </c>
      <c r="O1260" s="139"/>
      <c r="P1260" s="127"/>
      <c r="Q1260" s="127"/>
      <c r="R1260" s="127"/>
      <c r="S1260" s="127"/>
      <c r="T1260" s="127"/>
      <c r="U1260" s="127"/>
      <c r="V1260" s="127"/>
      <c r="W1260" s="127"/>
      <c r="X1260" s="127"/>
      <c r="Y1260" s="127"/>
      <c r="Z1260" s="140"/>
    </row>
    <row r="1261" spans="1:26" s="149" customFormat="1" x14ac:dyDescent="0.25">
      <c r="A1261" s="203">
        <f t="shared" si="27"/>
        <v>1260</v>
      </c>
      <c r="B1261" s="128"/>
      <c r="C1261" s="263"/>
      <c r="D1261" s="262"/>
      <c r="E1261" s="128"/>
      <c r="F1261" s="138" t="s">
        <v>1933</v>
      </c>
      <c r="G1261" s="131"/>
      <c r="H1261" s="128"/>
      <c r="I1261" s="132" t="s">
        <v>1023</v>
      </c>
      <c r="J1261" s="133">
        <v>12</v>
      </c>
      <c r="K1261" s="129">
        <v>10</v>
      </c>
      <c r="L1261" s="129">
        <v>6</v>
      </c>
      <c r="M1261" s="129" t="s">
        <v>658</v>
      </c>
      <c r="N1261" s="129" t="s">
        <v>659</v>
      </c>
      <c r="O1261" s="139"/>
      <c r="P1261" s="127"/>
      <c r="Q1261" s="127"/>
      <c r="R1261" s="127"/>
      <c r="S1261" s="127"/>
      <c r="T1261" s="127"/>
      <c r="U1261" s="127"/>
      <c r="V1261" s="127"/>
      <c r="W1261" s="127"/>
      <c r="X1261" s="127"/>
      <c r="Y1261" s="127"/>
      <c r="Z1261" s="140"/>
    </row>
    <row r="1262" spans="1:26" s="149" customFormat="1" x14ac:dyDescent="0.25">
      <c r="A1262" s="203">
        <f t="shared" si="27"/>
        <v>1261</v>
      </c>
      <c r="B1262" s="128"/>
      <c r="C1262" s="263"/>
      <c r="D1262" s="262"/>
      <c r="E1262" s="128"/>
      <c r="F1262" s="138" t="s">
        <v>1933</v>
      </c>
      <c r="G1262" s="131"/>
      <c r="H1262" s="128"/>
      <c r="I1262" s="132" t="s">
        <v>1023</v>
      </c>
      <c r="J1262" s="133">
        <v>12</v>
      </c>
      <c r="K1262" s="129">
        <v>10</v>
      </c>
      <c r="L1262" s="129">
        <v>7</v>
      </c>
      <c r="M1262" s="129" t="s">
        <v>658</v>
      </c>
      <c r="N1262" s="129" t="s">
        <v>659</v>
      </c>
      <c r="O1262" s="139"/>
      <c r="P1262" s="127"/>
      <c r="Q1262" s="127"/>
      <c r="R1262" s="127"/>
      <c r="S1262" s="127"/>
      <c r="T1262" s="127"/>
      <c r="U1262" s="127"/>
      <c r="V1262" s="127"/>
      <c r="W1262" s="127"/>
      <c r="X1262" s="127"/>
      <c r="Y1262" s="127"/>
      <c r="Z1262" s="140"/>
    </row>
    <row r="1263" spans="1:26" s="149" customFormat="1" x14ac:dyDescent="0.25">
      <c r="A1263" s="203">
        <f t="shared" si="27"/>
        <v>1262</v>
      </c>
      <c r="B1263" s="128"/>
      <c r="C1263" s="263"/>
      <c r="D1263" s="262"/>
      <c r="E1263" s="128"/>
      <c r="F1263" s="138" t="s">
        <v>1933</v>
      </c>
      <c r="G1263" s="131"/>
      <c r="H1263" s="128"/>
      <c r="I1263" s="132" t="s">
        <v>127</v>
      </c>
      <c r="J1263" s="133">
        <v>13</v>
      </c>
      <c r="K1263" s="129">
        <v>1</v>
      </c>
      <c r="L1263" s="129">
        <v>6</v>
      </c>
      <c r="M1263" s="129" t="s">
        <v>138</v>
      </c>
      <c r="N1263" s="129" t="s">
        <v>139</v>
      </c>
      <c r="O1263" s="139"/>
      <c r="P1263" s="127"/>
      <c r="Q1263" s="127"/>
      <c r="R1263" s="127"/>
      <c r="S1263" s="127"/>
      <c r="T1263" s="127"/>
      <c r="U1263" s="127"/>
      <c r="V1263" s="127"/>
      <c r="W1263" s="127"/>
      <c r="X1263" s="127"/>
      <c r="Y1263" s="127"/>
      <c r="Z1263" s="140"/>
    </row>
    <row r="1264" spans="1:26" s="149" customFormat="1" x14ac:dyDescent="0.25">
      <c r="A1264" s="203">
        <f t="shared" si="27"/>
        <v>1263</v>
      </c>
      <c r="B1264" s="128"/>
      <c r="C1264" s="263"/>
      <c r="D1264" s="262"/>
      <c r="E1264" s="128"/>
      <c r="F1264" s="138" t="s">
        <v>1933</v>
      </c>
      <c r="G1264" s="131"/>
      <c r="H1264" s="128"/>
      <c r="I1264" s="132" t="s">
        <v>127</v>
      </c>
      <c r="J1264" s="133">
        <v>13</v>
      </c>
      <c r="K1264" s="129">
        <v>1</v>
      </c>
      <c r="L1264" s="129">
        <v>7</v>
      </c>
      <c r="M1264" s="129" t="s">
        <v>138</v>
      </c>
      <c r="N1264" s="129" t="s">
        <v>139</v>
      </c>
      <c r="O1264" s="139"/>
      <c r="P1264" s="127"/>
      <c r="Q1264" s="127"/>
      <c r="R1264" s="127"/>
      <c r="S1264" s="127"/>
      <c r="T1264" s="127"/>
      <c r="U1264" s="127"/>
      <c r="V1264" s="127"/>
      <c r="W1264" s="127"/>
      <c r="X1264" s="127"/>
      <c r="Y1264" s="127"/>
      <c r="Z1264" s="140"/>
    </row>
    <row r="1265" spans="1:26" s="149" customFormat="1" x14ac:dyDescent="0.25">
      <c r="A1265" s="203">
        <f t="shared" si="27"/>
        <v>1264</v>
      </c>
      <c r="B1265" s="128"/>
      <c r="C1265" s="263"/>
      <c r="D1265" s="262"/>
      <c r="E1265" s="128"/>
      <c r="F1265" s="141" t="s">
        <v>1933</v>
      </c>
      <c r="G1265" s="131"/>
      <c r="H1265" s="128"/>
      <c r="I1265" s="142" t="s">
        <v>127</v>
      </c>
      <c r="J1265" s="133">
        <v>13</v>
      </c>
      <c r="K1265" s="133">
        <v>3</v>
      </c>
      <c r="L1265" s="133">
        <v>6</v>
      </c>
      <c r="M1265" s="133" t="s">
        <v>138</v>
      </c>
      <c r="N1265" s="129" t="s">
        <v>139</v>
      </c>
      <c r="O1265" s="139"/>
      <c r="P1265" s="127"/>
      <c r="Q1265" s="127"/>
      <c r="R1265" s="127"/>
      <c r="S1265" s="127"/>
      <c r="T1265" s="127"/>
      <c r="U1265" s="127"/>
      <c r="V1265" s="127"/>
      <c r="W1265" s="127"/>
      <c r="X1265" s="127"/>
      <c r="Y1265" s="127"/>
      <c r="Z1265" s="140"/>
    </row>
    <row r="1266" spans="1:26" s="149" customFormat="1" x14ac:dyDescent="0.25">
      <c r="A1266" s="203">
        <f t="shared" si="27"/>
        <v>1265</v>
      </c>
      <c r="B1266" s="128"/>
      <c r="C1266" s="263"/>
      <c r="D1266" s="262"/>
      <c r="E1266" s="128"/>
      <c r="F1266" s="141" t="s">
        <v>1933</v>
      </c>
      <c r="G1266" s="131"/>
      <c r="H1266" s="128"/>
      <c r="I1266" s="142" t="s">
        <v>127</v>
      </c>
      <c r="J1266" s="133">
        <v>13</v>
      </c>
      <c r="K1266" s="133">
        <v>3</v>
      </c>
      <c r="L1266" s="133">
        <v>7</v>
      </c>
      <c r="M1266" s="133" t="s">
        <v>138</v>
      </c>
      <c r="N1266" s="129" t="s">
        <v>139</v>
      </c>
      <c r="O1266" s="139"/>
      <c r="P1266" s="127"/>
      <c r="Q1266" s="127"/>
      <c r="R1266" s="127"/>
      <c r="S1266" s="127"/>
      <c r="T1266" s="127"/>
      <c r="U1266" s="127"/>
      <c r="V1266" s="127"/>
      <c r="W1266" s="127"/>
      <c r="X1266" s="127"/>
      <c r="Y1266" s="127"/>
      <c r="Z1266" s="140"/>
    </row>
    <row r="1267" spans="1:26" x14ac:dyDescent="0.25">
      <c r="A1267" s="203">
        <f t="shared" si="27"/>
        <v>1266</v>
      </c>
      <c r="B1267" s="128"/>
      <c r="C1267" s="263"/>
      <c r="D1267" s="262"/>
      <c r="E1267" s="128"/>
      <c r="F1267" s="138" t="s">
        <v>1933</v>
      </c>
      <c r="G1267" s="131"/>
      <c r="H1267" s="128"/>
      <c r="I1267" s="132" t="s">
        <v>127</v>
      </c>
      <c r="J1267" s="133">
        <v>13</v>
      </c>
      <c r="K1267" s="129">
        <v>4</v>
      </c>
      <c r="L1267" s="129">
        <v>2</v>
      </c>
      <c r="M1267" s="129" t="s">
        <v>944</v>
      </c>
      <c r="N1267" s="129" t="s">
        <v>945</v>
      </c>
      <c r="O1267" s="139"/>
      <c r="P1267" s="127"/>
      <c r="Q1267" s="127"/>
      <c r="R1267" s="127"/>
      <c r="S1267" s="127"/>
      <c r="T1267" s="127"/>
      <c r="U1267" s="127"/>
      <c r="V1267" s="127"/>
      <c r="W1267" s="127"/>
      <c r="X1267" s="127"/>
      <c r="Y1267" s="127"/>
      <c r="Z1267" s="140"/>
    </row>
    <row r="1268" spans="1:26" x14ac:dyDescent="0.25">
      <c r="A1268" s="203">
        <f t="shared" si="27"/>
        <v>1267</v>
      </c>
      <c r="B1268" s="128"/>
      <c r="C1268" s="263"/>
      <c r="D1268" s="262"/>
      <c r="E1268" s="128"/>
      <c r="F1268" s="138" t="s">
        <v>1933</v>
      </c>
      <c r="G1268" s="131"/>
      <c r="H1268" s="128"/>
      <c r="I1268" s="132" t="s">
        <v>127</v>
      </c>
      <c r="J1268" s="133">
        <v>13</v>
      </c>
      <c r="K1268" s="129">
        <v>4</v>
      </c>
      <c r="L1268" s="129">
        <v>3</v>
      </c>
      <c r="M1268" s="129" t="s">
        <v>944</v>
      </c>
      <c r="N1268" s="129" t="s">
        <v>945</v>
      </c>
      <c r="O1268" s="139"/>
      <c r="P1268" s="127"/>
      <c r="Q1268" s="127"/>
      <c r="R1268" s="127"/>
      <c r="S1268" s="127"/>
      <c r="T1268" s="127"/>
      <c r="U1268" s="127"/>
      <c r="V1268" s="127"/>
      <c r="W1268" s="127"/>
      <c r="X1268" s="127"/>
      <c r="Y1268" s="127"/>
      <c r="Z1268" s="140"/>
    </row>
    <row r="1269" spans="1:26" x14ac:dyDescent="0.25">
      <c r="A1269" s="203">
        <f t="shared" si="27"/>
        <v>1268</v>
      </c>
      <c r="B1269" s="128"/>
      <c r="C1269" s="263"/>
      <c r="D1269" s="262"/>
      <c r="E1269" s="128"/>
      <c r="F1269" s="138" t="s">
        <v>1933</v>
      </c>
      <c r="G1269" s="131"/>
      <c r="H1269" s="128"/>
      <c r="I1269" s="132" t="s">
        <v>127</v>
      </c>
      <c r="J1269" s="133">
        <v>13</v>
      </c>
      <c r="K1269" s="129">
        <v>4</v>
      </c>
      <c r="L1269" s="129">
        <v>4</v>
      </c>
      <c r="M1269" s="129" t="s">
        <v>944</v>
      </c>
      <c r="N1269" s="129" t="s">
        <v>945</v>
      </c>
      <c r="O1269" s="139"/>
      <c r="P1269" s="127"/>
      <c r="Q1269" s="127"/>
      <c r="R1269" s="127"/>
      <c r="S1269" s="127"/>
      <c r="T1269" s="127"/>
      <c r="U1269" s="127"/>
      <c r="V1269" s="127"/>
      <c r="W1269" s="127"/>
      <c r="X1269" s="127"/>
      <c r="Y1269" s="127"/>
      <c r="Z1269" s="140"/>
    </row>
    <row r="1270" spans="1:26" x14ac:dyDescent="0.25">
      <c r="A1270" s="203">
        <f t="shared" si="27"/>
        <v>1269</v>
      </c>
      <c r="B1270" s="128"/>
      <c r="C1270" s="263"/>
      <c r="D1270" s="262"/>
      <c r="E1270" s="128"/>
      <c r="F1270" s="138" t="s">
        <v>1933</v>
      </c>
      <c r="G1270" s="131"/>
      <c r="H1270" s="128"/>
      <c r="I1270" s="132" t="s">
        <v>127</v>
      </c>
      <c r="J1270" s="133">
        <v>13</v>
      </c>
      <c r="K1270" s="129">
        <v>4</v>
      </c>
      <c r="L1270" s="129">
        <v>5</v>
      </c>
      <c r="M1270" s="129" t="s">
        <v>944</v>
      </c>
      <c r="N1270" s="129" t="s">
        <v>945</v>
      </c>
      <c r="O1270" s="139"/>
      <c r="P1270" s="127"/>
      <c r="Q1270" s="127"/>
      <c r="R1270" s="127"/>
      <c r="S1270" s="127"/>
      <c r="T1270" s="127"/>
      <c r="U1270" s="127"/>
      <c r="V1270" s="127"/>
      <c r="W1270" s="127"/>
      <c r="X1270" s="127"/>
      <c r="Y1270" s="127"/>
      <c r="Z1270" s="140"/>
    </row>
    <row r="1271" spans="1:26" s="149" customFormat="1" x14ac:dyDescent="0.25">
      <c r="A1271" s="203">
        <f t="shared" si="27"/>
        <v>1270</v>
      </c>
      <c r="B1271" s="128"/>
      <c r="C1271" s="263"/>
      <c r="D1271" s="262"/>
      <c r="E1271" s="128"/>
      <c r="F1271" s="138" t="s">
        <v>1933</v>
      </c>
      <c r="G1271" s="131"/>
      <c r="H1271" s="128"/>
      <c r="I1271" s="132" t="s">
        <v>127</v>
      </c>
      <c r="J1271" s="133">
        <v>13</v>
      </c>
      <c r="K1271" s="129">
        <v>4</v>
      </c>
      <c r="L1271" s="129">
        <v>6</v>
      </c>
      <c r="M1271" s="129" t="s">
        <v>944</v>
      </c>
      <c r="N1271" s="129" t="s">
        <v>945</v>
      </c>
      <c r="O1271" s="139"/>
      <c r="P1271" s="127"/>
      <c r="Q1271" s="127"/>
      <c r="R1271" s="127"/>
      <c r="S1271" s="127"/>
      <c r="T1271" s="127"/>
      <c r="U1271" s="127"/>
      <c r="V1271" s="127"/>
      <c r="W1271" s="127"/>
      <c r="X1271" s="127"/>
      <c r="Y1271" s="127"/>
      <c r="Z1271" s="140"/>
    </row>
    <row r="1272" spans="1:26" s="149" customFormat="1" x14ac:dyDescent="0.25">
      <c r="A1272" s="203">
        <f t="shared" si="27"/>
        <v>1271</v>
      </c>
      <c r="B1272" s="128"/>
      <c r="C1272" s="263"/>
      <c r="D1272" s="262"/>
      <c r="E1272" s="128"/>
      <c r="F1272" s="138" t="s">
        <v>1933</v>
      </c>
      <c r="G1272" s="131"/>
      <c r="H1272" s="128"/>
      <c r="I1272" s="132" t="s">
        <v>127</v>
      </c>
      <c r="J1272" s="133">
        <v>13</v>
      </c>
      <c r="K1272" s="129">
        <v>4</v>
      </c>
      <c r="L1272" s="129">
        <v>7</v>
      </c>
      <c r="M1272" s="129" t="s">
        <v>944</v>
      </c>
      <c r="N1272" s="129" t="s">
        <v>945</v>
      </c>
      <c r="O1272" s="139"/>
      <c r="P1272" s="127"/>
      <c r="Q1272" s="127"/>
      <c r="R1272" s="127"/>
      <c r="S1272" s="127"/>
      <c r="T1272" s="127"/>
      <c r="U1272" s="127"/>
      <c r="V1272" s="127"/>
      <c r="W1272" s="127"/>
      <c r="X1272" s="127"/>
      <c r="Y1272" s="127"/>
      <c r="Z1272" s="140"/>
    </row>
    <row r="1273" spans="1:26" s="149" customFormat="1" x14ac:dyDescent="0.25">
      <c r="A1273" s="203">
        <f t="shared" si="27"/>
        <v>1272</v>
      </c>
      <c r="B1273" s="128"/>
      <c r="C1273" s="263"/>
      <c r="D1273" s="262"/>
      <c r="E1273" s="128"/>
      <c r="F1273" s="138" t="s">
        <v>1933</v>
      </c>
      <c r="G1273" s="131"/>
      <c r="H1273" s="128"/>
      <c r="I1273" s="132" t="s">
        <v>127</v>
      </c>
      <c r="J1273" s="133">
        <v>13</v>
      </c>
      <c r="K1273" s="129">
        <v>5</v>
      </c>
      <c r="L1273" s="129">
        <v>9</v>
      </c>
      <c r="M1273" s="129" t="s">
        <v>31</v>
      </c>
      <c r="N1273" s="129" t="s">
        <v>32</v>
      </c>
      <c r="O1273" s="139"/>
      <c r="P1273" s="127"/>
      <c r="Q1273" s="127"/>
      <c r="R1273" s="127"/>
      <c r="S1273" s="127"/>
      <c r="T1273" s="127"/>
      <c r="U1273" s="127"/>
      <c r="V1273" s="127"/>
      <c r="W1273" s="127"/>
      <c r="X1273" s="127"/>
      <c r="Y1273" s="127"/>
      <c r="Z1273" s="140"/>
    </row>
    <row r="1274" spans="1:26" s="149" customFormat="1" x14ac:dyDescent="0.25">
      <c r="A1274" s="203">
        <f t="shared" si="27"/>
        <v>1273</v>
      </c>
      <c r="B1274" s="128" t="s">
        <v>1966</v>
      </c>
      <c r="C1274" s="263"/>
      <c r="D1274" s="262"/>
      <c r="E1274" s="128"/>
      <c r="F1274" s="138" t="s">
        <v>1933</v>
      </c>
      <c r="G1274" s="131"/>
      <c r="H1274" s="128"/>
      <c r="I1274" s="132" t="s">
        <v>127</v>
      </c>
      <c r="J1274" s="133">
        <v>13</v>
      </c>
      <c r="K1274" s="128">
        <v>5</v>
      </c>
      <c r="L1274" s="128">
        <v>10</v>
      </c>
      <c r="M1274" s="128" t="s">
        <v>31</v>
      </c>
      <c r="N1274" s="128" t="s">
        <v>32</v>
      </c>
      <c r="O1274" s="139"/>
      <c r="P1274" s="127"/>
      <c r="Q1274" s="127"/>
      <c r="R1274" s="127"/>
      <c r="S1274" s="127"/>
      <c r="T1274" s="127"/>
      <c r="U1274" s="127"/>
      <c r="V1274" s="127"/>
      <c r="W1274" s="127"/>
      <c r="X1274" s="127"/>
      <c r="Y1274" s="127"/>
      <c r="Z1274" s="140"/>
    </row>
    <row r="1275" spans="1:26" s="149" customFormat="1" x14ac:dyDescent="0.25">
      <c r="A1275" s="203">
        <f t="shared" si="27"/>
        <v>1274</v>
      </c>
      <c r="B1275" s="128" t="s">
        <v>1967</v>
      </c>
      <c r="C1275" s="263"/>
      <c r="D1275" s="262"/>
      <c r="E1275" s="128"/>
      <c r="F1275" s="138" t="s">
        <v>1933</v>
      </c>
      <c r="G1275" s="131"/>
      <c r="H1275" s="128"/>
      <c r="I1275" s="132" t="s">
        <v>127</v>
      </c>
      <c r="J1275" s="133">
        <v>13</v>
      </c>
      <c r="K1275" s="128">
        <v>5</v>
      </c>
      <c r="L1275" s="128">
        <v>11</v>
      </c>
      <c r="M1275" s="128" t="s">
        <v>31</v>
      </c>
      <c r="N1275" s="128" t="s">
        <v>32</v>
      </c>
      <c r="O1275" s="139"/>
      <c r="P1275" s="127"/>
      <c r="Q1275" s="127"/>
      <c r="R1275" s="127"/>
      <c r="S1275" s="127"/>
      <c r="T1275" s="127"/>
      <c r="U1275" s="127"/>
      <c r="V1275" s="127"/>
      <c r="W1275" s="127"/>
      <c r="X1275" s="127"/>
      <c r="Y1275" s="127"/>
      <c r="Z1275" s="140"/>
    </row>
    <row r="1276" spans="1:26" s="149" customFormat="1" x14ac:dyDescent="0.25">
      <c r="A1276" s="203">
        <f t="shared" si="27"/>
        <v>1275</v>
      </c>
      <c r="B1276" s="151" t="s">
        <v>1968</v>
      </c>
      <c r="C1276" s="263" t="s">
        <v>1968</v>
      </c>
      <c r="D1276" s="262"/>
      <c r="E1276" s="128"/>
      <c r="F1276" s="138" t="s">
        <v>1969</v>
      </c>
      <c r="G1276" s="131"/>
      <c r="H1276" s="128" t="s">
        <v>29</v>
      </c>
      <c r="I1276" s="132" t="s">
        <v>127</v>
      </c>
      <c r="J1276" s="133">
        <v>13</v>
      </c>
      <c r="K1276" s="128">
        <v>5</v>
      </c>
      <c r="L1276" s="128">
        <v>14</v>
      </c>
      <c r="M1276" s="128" t="s">
        <v>31</v>
      </c>
      <c r="N1276" s="128" t="s">
        <v>32</v>
      </c>
      <c r="O1276" s="139"/>
      <c r="P1276" s="127"/>
      <c r="Q1276" s="127"/>
      <c r="R1276" s="127"/>
      <c r="S1276" s="127"/>
      <c r="T1276" s="127"/>
      <c r="U1276" s="127"/>
      <c r="V1276" s="127"/>
      <c r="W1276" s="127"/>
      <c r="X1276" s="127"/>
      <c r="Y1276" s="127"/>
      <c r="Z1276" s="140"/>
    </row>
    <row r="1277" spans="1:26" s="149" customFormat="1" x14ac:dyDescent="0.25">
      <c r="A1277" s="203">
        <f t="shared" si="27"/>
        <v>1276</v>
      </c>
      <c r="B1277" s="151" t="s">
        <v>1970</v>
      </c>
      <c r="C1277" s="263" t="s">
        <v>1970</v>
      </c>
      <c r="D1277" s="262"/>
      <c r="E1277" s="128"/>
      <c r="F1277" s="138" t="s">
        <v>1971</v>
      </c>
      <c r="G1277" s="131"/>
      <c r="H1277" s="128" t="s">
        <v>29</v>
      </c>
      <c r="I1277" s="132" t="s">
        <v>127</v>
      </c>
      <c r="J1277" s="133">
        <v>13</v>
      </c>
      <c r="K1277" s="128">
        <v>5</v>
      </c>
      <c r="L1277" s="128">
        <v>15</v>
      </c>
      <c r="M1277" s="128" t="s">
        <v>31</v>
      </c>
      <c r="N1277" s="128" t="s">
        <v>32</v>
      </c>
      <c r="O1277" s="139"/>
      <c r="P1277" s="127"/>
      <c r="Q1277" s="127"/>
      <c r="R1277" s="127"/>
      <c r="S1277" s="127"/>
      <c r="T1277" s="127"/>
      <c r="U1277" s="127"/>
      <c r="V1277" s="127"/>
      <c r="W1277" s="127"/>
      <c r="X1277" s="127"/>
      <c r="Y1277" s="127"/>
      <c r="Z1277" s="140"/>
    </row>
    <row r="1278" spans="1:26" s="149" customFormat="1" x14ac:dyDescent="0.25">
      <c r="A1278" s="203">
        <f t="shared" si="27"/>
        <v>1277</v>
      </c>
      <c r="B1278" s="128"/>
      <c r="C1278" s="263"/>
      <c r="D1278" s="262"/>
      <c r="E1278" s="128"/>
      <c r="F1278" s="138" t="s">
        <v>1933</v>
      </c>
      <c r="G1278" s="131"/>
      <c r="H1278" s="128"/>
      <c r="I1278" s="132" t="s">
        <v>127</v>
      </c>
      <c r="J1278" s="133">
        <v>13</v>
      </c>
      <c r="K1278" s="129">
        <v>6</v>
      </c>
      <c r="L1278" s="129">
        <v>5</v>
      </c>
      <c r="M1278" s="129" t="s">
        <v>31</v>
      </c>
      <c r="N1278" s="129" t="s">
        <v>32</v>
      </c>
      <c r="O1278" s="139"/>
      <c r="P1278" s="127"/>
      <c r="Q1278" s="127"/>
      <c r="R1278" s="127"/>
      <c r="S1278" s="127"/>
      <c r="T1278" s="127"/>
      <c r="U1278" s="127"/>
      <c r="V1278" s="127"/>
      <c r="W1278" s="127"/>
      <c r="X1278" s="127"/>
      <c r="Y1278" s="127"/>
      <c r="Z1278" s="140"/>
    </row>
    <row r="1279" spans="1:26" s="149" customFormat="1" x14ac:dyDescent="0.25">
      <c r="A1279" s="203">
        <f t="shared" si="27"/>
        <v>1278</v>
      </c>
      <c r="B1279" s="128"/>
      <c r="C1279" s="263"/>
      <c r="D1279" s="262"/>
      <c r="E1279" s="128"/>
      <c r="F1279" s="138" t="s">
        <v>1933</v>
      </c>
      <c r="G1279" s="131"/>
      <c r="H1279" s="128"/>
      <c r="I1279" s="132" t="s">
        <v>127</v>
      </c>
      <c r="J1279" s="133">
        <v>13</v>
      </c>
      <c r="K1279" s="129">
        <v>6</v>
      </c>
      <c r="L1279" s="129">
        <v>10</v>
      </c>
      <c r="M1279" s="129" t="s">
        <v>31</v>
      </c>
      <c r="N1279" s="129" t="s">
        <v>32</v>
      </c>
      <c r="O1279" s="139"/>
      <c r="P1279" s="127"/>
      <c r="Q1279" s="127"/>
      <c r="R1279" s="127"/>
      <c r="S1279" s="127"/>
      <c r="T1279" s="127"/>
      <c r="U1279" s="127"/>
      <c r="V1279" s="127"/>
      <c r="W1279" s="127"/>
      <c r="X1279" s="127"/>
      <c r="Y1279" s="127"/>
      <c r="Z1279" s="140"/>
    </row>
    <row r="1280" spans="1:26" s="149" customFormat="1" x14ac:dyDescent="0.25">
      <c r="A1280" s="203">
        <f t="shared" si="27"/>
        <v>1279</v>
      </c>
      <c r="B1280" s="128"/>
      <c r="C1280" s="263"/>
      <c r="D1280" s="262"/>
      <c r="E1280" s="128"/>
      <c r="F1280" s="138" t="s">
        <v>1933</v>
      </c>
      <c r="G1280" s="131"/>
      <c r="H1280" s="128"/>
      <c r="I1280" s="132" t="s">
        <v>127</v>
      </c>
      <c r="J1280" s="133">
        <v>13</v>
      </c>
      <c r="K1280" s="129">
        <v>6</v>
      </c>
      <c r="L1280" s="129">
        <v>11</v>
      </c>
      <c r="M1280" s="129" t="s">
        <v>31</v>
      </c>
      <c r="N1280" s="129" t="s">
        <v>32</v>
      </c>
      <c r="O1280" s="139"/>
      <c r="P1280" s="127"/>
      <c r="Q1280" s="127"/>
      <c r="R1280" s="127"/>
      <c r="S1280" s="127"/>
      <c r="T1280" s="127"/>
      <c r="U1280" s="127"/>
      <c r="V1280" s="127"/>
      <c r="W1280" s="127"/>
      <c r="X1280" s="127"/>
      <c r="Y1280" s="127"/>
      <c r="Z1280" s="140"/>
    </row>
    <row r="1281" spans="1:26" s="149" customFormat="1" x14ac:dyDescent="0.25">
      <c r="A1281" s="203">
        <f t="shared" si="27"/>
        <v>1280</v>
      </c>
      <c r="B1281" s="128"/>
      <c r="C1281" s="263"/>
      <c r="D1281" s="262"/>
      <c r="E1281" s="128"/>
      <c r="F1281" s="138" t="s">
        <v>1933</v>
      </c>
      <c r="G1281" s="131"/>
      <c r="H1281" s="128"/>
      <c r="I1281" s="132" t="s">
        <v>127</v>
      </c>
      <c r="J1281" s="133">
        <v>13</v>
      </c>
      <c r="K1281" s="129">
        <v>6</v>
      </c>
      <c r="L1281" s="129">
        <v>12</v>
      </c>
      <c r="M1281" s="129" t="s">
        <v>31</v>
      </c>
      <c r="N1281" s="129" t="s">
        <v>32</v>
      </c>
      <c r="O1281" s="139"/>
      <c r="P1281" s="127"/>
      <c r="Q1281" s="127"/>
      <c r="R1281" s="127"/>
      <c r="S1281" s="127"/>
      <c r="T1281" s="127"/>
      <c r="U1281" s="127"/>
      <c r="V1281" s="127"/>
      <c r="W1281" s="127"/>
      <c r="X1281" s="127"/>
      <c r="Y1281" s="127"/>
      <c r="Z1281" s="140"/>
    </row>
    <row r="1282" spans="1:26" s="149" customFormat="1" x14ac:dyDescent="0.25">
      <c r="A1282" s="203">
        <f t="shared" si="27"/>
        <v>1281</v>
      </c>
      <c r="B1282" s="128"/>
      <c r="C1282" s="263"/>
      <c r="D1282" s="262"/>
      <c r="E1282" s="128"/>
      <c r="F1282" s="138" t="s">
        <v>1933</v>
      </c>
      <c r="G1282" s="131"/>
      <c r="H1282" s="128"/>
      <c r="I1282" s="132" t="s">
        <v>127</v>
      </c>
      <c r="J1282" s="133">
        <v>13</v>
      </c>
      <c r="K1282" s="129">
        <v>6</v>
      </c>
      <c r="L1282" s="129">
        <v>13</v>
      </c>
      <c r="M1282" s="129" t="s">
        <v>31</v>
      </c>
      <c r="N1282" s="129" t="s">
        <v>32</v>
      </c>
      <c r="O1282" s="139"/>
      <c r="P1282" s="127"/>
      <c r="Q1282" s="127"/>
      <c r="R1282" s="127"/>
      <c r="S1282" s="127"/>
      <c r="T1282" s="127"/>
      <c r="U1282" s="127"/>
      <c r="V1282" s="127"/>
      <c r="W1282" s="127"/>
      <c r="X1282" s="127"/>
      <c r="Y1282" s="127"/>
      <c r="Z1282" s="140"/>
    </row>
    <row r="1283" spans="1:26" x14ac:dyDescent="0.25">
      <c r="A1283" s="203">
        <f t="shared" si="27"/>
        <v>1282</v>
      </c>
      <c r="B1283" s="128"/>
      <c r="C1283" s="263"/>
      <c r="D1283" s="262"/>
      <c r="E1283" s="128"/>
      <c r="F1283" s="138" t="s">
        <v>1933</v>
      </c>
      <c r="G1283" s="131"/>
      <c r="H1283" s="128"/>
      <c r="I1283" s="132" t="s">
        <v>127</v>
      </c>
      <c r="J1283" s="133">
        <v>13</v>
      </c>
      <c r="K1283" s="129">
        <v>6</v>
      </c>
      <c r="L1283" s="129">
        <v>14</v>
      </c>
      <c r="M1283" s="129" t="s">
        <v>31</v>
      </c>
      <c r="N1283" s="129" t="s">
        <v>32</v>
      </c>
      <c r="O1283" s="139"/>
      <c r="P1283" s="127"/>
      <c r="Q1283" s="127"/>
      <c r="R1283" s="127"/>
      <c r="S1283" s="127"/>
      <c r="T1283" s="127"/>
      <c r="U1283" s="127"/>
      <c r="V1283" s="127"/>
      <c r="W1283" s="127"/>
      <c r="X1283" s="127"/>
      <c r="Y1283" s="127"/>
      <c r="Z1283" s="140"/>
    </row>
    <row r="1284" spans="1:26" x14ac:dyDescent="0.25">
      <c r="A1284" s="203">
        <f t="shared" si="27"/>
        <v>1283</v>
      </c>
      <c r="B1284" s="128"/>
      <c r="C1284" s="263"/>
      <c r="D1284" s="262"/>
      <c r="E1284" s="128"/>
      <c r="F1284" s="138" t="s">
        <v>1933</v>
      </c>
      <c r="G1284" s="131"/>
      <c r="H1284" s="128"/>
      <c r="I1284" s="132" t="s">
        <v>127</v>
      </c>
      <c r="J1284" s="133">
        <v>13</v>
      </c>
      <c r="K1284" s="129">
        <v>6</v>
      </c>
      <c r="L1284" s="129">
        <v>15</v>
      </c>
      <c r="M1284" s="129" t="s">
        <v>31</v>
      </c>
      <c r="N1284" s="129" t="s">
        <v>32</v>
      </c>
      <c r="O1284" s="139"/>
      <c r="P1284" s="127"/>
      <c r="Q1284" s="127"/>
      <c r="R1284" s="127"/>
      <c r="S1284" s="127"/>
      <c r="T1284" s="127"/>
      <c r="U1284" s="127"/>
      <c r="V1284" s="127"/>
      <c r="W1284" s="127"/>
      <c r="X1284" s="127"/>
      <c r="Y1284" s="127"/>
      <c r="Z1284" s="140"/>
    </row>
    <row r="1285" spans="1:26" x14ac:dyDescent="0.25">
      <c r="A1285" s="203">
        <f t="shared" si="27"/>
        <v>1284</v>
      </c>
      <c r="B1285" s="128"/>
      <c r="C1285" s="263"/>
      <c r="D1285" s="262"/>
      <c r="E1285" s="128"/>
      <c r="F1285" s="138" t="s">
        <v>1935</v>
      </c>
      <c r="G1285" s="131"/>
      <c r="H1285" s="128"/>
      <c r="I1285" s="132" t="s">
        <v>127</v>
      </c>
      <c r="J1285" s="133">
        <v>13</v>
      </c>
      <c r="K1285" s="129">
        <v>7</v>
      </c>
      <c r="L1285" s="129">
        <v>0</v>
      </c>
      <c r="M1285" s="129" t="s">
        <v>1936</v>
      </c>
      <c r="N1285" s="129" t="s">
        <v>295</v>
      </c>
      <c r="O1285" s="139"/>
      <c r="P1285" s="127"/>
      <c r="Q1285" s="127"/>
      <c r="R1285" s="127"/>
      <c r="S1285" s="127"/>
      <c r="T1285" s="127"/>
      <c r="U1285" s="127"/>
      <c r="V1285" s="127"/>
      <c r="W1285" s="127"/>
      <c r="X1285" s="127"/>
      <c r="Y1285" s="127"/>
      <c r="Z1285" s="140"/>
    </row>
    <row r="1286" spans="1:26" x14ac:dyDescent="0.25">
      <c r="A1286" s="203">
        <f t="shared" si="27"/>
        <v>1285</v>
      </c>
      <c r="B1286" s="128"/>
      <c r="C1286" s="263"/>
      <c r="D1286" s="262"/>
      <c r="E1286" s="128"/>
      <c r="F1286" s="138" t="s">
        <v>1933</v>
      </c>
      <c r="G1286" s="131"/>
      <c r="H1286" s="128"/>
      <c r="I1286" s="132" t="s">
        <v>127</v>
      </c>
      <c r="J1286" s="133">
        <v>13</v>
      </c>
      <c r="K1286" s="129">
        <v>8</v>
      </c>
      <c r="L1286" s="129">
        <v>8</v>
      </c>
      <c r="M1286" s="129" t="s">
        <v>82</v>
      </c>
      <c r="N1286" s="129" t="s">
        <v>83</v>
      </c>
      <c r="O1286" s="139"/>
      <c r="P1286" s="127"/>
      <c r="Q1286" s="127"/>
      <c r="R1286" s="127"/>
      <c r="S1286" s="127"/>
      <c r="T1286" s="127"/>
      <c r="U1286" s="127"/>
      <c r="V1286" s="127"/>
      <c r="W1286" s="127"/>
      <c r="X1286" s="127"/>
      <c r="Y1286" s="127"/>
      <c r="Z1286" s="140"/>
    </row>
    <row r="1287" spans="1:26" x14ac:dyDescent="0.25">
      <c r="A1287" s="203">
        <f t="shared" si="27"/>
        <v>1286</v>
      </c>
      <c r="B1287" s="128"/>
      <c r="C1287" s="263"/>
      <c r="D1287" s="262"/>
      <c r="E1287" s="128"/>
      <c r="F1287" s="138" t="s">
        <v>1933</v>
      </c>
      <c r="G1287" s="131"/>
      <c r="H1287" s="128"/>
      <c r="I1287" s="132" t="s">
        <v>127</v>
      </c>
      <c r="J1287" s="133">
        <v>13</v>
      </c>
      <c r="K1287" s="129">
        <v>8</v>
      </c>
      <c r="L1287" s="129">
        <v>9</v>
      </c>
      <c r="M1287" s="129" t="s">
        <v>82</v>
      </c>
      <c r="N1287" s="129" t="s">
        <v>83</v>
      </c>
      <c r="O1287" s="139"/>
      <c r="P1287" s="127"/>
      <c r="Q1287" s="127"/>
      <c r="R1287" s="127"/>
      <c r="S1287" s="127"/>
      <c r="T1287" s="127"/>
      <c r="U1287" s="127"/>
      <c r="V1287" s="127"/>
      <c r="W1287" s="127"/>
      <c r="X1287" s="127"/>
      <c r="Y1287" s="127"/>
      <c r="Z1287" s="140"/>
    </row>
    <row r="1288" spans="1:26" s="149" customFormat="1" x14ac:dyDescent="0.25">
      <c r="A1288" s="203">
        <f t="shared" si="27"/>
        <v>1287</v>
      </c>
      <c r="B1288" s="128"/>
      <c r="C1288" s="263"/>
      <c r="D1288" s="262"/>
      <c r="E1288" s="128"/>
      <c r="F1288" s="138" t="s">
        <v>1933</v>
      </c>
      <c r="G1288" s="131"/>
      <c r="H1288" s="128"/>
      <c r="I1288" s="132" t="s">
        <v>127</v>
      </c>
      <c r="J1288" s="133">
        <v>13</v>
      </c>
      <c r="K1288" s="129">
        <v>8</v>
      </c>
      <c r="L1288" s="129">
        <v>10</v>
      </c>
      <c r="M1288" s="129" t="s">
        <v>82</v>
      </c>
      <c r="N1288" s="129" t="s">
        <v>83</v>
      </c>
      <c r="O1288" s="139"/>
      <c r="P1288" s="127"/>
      <c r="Q1288" s="127"/>
      <c r="R1288" s="127"/>
      <c r="S1288" s="127"/>
      <c r="T1288" s="127"/>
      <c r="U1288" s="127"/>
      <c r="V1288" s="127"/>
      <c r="W1288" s="127"/>
      <c r="X1288" s="127"/>
      <c r="Y1288" s="127"/>
      <c r="Z1288" s="140"/>
    </row>
    <row r="1289" spans="1:26" s="149" customFormat="1" x14ac:dyDescent="0.25">
      <c r="A1289" s="203">
        <f t="shared" si="27"/>
        <v>1288</v>
      </c>
      <c r="B1289" s="128"/>
      <c r="C1289" s="263"/>
      <c r="D1289" s="262"/>
      <c r="E1289" s="128"/>
      <c r="F1289" s="138" t="s">
        <v>1933</v>
      </c>
      <c r="G1289" s="131"/>
      <c r="H1289" s="128"/>
      <c r="I1289" s="132" t="s">
        <v>127</v>
      </c>
      <c r="J1289" s="133">
        <v>13</v>
      </c>
      <c r="K1289" s="129">
        <v>8</v>
      </c>
      <c r="L1289" s="129">
        <v>11</v>
      </c>
      <c r="M1289" s="129" t="s">
        <v>82</v>
      </c>
      <c r="N1289" s="129" t="s">
        <v>83</v>
      </c>
      <c r="O1289" s="139"/>
      <c r="P1289" s="127"/>
      <c r="Q1289" s="127"/>
      <c r="R1289" s="127"/>
      <c r="S1289" s="127"/>
      <c r="T1289" s="127"/>
      <c r="U1289" s="127"/>
      <c r="V1289" s="127"/>
      <c r="W1289" s="127"/>
      <c r="X1289" s="127"/>
      <c r="Y1289" s="127"/>
      <c r="Z1289" s="140"/>
    </row>
    <row r="1290" spans="1:26" s="149" customFormat="1" x14ac:dyDescent="0.25">
      <c r="A1290" s="203">
        <f t="shared" si="27"/>
        <v>1289</v>
      </c>
      <c r="B1290" s="128"/>
      <c r="C1290" s="263"/>
      <c r="D1290" s="262"/>
      <c r="E1290" s="128"/>
      <c r="F1290" s="138" t="s">
        <v>1933</v>
      </c>
      <c r="G1290" s="131"/>
      <c r="H1290" s="128"/>
      <c r="I1290" s="132" t="s">
        <v>127</v>
      </c>
      <c r="J1290" s="133">
        <v>13</v>
      </c>
      <c r="K1290" s="129">
        <v>8</v>
      </c>
      <c r="L1290" s="129">
        <v>12</v>
      </c>
      <c r="M1290" s="129" t="s">
        <v>82</v>
      </c>
      <c r="N1290" s="129" t="s">
        <v>83</v>
      </c>
      <c r="O1290" s="139"/>
      <c r="P1290" s="127"/>
      <c r="Q1290" s="127"/>
      <c r="R1290" s="127"/>
      <c r="S1290" s="127"/>
      <c r="T1290" s="127"/>
      <c r="U1290" s="127"/>
      <c r="V1290" s="127"/>
      <c r="W1290" s="127"/>
      <c r="X1290" s="127"/>
      <c r="Y1290" s="127"/>
      <c r="Z1290" s="140"/>
    </row>
    <row r="1291" spans="1:26" s="149" customFormat="1" x14ac:dyDescent="0.25">
      <c r="A1291" s="203">
        <f t="shared" si="27"/>
        <v>1290</v>
      </c>
      <c r="B1291" s="128"/>
      <c r="C1291" s="263"/>
      <c r="D1291" s="262"/>
      <c r="E1291" s="128"/>
      <c r="F1291" s="4" t="s">
        <v>1933</v>
      </c>
      <c r="G1291" s="142"/>
      <c r="H1291" s="133"/>
      <c r="I1291" s="132" t="s">
        <v>127</v>
      </c>
      <c r="J1291" s="133">
        <v>13</v>
      </c>
      <c r="K1291" s="129">
        <v>8</v>
      </c>
      <c r="L1291" s="129">
        <v>13</v>
      </c>
      <c r="M1291" s="129" t="s">
        <v>82</v>
      </c>
      <c r="N1291" s="129" t="s">
        <v>83</v>
      </c>
      <c r="O1291" s="139"/>
      <c r="P1291" s="127"/>
      <c r="Q1291" s="127"/>
      <c r="R1291" s="127"/>
      <c r="S1291" s="127"/>
      <c r="T1291" s="127"/>
      <c r="U1291" s="127"/>
      <c r="V1291" s="127"/>
      <c r="W1291" s="127"/>
      <c r="X1291" s="127"/>
      <c r="Y1291" s="127"/>
      <c r="Z1291" s="140"/>
    </row>
    <row r="1292" spans="1:26" s="149" customFormat="1" x14ac:dyDescent="0.25">
      <c r="A1292" s="203">
        <f t="shared" si="27"/>
        <v>1291</v>
      </c>
      <c r="B1292" s="128"/>
      <c r="C1292" s="263"/>
      <c r="D1292" s="262"/>
      <c r="E1292" s="128"/>
      <c r="F1292" s="138" t="s">
        <v>1933</v>
      </c>
      <c r="G1292" s="129"/>
      <c r="H1292" s="128"/>
      <c r="I1292" s="132" t="s">
        <v>127</v>
      </c>
      <c r="J1292" s="133">
        <v>13</v>
      </c>
      <c r="K1292" s="129">
        <v>8</v>
      </c>
      <c r="L1292" s="129">
        <v>15</v>
      </c>
      <c r="M1292" s="129" t="s">
        <v>82</v>
      </c>
      <c r="N1292" s="129" t="s">
        <v>83</v>
      </c>
      <c r="O1292" s="139"/>
      <c r="P1292" s="127"/>
      <c r="Q1292" s="127"/>
      <c r="R1292" s="127"/>
      <c r="S1292" s="127"/>
      <c r="T1292" s="127"/>
      <c r="U1292" s="127"/>
      <c r="V1292" s="127"/>
      <c r="W1292" s="127"/>
      <c r="X1292" s="127"/>
      <c r="Y1292" s="127"/>
      <c r="Z1292" s="140"/>
    </row>
    <row r="1293" spans="1:26" s="149" customFormat="1" x14ac:dyDescent="0.25">
      <c r="A1293" s="203">
        <f t="shared" si="27"/>
        <v>1292</v>
      </c>
      <c r="B1293" s="128"/>
      <c r="C1293" s="263"/>
      <c r="D1293" s="262"/>
      <c r="E1293" s="128"/>
      <c r="F1293" s="138" t="s">
        <v>1933</v>
      </c>
      <c r="G1293" s="131"/>
      <c r="H1293" s="128"/>
      <c r="I1293" s="132" t="s">
        <v>127</v>
      </c>
      <c r="J1293" s="133">
        <v>13</v>
      </c>
      <c r="K1293" s="129">
        <v>9</v>
      </c>
      <c r="L1293" s="129">
        <v>13</v>
      </c>
      <c r="M1293" s="129" t="s">
        <v>82</v>
      </c>
      <c r="N1293" s="129" t="s">
        <v>83</v>
      </c>
      <c r="O1293" s="139"/>
      <c r="P1293" s="127"/>
      <c r="Q1293" s="127"/>
      <c r="R1293" s="127"/>
      <c r="S1293" s="127"/>
      <c r="T1293" s="127"/>
      <c r="U1293" s="127"/>
      <c r="V1293" s="127"/>
      <c r="W1293" s="127"/>
      <c r="X1293" s="127"/>
      <c r="Y1293" s="127"/>
      <c r="Z1293" s="140"/>
    </row>
    <row r="1294" spans="1:26" s="149" customFormat="1" x14ac:dyDescent="0.25">
      <c r="A1294" s="203">
        <f t="shared" si="27"/>
        <v>1293</v>
      </c>
      <c r="B1294" s="128"/>
      <c r="C1294" s="263"/>
      <c r="D1294" s="262"/>
      <c r="E1294" s="128"/>
      <c r="F1294" s="138" t="s">
        <v>1933</v>
      </c>
      <c r="G1294" s="131"/>
      <c r="H1294" s="128"/>
      <c r="I1294" s="132" t="s">
        <v>127</v>
      </c>
      <c r="J1294" s="133">
        <v>13</v>
      </c>
      <c r="K1294" s="129">
        <v>9</v>
      </c>
      <c r="L1294" s="129">
        <v>14</v>
      </c>
      <c r="M1294" s="129" t="s">
        <v>82</v>
      </c>
      <c r="N1294" s="129" t="s">
        <v>83</v>
      </c>
      <c r="O1294" s="139"/>
      <c r="P1294" s="127"/>
      <c r="Q1294" s="127"/>
      <c r="R1294" s="127"/>
      <c r="S1294" s="127"/>
      <c r="T1294" s="127"/>
      <c r="U1294" s="127"/>
      <c r="V1294" s="127"/>
      <c r="W1294" s="127"/>
      <c r="X1294" s="127"/>
      <c r="Y1294" s="127"/>
      <c r="Z1294" s="140"/>
    </row>
    <row r="1295" spans="1:26" s="149" customFormat="1" x14ac:dyDescent="0.25">
      <c r="A1295" s="203">
        <f t="shared" si="27"/>
        <v>1294</v>
      </c>
      <c r="B1295" s="128" t="s">
        <v>1321</v>
      </c>
      <c r="C1295" s="263"/>
      <c r="D1295" s="262"/>
      <c r="E1295" s="128"/>
      <c r="F1295" s="138"/>
      <c r="G1295" s="131"/>
      <c r="H1295" s="128"/>
      <c r="I1295" s="132" t="s">
        <v>127</v>
      </c>
      <c r="J1295" s="133">
        <v>13</v>
      </c>
      <c r="K1295" s="129">
        <v>9</v>
      </c>
      <c r="L1295" s="129">
        <v>15</v>
      </c>
      <c r="M1295" s="129" t="s">
        <v>82</v>
      </c>
      <c r="N1295" s="129" t="s">
        <v>83</v>
      </c>
      <c r="O1295" s="139"/>
      <c r="P1295" s="127"/>
      <c r="Q1295" s="127"/>
      <c r="R1295" s="127"/>
      <c r="S1295" s="127"/>
      <c r="T1295" s="127"/>
      <c r="U1295" s="127"/>
      <c r="V1295" s="127"/>
      <c r="W1295" s="127"/>
      <c r="X1295" s="127"/>
      <c r="Y1295" s="127"/>
      <c r="Z1295" s="140"/>
    </row>
    <row r="1296" spans="1:26" s="149" customFormat="1" x14ac:dyDescent="0.25">
      <c r="A1296" s="203">
        <f t="shared" si="27"/>
        <v>1295</v>
      </c>
      <c r="B1296" s="128"/>
      <c r="C1296" s="263"/>
      <c r="D1296" s="262"/>
      <c r="E1296" s="128"/>
      <c r="F1296" s="138" t="s">
        <v>1933</v>
      </c>
      <c r="G1296" s="131"/>
      <c r="H1296" s="128"/>
      <c r="I1296" s="132" t="s">
        <v>127</v>
      </c>
      <c r="J1296" s="133">
        <v>13</v>
      </c>
      <c r="K1296" s="129">
        <v>10</v>
      </c>
      <c r="L1296" s="129">
        <v>2</v>
      </c>
      <c r="M1296" s="129" t="s">
        <v>658</v>
      </c>
      <c r="N1296" s="129" t="s">
        <v>659</v>
      </c>
      <c r="O1296" s="139"/>
      <c r="P1296" s="127"/>
      <c r="Q1296" s="127"/>
      <c r="R1296" s="127"/>
      <c r="S1296" s="127"/>
      <c r="T1296" s="127"/>
      <c r="U1296" s="127"/>
      <c r="V1296" s="127"/>
      <c r="W1296" s="127"/>
      <c r="X1296" s="127"/>
      <c r="Y1296" s="127"/>
      <c r="Z1296" s="140"/>
    </row>
    <row r="1297" spans="1:26" s="149" customFormat="1" x14ac:dyDescent="0.25">
      <c r="A1297" s="203">
        <f t="shared" si="27"/>
        <v>1296</v>
      </c>
      <c r="B1297" s="128"/>
      <c r="C1297" s="263"/>
      <c r="D1297" s="262"/>
      <c r="E1297" s="128"/>
      <c r="F1297" s="138" t="s">
        <v>1933</v>
      </c>
      <c r="G1297" s="131"/>
      <c r="H1297" s="128"/>
      <c r="I1297" s="132" t="s">
        <v>127</v>
      </c>
      <c r="J1297" s="133">
        <v>13</v>
      </c>
      <c r="K1297" s="129">
        <v>10</v>
      </c>
      <c r="L1297" s="129">
        <v>3</v>
      </c>
      <c r="M1297" s="129" t="s">
        <v>658</v>
      </c>
      <c r="N1297" s="129" t="s">
        <v>659</v>
      </c>
      <c r="O1297" s="139"/>
      <c r="P1297" s="127"/>
      <c r="Q1297" s="127"/>
      <c r="R1297" s="127"/>
      <c r="S1297" s="127"/>
      <c r="T1297" s="127"/>
      <c r="U1297" s="127"/>
      <c r="V1297" s="127"/>
      <c r="W1297" s="127"/>
      <c r="X1297" s="127"/>
      <c r="Y1297" s="127"/>
      <c r="Z1297" s="140"/>
    </row>
    <row r="1298" spans="1:26" s="149" customFormat="1" x14ac:dyDescent="0.25">
      <c r="A1298" s="203">
        <f t="shared" si="27"/>
        <v>1297</v>
      </c>
      <c r="B1298" s="128"/>
      <c r="C1298" s="263"/>
      <c r="D1298" s="262"/>
      <c r="E1298" s="128"/>
      <c r="F1298" s="138" t="s">
        <v>1933</v>
      </c>
      <c r="G1298" s="131"/>
      <c r="H1298" s="128"/>
      <c r="I1298" s="132" t="s">
        <v>127</v>
      </c>
      <c r="J1298" s="133">
        <v>13</v>
      </c>
      <c r="K1298" s="129">
        <v>10</v>
      </c>
      <c r="L1298" s="129">
        <v>4</v>
      </c>
      <c r="M1298" s="129" t="s">
        <v>658</v>
      </c>
      <c r="N1298" s="129" t="s">
        <v>659</v>
      </c>
      <c r="O1298" s="139"/>
      <c r="P1298" s="127"/>
      <c r="Q1298" s="127"/>
      <c r="R1298" s="127"/>
      <c r="S1298" s="127"/>
      <c r="T1298" s="127"/>
      <c r="U1298" s="127"/>
      <c r="V1298" s="127"/>
      <c r="W1298" s="127"/>
      <c r="X1298" s="127"/>
      <c r="Y1298" s="127"/>
      <c r="Z1298" s="140"/>
    </row>
    <row r="1299" spans="1:26" x14ac:dyDescent="0.25">
      <c r="A1299" s="203">
        <f t="shared" si="27"/>
        <v>1298</v>
      </c>
      <c r="B1299" s="128"/>
      <c r="C1299" s="263"/>
      <c r="D1299" s="262"/>
      <c r="E1299" s="128"/>
      <c r="F1299" s="138" t="s">
        <v>1933</v>
      </c>
      <c r="G1299" s="131"/>
      <c r="H1299" s="128"/>
      <c r="I1299" s="132" t="s">
        <v>127</v>
      </c>
      <c r="J1299" s="133">
        <v>13</v>
      </c>
      <c r="K1299" s="129">
        <v>10</v>
      </c>
      <c r="L1299" s="129">
        <v>5</v>
      </c>
      <c r="M1299" s="129" t="s">
        <v>658</v>
      </c>
      <c r="N1299" s="129" t="s">
        <v>659</v>
      </c>
      <c r="O1299" s="139"/>
      <c r="P1299" s="127"/>
      <c r="Q1299" s="127"/>
      <c r="R1299" s="127"/>
      <c r="S1299" s="127"/>
      <c r="T1299" s="127"/>
      <c r="U1299" s="127"/>
      <c r="V1299" s="127"/>
      <c r="W1299" s="127"/>
      <c r="X1299" s="127"/>
      <c r="Y1299" s="127"/>
      <c r="Z1299" s="140"/>
    </row>
    <row r="1300" spans="1:26" x14ac:dyDescent="0.25">
      <c r="A1300" s="203">
        <f t="shared" si="27"/>
        <v>1299</v>
      </c>
      <c r="B1300" s="128"/>
      <c r="C1300" s="263"/>
      <c r="D1300" s="262"/>
      <c r="E1300" s="128"/>
      <c r="F1300" s="138" t="s">
        <v>1933</v>
      </c>
      <c r="G1300" s="131"/>
      <c r="H1300" s="128"/>
      <c r="I1300" s="132" t="s">
        <v>127</v>
      </c>
      <c r="J1300" s="133">
        <v>13</v>
      </c>
      <c r="K1300" s="129">
        <v>10</v>
      </c>
      <c r="L1300" s="129">
        <v>6</v>
      </c>
      <c r="M1300" s="129" t="s">
        <v>658</v>
      </c>
      <c r="N1300" s="129" t="s">
        <v>659</v>
      </c>
      <c r="O1300" s="139"/>
      <c r="P1300" s="127"/>
      <c r="Q1300" s="127"/>
      <c r="R1300" s="127"/>
      <c r="S1300" s="127"/>
      <c r="T1300" s="127"/>
      <c r="U1300" s="127"/>
      <c r="V1300" s="127"/>
      <c r="W1300" s="127"/>
      <c r="X1300" s="127"/>
      <c r="Y1300" s="127"/>
      <c r="Z1300" s="140"/>
    </row>
    <row r="1301" spans="1:26" x14ac:dyDescent="0.25">
      <c r="A1301" s="203">
        <f t="shared" si="27"/>
        <v>1300</v>
      </c>
      <c r="B1301" s="128"/>
      <c r="C1301" s="263"/>
      <c r="D1301" s="262"/>
      <c r="E1301" s="128"/>
      <c r="F1301" s="138" t="s">
        <v>1933</v>
      </c>
      <c r="G1301" s="131"/>
      <c r="H1301" s="128"/>
      <c r="I1301" s="132" t="s">
        <v>127</v>
      </c>
      <c r="J1301" s="133">
        <v>13</v>
      </c>
      <c r="K1301" s="129">
        <v>10</v>
      </c>
      <c r="L1301" s="129">
        <v>7</v>
      </c>
      <c r="M1301" s="129" t="s">
        <v>658</v>
      </c>
      <c r="N1301" s="129" t="s">
        <v>659</v>
      </c>
      <c r="O1301" s="139"/>
      <c r="P1301" s="127"/>
      <c r="Q1301" s="127"/>
      <c r="R1301" s="127"/>
      <c r="S1301" s="127"/>
      <c r="T1301" s="127"/>
      <c r="U1301" s="127"/>
      <c r="V1301" s="127"/>
      <c r="W1301" s="127"/>
      <c r="X1301" s="127"/>
      <c r="Y1301" s="127"/>
      <c r="Z1301" s="140"/>
    </row>
    <row r="1302" spans="1:26" x14ac:dyDescent="0.25">
      <c r="A1302" s="203">
        <f t="shared" si="27"/>
        <v>1301</v>
      </c>
      <c r="B1302" s="128"/>
      <c r="C1302" s="263"/>
      <c r="D1302" s="264"/>
      <c r="E1302" s="133"/>
      <c r="F1302" s="141" t="s">
        <v>1933</v>
      </c>
      <c r="G1302" s="142"/>
      <c r="H1302" s="133"/>
      <c r="I1302" s="132" t="s">
        <v>137</v>
      </c>
      <c r="J1302" s="133">
        <v>14</v>
      </c>
      <c r="K1302" s="128">
        <v>1</v>
      </c>
      <c r="L1302" s="128">
        <v>6</v>
      </c>
      <c r="M1302" s="128" t="s">
        <v>138</v>
      </c>
      <c r="N1302" s="128" t="s">
        <v>139</v>
      </c>
      <c r="O1302" s="139"/>
      <c r="P1302" s="127"/>
      <c r="Q1302" s="127"/>
      <c r="R1302" s="127"/>
      <c r="S1302" s="127"/>
      <c r="T1302" s="127"/>
      <c r="U1302" s="127"/>
      <c r="V1302" s="127"/>
      <c r="W1302" s="127"/>
      <c r="X1302" s="127"/>
      <c r="Y1302" s="127"/>
      <c r="Z1302" s="140"/>
    </row>
    <row r="1303" spans="1:26" x14ac:dyDescent="0.25">
      <c r="A1303" s="203">
        <f t="shared" si="27"/>
        <v>1302</v>
      </c>
      <c r="B1303" s="128"/>
      <c r="C1303" s="263"/>
      <c r="D1303" s="264"/>
      <c r="E1303" s="133"/>
      <c r="F1303" s="141" t="s">
        <v>1933</v>
      </c>
      <c r="G1303" s="142"/>
      <c r="H1303" s="133"/>
      <c r="I1303" s="132" t="s">
        <v>137</v>
      </c>
      <c r="J1303" s="133">
        <v>14</v>
      </c>
      <c r="K1303" s="128">
        <v>1</v>
      </c>
      <c r="L1303" s="128">
        <v>7</v>
      </c>
      <c r="M1303" s="128" t="s">
        <v>138</v>
      </c>
      <c r="N1303" s="128" t="s">
        <v>139</v>
      </c>
      <c r="O1303" s="139"/>
      <c r="P1303" s="127"/>
      <c r="Q1303" s="127"/>
      <c r="R1303" s="127"/>
      <c r="S1303" s="127"/>
      <c r="T1303" s="127"/>
      <c r="U1303" s="127"/>
      <c r="V1303" s="127"/>
      <c r="W1303" s="127"/>
      <c r="X1303" s="127"/>
      <c r="Y1303" s="127"/>
      <c r="Z1303" s="140"/>
    </row>
    <row r="1304" spans="1:26" x14ac:dyDescent="0.25">
      <c r="A1304" s="203">
        <f t="shared" si="27"/>
        <v>1303</v>
      </c>
      <c r="B1304" s="128"/>
      <c r="C1304" s="263"/>
      <c r="D1304" s="262"/>
      <c r="E1304" s="128"/>
      <c r="F1304" s="138" t="s">
        <v>1933</v>
      </c>
      <c r="G1304" s="131"/>
      <c r="H1304" s="128"/>
      <c r="I1304" s="132" t="s">
        <v>137</v>
      </c>
      <c r="J1304" s="133">
        <v>14</v>
      </c>
      <c r="K1304" s="129">
        <v>2</v>
      </c>
      <c r="L1304" s="129">
        <v>4</v>
      </c>
      <c r="M1304" s="129" t="s">
        <v>138</v>
      </c>
      <c r="N1304" s="129" t="s">
        <v>139</v>
      </c>
      <c r="O1304" s="139"/>
      <c r="P1304" s="127"/>
      <c r="Q1304" s="127"/>
      <c r="R1304" s="127"/>
      <c r="S1304" s="127"/>
      <c r="T1304" s="127"/>
      <c r="U1304" s="127"/>
      <c r="V1304" s="127"/>
      <c r="W1304" s="127"/>
      <c r="X1304" s="127"/>
      <c r="Y1304" s="127"/>
      <c r="Z1304" s="140"/>
    </row>
    <row r="1305" spans="1:26" x14ac:dyDescent="0.25">
      <c r="A1305" s="203">
        <f t="shared" si="27"/>
        <v>1304</v>
      </c>
      <c r="B1305" s="128"/>
      <c r="C1305" s="263"/>
      <c r="D1305" s="262"/>
      <c r="E1305" s="128"/>
      <c r="F1305" s="138" t="s">
        <v>1933</v>
      </c>
      <c r="G1305" s="131"/>
      <c r="H1305" s="128"/>
      <c r="I1305" s="132" t="s">
        <v>137</v>
      </c>
      <c r="J1305" s="133">
        <v>14</v>
      </c>
      <c r="K1305" s="129">
        <v>2</v>
      </c>
      <c r="L1305" s="129">
        <v>5</v>
      </c>
      <c r="M1305" s="129" t="s">
        <v>138</v>
      </c>
      <c r="N1305" s="129" t="s">
        <v>139</v>
      </c>
      <c r="O1305" s="139"/>
      <c r="P1305" s="127"/>
      <c r="Q1305" s="127"/>
      <c r="R1305" s="127"/>
      <c r="S1305" s="127"/>
      <c r="T1305" s="127"/>
      <c r="U1305" s="127"/>
      <c r="V1305" s="127"/>
      <c r="W1305" s="127"/>
      <c r="X1305" s="127"/>
      <c r="Y1305" s="127"/>
      <c r="Z1305" s="140"/>
    </row>
    <row r="1306" spans="1:26" s="149" customFormat="1" x14ac:dyDescent="0.25">
      <c r="A1306" s="203">
        <f t="shared" si="27"/>
        <v>1305</v>
      </c>
      <c r="B1306" s="128"/>
      <c r="C1306" s="263"/>
      <c r="D1306" s="262"/>
      <c r="E1306" s="128"/>
      <c r="F1306" s="138" t="s">
        <v>1933</v>
      </c>
      <c r="G1306" s="131"/>
      <c r="H1306" s="128"/>
      <c r="I1306" s="132" t="s">
        <v>137</v>
      </c>
      <c r="J1306" s="133">
        <v>14</v>
      </c>
      <c r="K1306" s="129">
        <v>2</v>
      </c>
      <c r="L1306" s="129">
        <v>6</v>
      </c>
      <c r="M1306" s="129" t="s">
        <v>138</v>
      </c>
      <c r="N1306" s="129" t="s">
        <v>139</v>
      </c>
      <c r="O1306" s="139"/>
      <c r="P1306" s="127"/>
      <c r="Q1306" s="127"/>
      <c r="R1306" s="127"/>
      <c r="S1306" s="127"/>
      <c r="T1306" s="127"/>
      <c r="U1306" s="127"/>
      <c r="V1306" s="127"/>
      <c r="W1306" s="127"/>
      <c r="X1306" s="127"/>
      <c r="Y1306" s="127"/>
      <c r="Z1306" s="140"/>
    </row>
    <row r="1307" spans="1:26" s="149" customFormat="1" x14ac:dyDescent="0.25">
      <c r="A1307" s="203">
        <f t="shared" si="27"/>
        <v>1306</v>
      </c>
      <c r="B1307" s="128"/>
      <c r="C1307" s="263"/>
      <c r="D1307" s="262"/>
      <c r="E1307" s="128"/>
      <c r="F1307" s="138" t="s">
        <v>1933</v>
      </c>
      <c r="G1307" s="131"/>
      <c r="H1307" s="128"/>
      <c r="I1307" s="132" t="s">
        <v>137</v>
      </c>
      <c r="J1307" s="133">
        <v>14</v>
      </c>
      <c r="K1307" s="129">
        <v>2</v>
      </c>
      <c r="L1307" s="129">
        <v>7</v>
      </c>
      <c r="M1307" s="129" t="s">
        <v>138</v>
      </c>
      <c r="N1307" s="129" t="s">
        <v>139</v>
      </c>
      <c r="O1307" s="139"/>
      <c r="P1307" s="127"/>
      <c r="Q1307" s="127"/>
      <c r="R1307" s="127"/>
      <c r="S1307" s="127"/>
      <c r="T1307" s="127"/>
      <c r="U1307" s="127"/>
      <c r="V1307" s="127"/>
      <c r="W1307" s="127"/>
      <c r="X1307" s="127"/>
      <c r="Y1307" s="127"/>
      <c r="Z1307" s="140"/>
    </row>
    <row r="1308" spans="1:26" x14ac:dyDescent="0.25">
      <c r="A1308" s="203">
        <f t="shared" si="27"/>
        <v>1307</v>
      </c>
      <c r="B1308" s="128"/>
      <c r="C1308" s="263"/>
      <c r="D1308" s="262"/>
      <c r="E1308" s="128"/>
      <c r="F1308" s="138" t="s">
        <v>1933</v>
      </c>
      <c r="G1308" s="131"/>
      <c r="H1308" s="128"/>
      <c r="I1308" s="132" t="s">
        <v>137</v>
      </c>
      <c r="J1308" s="133">
        <v>14</v>
      </c>
      <c r="K1308" s="129">
        <v>3</v>
      </c>
      <c r="L1308" s="129">
        <v>2</v>
      </c>
      <c r="M1308" s="129" t="s">
        <v>944</v>
      </c>
      <c r="N1308" s="129" t="s">
        <v>945</v>
      </c>
      <c r="O1308" s="139"/>
      <c r="P1308" s="127"/>
      <c r="Q1308" s="127"/>
      <c r="R1308" s="127"/>
      <c r="S1308" s="127"/>
      <c r="T1308" s="127"/>
      <c r="U1308" s="127"/>
      <c r="V1308" s="127"/>
      <c r="W1308" s="127"/>
      <c r="X1308" s="127"/>
      <c r="Y1308" s="127"/>
      <c r="Z1308" s="140"/>
    </row>
    <row r="1309" spans="1:26" x14ac:dyDescent="0.25">
      <c r="A1309" s="203">
        <f t="shared" ref="A1309:A1372" si="28">ROW()-1</f>
        <v>1308</v>
      </c>
      <c r="B1309" s="128"/>
      <c r="C1309" s="263"/>
      <c r="D1309" s="262"/>
      <c r="E1309" s="128"/>
      <c r="F1309" s="138" t="s">
        <v>1933</v>
      </c>
      <c r="G1309" s="131"/>
      <c r="H1309" s="128"/>
      <c r="I1309" s="132" t="s">
        <v>137</v>
      </c>
      <c r="J1309" s="133">
        <v>14</v>
      </c>
      <c r="K1309" s="129">
        <v>3</v>
      </c>
      <c r="L1309" s="129">
        <v>3</v>
      </c>
      <c r="M1309" s="129" t="s">
        <v>944</v>
      </c>
      <c r="N1309" s="129" t="s">
        <v>945</v>
      </c>
      <c r="O1309" s="139"/>
      <c r="P1309" s="127"/>
      <c r="Q1309" s="127"/>
      <c r="R1309" s="127"/>
      <c r="S1309" s="127"/>
      <c r="T1309" s="127"/>
      <c r="U1309" s="127"/>
      <c r="V1309" s="127"/>
      <c r="W1309" s="127"/>
      <c r="X1309" s="127"/>
      <c r="Y1309" s="127"/>
      <c r="Z1309" s="140"/>
    </row>
    <row r="1310" spans="1:26" x14ac:dyDescent="0.25">
      <c r="A1310" s="203">
        <f t="shared" si="28"/>
        <v>1309</v>
      </c>
      <c r="B1310" s="128"/>
      <c r="C1310" s="263"/>
      <c r="D1310" s="262"/>
      <c r="E1310" s="128"/>
      <c r="F1310" s="138" t="s">
        <v>1933</v>
      </c>
      <c r="G1310" s="131"/>
      <c r="H1310" s="128"/>
      <c r="I1310" s="132" t="s">
        <v>137</v>
      </c>
      <c r="J1310" s="133">
        <v>14</v>
      </c>
      <c r="K1310" s="129">
        <v>3</v>
      </c>
      <c r="L1310" s="129">
        <v>4</v>
      </c>
      <c r="M1310" s="129" t="s">
        <v>944</v>
      </c>
      <c r="N1310" s="129" t="s">
        <v>945</v>
      </c>
      <c r="O1310" s="139"/>
      <c r="P1310" s="127"/>
      <c r="Q1310" s="127"/>
      <c r="R1310" s="127"/>
      <c r="S1310" s="127"/>
      <c r="T1310" s="127"/>
      <c r="U1310" s="127"/>
      <c r="V1310" s="127"/>
      <c r="W1310" s="127"/>
      <c r="X1310" s="127"/>
      <c r="Y1310" s="127"/>
      <c r="Z1310" s="140"/>
    </row>
    <row r="1311" spans="1:26" x14ac:dyDescent="0.25">
      <c r="A1311" s="203">
        <f t="shared" si="28"/>
        <v>1310</v>
      </c>
      <c r="B1311" s="128"/>
      <c r="C1311" s="263"/>
      <c r="D1311" s="262"/>
      <c r="E1311" s="128"/>
      <c r="F1311" s="138" t="s">
        <v>1933</v>
      </c>
      <c r="G1311" s="131"/>
      <c r="H1311" s="128"/>
      <c r="I1311" s="132" t="s">
        <v>137</v>
      </c>
      <c r="J1311" s="133">
        <v>14</v>
      </c>
      <c r="K1311" s="129">
        <v>3</v>
      </c>
      <c r="L1311" s="129">
        <v>5</v>
      </c>
      <c r="M1311" s="129" t="s">
        <v>944</v>
      </c>
      <c r="N1311" s="129" t="s">
        <v>945</v>
      </c>
      <c r="O1311" s="139"/>
      <c r="P1311" s="127"/>
      <c r="Q1311" s="127"/>
      <c r="R1311" s="127"/>
      <c r="S1311" s="127"/>
      <c r="T1311" s="127"/>
      <c r="U1311" s="127"/>
      <c r="V1311" s="127"/>
      <c r="W1311" s="127"/>
      <c r="X1311" s="127"/>
      <c r="Y1311" s="127"/>
      <c r="Z1311" s="140"/>
    </row>
    <row r="1312" spans="1:26" x14ac:dyDescent="0.25">
      <c r="A1312" s="203">
        <f t="shared" si="28"/>
        <v>1311</v>
      </c>
      <c r="B1312" s="128"/>
      <c r="C1312" s="263"/>
      <c r="D1312" s="262"/>
      <c r="E1312" s="128"/>
      <c r="F1312" s="138" t="s">
        <v>1933</v>
      </c>
      <c r="G1312" s="131"/>
      <c r="H1312" s="128"/>
      <c r="I1312" s="132" t="s">
        <v>137</v>
      </c>
      <c r="J1312" s="133">
        <v>14</v>
      </c>
      <c r="K1312" s="129">
        <v>3</v>
      </c>
      <c r="L1312" s="129">
        <v>6</v>
      </c>
      <c r="M1312" s="129" t="s">
        <v>944</v>
      </c>
      <c r="N1312" s="129" t="s">
        <v>945</v>
      </c>
      <c r="O1312" s="139"/>
      <c r="P1312" s="127"/>
      <c r="Q1312" s="127"/>
      <c r="R1312" s="127"/>
      <c r="S1312" s="127"/>
      <c r="T1312" s="127"/>
      <c r="U1312" s="127"/>
      <c r="V1312" s="127"/>
      <c r="W1312" s="127"/>
      <c r="X1312" s="127"/>
      <c r="Y1312" s="127"/>
      <c r="Z1312" s="140"/>
    </row>
    <row r="1313" spans="1:26" x14ac:dyDescent="0.25">
      <c r="A1313" s="203">
        <f t="shared" si="28"/>
        <v>1312</v>
      </c>
      <c r="B1313" s="128"/>
      <c r="C1313" s="263"/>
      <c r="D1313" s="262"/>
      <c r="E1313" s="128"/>
      <c r="F1313" s="138" t="s">
        <v>1933</v>
      </c>
      <c r="G1313" s="131"/>
      <c r="H1313" s="128"/>
      <c r="I1313" s="132" t="s">
        <v>137</v>
      </c>
      <c r="J1313" s="133">
        <v>14</v>
      </c>
      <c r="K1313" s="129">
        <v>3</v>
      </c>
      <c r="L1313" s="129">
        <v>7</v>
      </c>
      <c r="M1313" s="129" t="s">
        <v>944</v>
      </c>
      <c r="N1313" s="129" t="s">
        <v>945</v>
      </c>
      <c r="O1313" s="139"/>
      <c r="P1313" s="127"/>
      <c r="Q1313" s="127"/>
      <c r="R1313" s="127"/>
      <c r="S1313" s="127"/>
      <c r="T1313" s="127"/>
      <c r="U1313" s="127"/>
      <c r="V1313" s="127"/>
      <c r="W1313" s="127"/>
      <c r="X1313" s="127"/>
      <c r="Y1313" s="127"/>
      <c r="Z1313" s="140"/>
    </row>
    <row r="1314" spans="1:26" s="149" customFormat="1" x14ac:dyDescent="0.25">
      <c r="A1314" s="203">
        <f t="shared" si="28"/>
        <v>1313</v>
      </c>
      <c r="B1314" s="128" t="s">
        <v>1418</v>
      </c>
      <c r="C1314" s="263"/>
      <c r="D1314" s="262"/>
      <c r="E1314" s="128"/>
      <c r="F1314" s="141" t="s">
        <v>1933</v>
      </c>
      <c r="G1314" s="131"/>
      <c r="H1314" s="128"/>
      <c r="I1314" s="132" t="s">
        <v>137</v>
      </c>
      <c r="J1314" s="133">
        <v>14</v>
      </c>
      <c r="K1314" s="129">
        <v>4</v>
      </c>
      <c r="L1314" s="129">
        <v>3</v>
      </c>
      <c r="M1314" s="129" t="s">
        <v>31</v>
      </c>
      <c r="N1314" s="129" t="s">
        <v>32</v>
      </c>
      <c r="O1314" s="139"/>
      <c r="P1314" s="127"/>
      <c r="Q1314" s="127"/>
      <c r="R1314" s="127"/>
      <c r="S1314" s="127"/>
      <c r="T1314" s="127"/>
      <c r="U1314" s="127"/>
      <c r="V1314" s="127"/>
      <c r="W1314" s="127"/>
      <c r="X1314" s="127"/>
      <c r="Y1314" s="127"/>
      <c r="Z1314" s="140"/>
    </row>
    <row r="1315" spans="1:26" s="149" customFormat="1" x14ac:dyDescent="0.25">
      <c r="A1315" s="203">
        <f t="shared" si="28"/>
        <v>1314</v>
      </c>
      <c r="B1315" s="128" t="s">
        <v>1421</v>
      </c>
      <c r="C1315" s="263"/>
      <c r="D1315" s="262"/>
      <c r="E1315" s="128"/>
      <c r="F1315" s="141" t="s">
        <v>1933</v>
      </c>
      <c r="G1315" s="131"/>
      <c r="H1315" s="128"/>
      <c r="I1315" s="132" t="s">
        <v>137</v>
      </c>
      <c r="J1315" s="133">
        <v>14</v>
      </c>
      <c r="K1315" s="129">
        <v>4</v>
      </c>
      <c r="L1315" s="129">
        <v>4</v>
      </c>
      <c r="M1315" s="129" t="s">
        <v>31</v>
      </c>
      <c r="N1315" s="129" t="s">
        <v>32</v>
      </c>
      <c r="O1315" s="139"/>
      <c r="P1315" s="127"/>
      <c r="Q1315" s="127"/>
      <c r="R1315" s="127"/>
      <c r="S1315" s="127"/>
      <c r="T1315" s="127"/>
      <c r="U1315" s="127"/>
      <c r="V1315" s="127"/>
      <c r="W1315" s="127"/>
      <c r="X1315" s="127"/>
      <c r="Y1315" s="127"/>
      <c r="Z1315" s="140"/>
    </row>
    <row r="1316" spans="1:26" x14ac:dyDescent="0.25">
      <c r="A1316" s="203">
        <f t="shared" si="28"/>
        <v>1315</v>
      </c>
      <c r="B1316" s="128"/>
      <c r="C1316" s="263"/>
      <c r="D1316" s="264"/>
      <c r="E1316" s="133"/>
      <c r="F1316" s="141" t="s">
        <v>1933</v>
      </c>
      <c r="G1316" s="142"/>
      <c r="H1316" s="133"/>
      <c r="I1316" s="132" t="s">
        <v>137</v>
      </c>
      <c r="J1316" s="133">
        <v>14</v>
      </c>
      <c r="K1316" s="129">
        <v>4</v>
      </c>
      <c r="L1316" s="129">
        <v>5</v>
      </c>
      <c r="M1316" s="129" t="s">
        <v>31</v>
      </c>
      <c r="N1316" s="129" t="s">
        <v>32</v>
      </c>
      <c r="O1316" s="139"/>
      <c r="P1316" s="127"/>
      <c r="Q1316" s="127"/>
      <c r="R1316" s="127"/>
      <c r="S1316" s="127"/>
      <c r="T1316" s="127"/>
      <c r="U1316" s="127"/>
      <c r="V1316" s="127"/>
      <c r="W1316" s="127"/>
      <c r="X1316" s="127"/>
      <c r="Y1316" s="127"/>
      <c r="Z1316" s="140"/>
    </row>
    <row r="1317" spans="1:26" x14ac:dyDescent="0.25">
      <c r="A1317" s="203">
        <f t="shared" si="28"/>
        <v>1316</v>
      </c>
      <c r="B1317" s="128" t="s">
        <v>1407</v>
      </c>
      <c r="C1317" s="263"/>
      <c r="D1317" s="262"/>
      <c r="E1317" s="128"/>
      <c r="F1317" s="138" t="s">
        <v>1933</v>
      </c>
      <c r="G1317" s="131"/>
      <c r="H1317" s="128"/>
      <c r="I1317" s="132" t="s">
        <v>137</v>
      </c>
      <c r="J1317" s="133">
        <v>14</v>
      </c>
      <c r="K1317" s="129">
        <v>4</v>
      </c>
      <c r="L1317" s="129">
        <v>9</v>
      </c>
      <c r="M1317" s="129" t="s">
        <v>31</v>
      </c>
      <c r="N1317" s="129" t="s">
        <v>32</v>
      </c>
      <c r="O1317" s="139"/>
      <c r="P1317" s="127"/>
      <c r="Q1317" s="127"/>
      <c r="R1317" s="127"/>
      <c r="S1317" s="127"/>
      <c r="T1317" s="127"/>
      <c r="U1317" s="127"/>
      <c r="V1317" s="127"/>
      <c r="W1317" s="127"/>
      <c r="X1317" s="127"/>
      <c r="Y1317" s="127"/>
      <c r="Z1317" s="140"/>
    </row>
    <row r="1318" spans="1:26" x14ac:dyDescent="0.25">
      <c r="A1318" s="203">
        <f t="shared" si="28"/>
        <v>1317</v>
      </c>
      <c r="B1318" s="128" t="s">
        <v>1409</v>
      </c>
      <c r="C1318" s="263"/>
      <c r="D1318" s="262"/>
      <c r="E1318" s="128"/>
      <c r="F1318" s="138" t="s">
        <v>1933</v>
      </c>
      <c r="G1318" s="131"/>
      <c r="H1318" s="128"/>
      <c r="I1318" s="132" t="s">
        <v>137</v>
      </c>
      <c r="J1318" s="133">
        <v>14</v>
      </c>
      <c r="K1318" s="129">
        <v>4</v>
      </c>
      <c r="L1318" s="129">
        <v>10</v>
      </c>
      <c r="M1318" s="129" t="s">
        <v>31</v>
      </c>
      <c r="N1318" s="129" t="s">
        <v>32</v>
      </c>
      <c r="O1318" s="139"/>
      <c r="P1318" s="127"/>
      <c r="Q1318" s="127"/>
      <c r="R1318" s="127"/>
      <c r="S1318" s="127"/>
      <c r="T1318" s="127"/>
      <c r="U1318" s="127"/>
      <c r="V1318" s="127"/>
      <c r="W1318" s="127"/>
      <c r="X1318" s="127"/>
      <c r="Y1318" s="127"/>
      <c r="Z1318" s="140"/>
    </row>
    <row r="1319" spans="1:26" s="149" customFormat="1" x14ac:dyDescent="0.25">
      <c r="A1319" s="203">
        <f t="shared" si="28"/>
        <v>1318</v>
      </c>
      <c r="B1319" s="128"/>
      <c r="C1319" s="263"/>
      <c r="D1319" s="262"/>
      <c r="E1319" s="128"/>
      <c r="F1319" s="138" t="s">
        <v>1933</v>
      </c>
      <c r="G1319" s="131"/>
      <c r="H1319" s="128"/>
      <c r="I1319" s="132" t="s">
        <v>137</v>
      </c>
      <c r="J1319" s="133">
        <v>14</v>
      </c>
      <c r="K1319" s="129">
        <v>4</v>
      </c>
      <c r="L1319" s="129">
        <v>11</v>
      </c>
      <c r="M1319" s="129" t="s">
        <v>31</v>
      </c>
      <c r="N1319" s="129" t="s">
        <v>32</v>
      </c>
      <c r="O1319" s="139"/>
      <c r="P1319" s="127"/>
      <c r="Q1319" s="127"/>
      <c r="R1319" s="127"/>
      <c r="S1319" s="127"/>
      <c r="T1319" s="127"/>
      <c r="U1319" s="127"/>
      <c r="V1319" s="127"/>
      <c r="W1319" s="127"/>
      <c r="X1319" s="127"/>
      <c r="Y1319" s="127"/>
      <c r="Z1319" s="140"/>
    </row>
    <row r="1320" spans="1:26" s="149" customFormat="1" x14ac:dyDescent="0.25">
      <c r="A1320" s="203">
        <f t="shared" si="28"/>
        <v>1319</v>
      </c>
      <c r="B1320" s="128"/>
      <c r="C1320" s="263"/>
      <c r="D1320" s="264"/>
      <c r="E1320" s="128"/>
      <c r="F1320" s="141" t="s">
        <v>1933</v>
      </c>
      <c r="G1320" s="142"/>
      <c r="H1320" s="133"/>
      <c r="I1320" s="132" t="s">
        <v>137</v>
      </c>
      <c r="J1320" s="133">
        <v>14</v>
      </c>
      <c r="K1320" s="129">
        <v>4</v>
      </c>
      <c r="L1320" s="129">
        <v>12</v>
      </c>
      <c r="M1320" s="129" t="s">
        <v>31</v>
      </c>
      <c r="N1320" s="129" t="s">
        <v>32</v>
      </c>
      <c r="O1320" s="139"/>
      <c r="P1320" s="127"/>
      <c r="Q1320" s="127"/>
      <c r="R1320" s="127"/>
      <c r="S1320" s="127"/>
      <c r="T1320" s="127"/>
      <c r="U1320" s="127"/>
      <c r="V1320" s="127"/>
      <c r="W1320" s="127"/>
      <c r="X1320" s="127"/>
      <c r="Y1320" s="127"/>
      <c r="Z1320" s="140"/>
    </row>
    <row r="1321" spans="1:26" s="149" customFormat="1" x14ac:dyDescent="0.25">
      <c r="A1321" s="203">
        <f t="shared" si="28"/>
        <v>1320</v>
      </c>
      <c r="B1321" s="128"/>
      <c r="C1321" s="263"/>
      <c r="D1321" s="264"/>
      <c r="E1321" s="128"/>
      <c r="F1321" s="141" t="s">
        <v>1933</v>
      </c>
      <c r="G1321" s="142"/>
      <c r="H1321" s="133"/>
      <c r="I1321" s="132" t="s">
        <v>137</v>
      </c>
      <c r="J1321" s="133">
        <v>14</v>
      </c>
      <c r="K1321" s="129">
        <v>4</v>
      </c>
      <c r="L1321" s="129">
        <v>13</v>
      </c>
      <c r="M1321" s="129" t="s">
        <v>31</v>
      </c>
      <c r="N1321" s="129" t="s">
        <v>32</v>
      </c>
      <c r="O1321" s="139"/>
      <c r="P1321" s="127"/>
      <c r="Q1321" s="127"/>
      <c r="R1321" s="127"/>
      <c r="S1321" s="127"/>
      <c r="T1321" s="127"/>
      <c r="U1321" s="127"/>
      <c r="V1321" s="127"/>
      <c r="W1321" s="127"/>
      <c r="X1321" s="127"/>
      <c r="Y1321" s="127"/>
      <c r="Z1321" s="140"/>
    </row>
    <row r="1322" spans="1:26" s="149" customFormat="1" x14ac:dyDescent="0.25">
      <c r="A1322" s="203">
        <f t="shared" si="28"/>
        <v>1321</v>
      </c>
      <c r="B1322" s="128"/>
      <c r="C1322" s="263"/>
      <c r="D1322" s="264"/>
      <c r="E1322" s="128"/>
      <c r="F1322" s="141" t="s">
        <v>1933</v>
      </c>
      <c r="G1322" s="142"/>
      <c r="H1322" s="133"/>
      <c r="I1322" s="132" t="s">
        <v>137</v>
      </c>
      <c r="J1322" s="133">
        <v>14</v>
      </c>
      <c r="K1322" s="129">
        <v>4</v>
      </c>
      <c r="L1322" s="129">
        <v>14</v>
      </c>
      <c r="M1322" s="129" t="s">
        <v>31</v>
      </c>
      <c r="N1322" s="129" t="s">
        <v>32</v>
      </c>
      <c r="O1322" s="139"/>
      <c r="P1322" s="127"/>
      <c r="Q1322" s="127"/>
      <c r="R1322" s="127"/>
      <c r="S1322" s="127"/>
      <c r="T1322" s="127"/>
      <c r="U1322" s="127"/>
      <c r="V1322" s="127"/>
      <c r="W1322" s="127"/>
      <c r="X1322" s="127"/>
      <c r="Y1322" s="127"/>
      <c r="Z1322" s="140"/>
    </row>
    <row r="1323" spans="1:26" s="149" customFormat="1" x14ac:dyDescent="0.25">
      <c r="A1323" s="203">
        <f t="shared" si="28"/>
        <v>1322</v>
      </c>
      <c r="B1323" s="128"/>
      <c r="C1323" s="263"/>
      <c r="D1323" s="264"/>
      <c r="E1323" s="128"/>
      <c r="F1323" s="141" t="s">
        <v>1933</v>
      </c>
      <c r="G1323" s="142"/>
      <c r="H1323" s="133"/>
      <c r="I1323" s="132" t="s">
        <v>137</v>
      </c>
      <c r="J1323" s="133">
        <v>14</v>
      </c>
      <c r="K1323" s="129">
        <v>4</v>
      </c>
      <c r="L1323" s="129">
        <v>15</v>
      </c>
      <c r="M1323" s="129" t="s">
        <v>31</v>
      </c>
      <c r="N1323" s="129" t="s">
        <v>32</v>
      </c>
      <c r="O1323" s="139"/>
      <c r="P1323" s="127"/>
      <c r="Q1323" s="127"/>
      <c r="R1323" s="127"/>
      <c r="S1323" s="127"/>
      <c r="T1323" s="127"/>
      <c r="U1323" s="127"/>
      <c r="V1323" s="127"/>
      <c r="W1323" s="127"/>
      <c r="X1323" s="127"/>
      <c r="Y1323" s="127"/>
      <c r="Z1323" s="140"/>
    </row>
    <row r="1324" spans="1:26" x14ac:dyDescent="0.25">
      <c r="A1324" s="203">
        <f t="shared" si="28"/>
        <v>1323</v>
      </c>
      <c r="B1324" s="133" t="s">
        <v>1409</v>
      </c>
      <c r="C1324" s="263"/>
      <c r="D1324" s="264"/>
      <c r="E1324" s="133"/>
      <c r="F1324" s="141" t="s">
        <v>1933</v>
      </c>
      <c r="G1324" s="142"/>
      <c r="H1324" s="133"/>
      <c r="I1324" s="142" t="s">
        <v>137</v>
      </c>
      <c r="J1324" s="133">
        <v>14</v>
      </c>
      <c r="K1324" s="133">
        <v>5</v>
      </c>
      <c r="L1324" s="133">
        <v>10</v>
      </c>
      <c r="M1324" s="133" t="s">
        <v>31</v>
      </c>
      <c r="N1324" s="133" t="s">
        <v>32</v>
      </c>
      <c r="O1324" s="139"/>
      <c r="P1324" s="127"/>
      <c r="Q1324" s="127"/>
      <c r="R1324" s="127"/>
      <c r="S1324" s="127"/>
      <c r="T1324" s="127"/>
      <c r="U1324" s="127"/>
      <c r="V1324" s="127"/>
      <c r="W1324" s="127"/>
      <c r="X1324" s="127"/>
      <c r="Y1324" s="127"/>
      <c r="Z1324" s="140"/>
    </row>
    <row r="1325" spans="1:26" x14ac:dyDescent="0.25">
      <c r="A1325" s="203">
        <f t="shared" si="28"/>
        <v>1324</v>
      </c>
      <c r="B1325" s="133"/>
      <c r="C1325" s="263"/>
      <c r="D1325" s="264"/>
      <c r="E1325" s="133"/>
      <c r="F1325" s="141" t="s">
        <v>1933</v>
      </c>
      <c r="G1325" s="142"/>
      <c r="H1325" s="133"/>
      <c r="I1325" s="142" t="s">
        <v>137</v>
      </c>
      <c r="J1325" s="133">
        <v>14</v>
      </c>
      <c r="K1325" s="133">
        <v>5</v>
      </c>
      <c r="L1325" s="133">
        <v>11</v>
      </c>
      <c r="M1325" s="133" t="s">
        <v>31</v>
      </c>
      <c r="N1325" s="133" t="s">
        <v>32</v>
      </c>
      <c r="O1325" s="139"/>
      <c r="P1325" s="127"/>
      <c r="Q1325" s="127"/>
      <c r="R1325" s="127"/>
      <c r="S1325" s="127"/>
      <c r="T1325" s="127"/>
      <c r="U1325" s="127"/>
      <c r="V1325" s="127"/>
      <c r="W1325" s="127"/>
      <c r="X1325" s="127"/>
      <c r="Y1325" s="127"/>
      <c r="Z1325" s="140"/>
    </row>
    <row r="1326" spans="1:26" x14ac:dyDescent="0.25">
      <c r="A1326" s="203">
        <f t="shared" si="28"/>
        <v>1325</v>
      </c>
      <c r="B1326" s="133"/>
      <c r="C1326" s="263"/>
      <c r="D1326" s="264"/>
      <c r="E1326" s="133"/>
      <c r="F1326" s="141" t="s">
        <v>1933</v>
      </c>
      <c r="G1326" s="142"/>
      <c r="H1326" s="133"/>
      <c r="I1326" s="142" t="s">
        <v>137</v>
      </c>
      <c r="J1326" s="133">
        <v>14</v>
      </c>
      <c r="K1326" s="133">
        <v>5</v>
      </c>
      <c r="L1326" s="133">
        <v>12</v>
      </c>
      <c r="M1326" s="133" t="s">
        <v>31</v>
      </c>
      <c r="N1326" s="133" t="s">
        <v>32</v>
      </c>
      <c r="O1326" s="139"/>
      <c r="P1326" s="127"/>
      <c r="Q1326" s="127"/>
      <c r="R1326" s="127"/>
      <c r="S1326" s="127"/>
      <c r="T1326" s="127"/>
      <c r="U1326" s="127"/>
      <c r="V1326" s="127"/>
      <c r="W1326" s="127"/>
      <c r="X1326" s="127"/>
      <c r="Y1326" s="127"/>
      <c r="Z1326" s="140"/>
    </row>
    <row r="1327" spans="1:26" x14ac:dyDescent="0.25">
      <c r="A1327" s="203">
        <f t="shared" si="28"/>
        <v>1326</v>
      </c>
      <c r="B1327" s="133"/>
      <c r="C1327" s="263"/>
      <c r="D1327" s="264"/>
      <c r="E1327" s="133"/>
      <c r="F1327" s="141" t="s">
        <v>1933</v>
      </c>
      <c r="G1327" s="142"/>
      <c r="H1327" s="133"/>
      <c r="I1327" s="142" t="s">
        <v>137</v>
      </c>
      <c r="J1327" s="133">
        <v>14</v>
      </c>
      <c r="K1327" s="133">
        <v>5</v>
      </c>
      <c r="L1327" s="133">
        <v>13</v>
      </c>
      <c r="M1327" s="133" t="s">
        <v>31</v>
      </c>
      <c r="N1327" s="133" t="s">
        <v>32</v>
      </c>
      <c r="O1327" s="139"/>
      <c r="P1327" s="127"/>
      <c r="Q1327" s="127"/>
      <c r="R1327" s="127"/>
      <c r="S1327" s="127"/>
      <c r="T1327" s="127"/>
      <c r="U1327" s="127"/>
      <c r="V1327" s="127"/>
      <c r="W1327" s="127"/>
      <c r="X1327" s="127"/>
      <c r="Y1327" s="127"/>
      <c r="Z1327" s="140"/>
    </row>
    <row r="1328" spans="1:26" s="149" customFormat="1" x14ac:dyDescent="0.25">
      <c r="A1328" s="203">
        <f t="shared" si="28"/>
        <v>1327</v>
      </c>
      <c r="B1328" s="133"/>
      <c r="C1328" s="263"/>
      <c r="D1328" s="264"/>
      <c r="E1328" s="133"/>
      <c r="F1328" s="141" t="s">
        <v>1933</v>
      </c>
      <c r="G1328" s="142"/>
      <c r="H1328" s="133"/>
      <c r="I1328" s="142" t="s">
        <v>137</v>
      </c>
      <c r="J1328" s="133">
        <v>14</v>
      </c>
      <c r="K1328" s="133">
        <v>5</v>
      </c>
      <c r="L1328" s="133">
        <v>14</v>
      </c>
      <c r="M1328" s="133" t="s">
        <v>31</v>
      </c>
      <c r="N1328" s="133" t="s">
        <v>32</v>
      </c>
      <c r="O1328" s="139"/>
      <c r="P1328" s="127"/>
      <c r="Q1328" s="127"/>
      <c r="R1328" s="127"/>
      <c r="S1328" s="127"/>
      <c r="T1328" s="127"/>
      <c r="U1328" s="127"/>
      <c r="V1328" s="127"/>
      <c r="W1328" s="127"/>
      <c r="X1328" s="127"/>
      <c r="Y1328" s="127"/>
      <c r="Z1328" s="140"/>
    </row>
    <row r="1329" spans="1:26" s="149" customFormat="1" x14ac:dyDescent="0.25">
      <c r="A1329" s="203">
        <f t="shared" si="28"/>
        <v>1328</v>
      </c>
      <c r="B1329" s="133"/>
      <c r="C1329" s="263"/>
      <c r="D1329" s="264"/>
      <c r="E1329" s="133"/>
      <c r="F1329" s="141" t="s">
        <v>1933</v>
      </c>
      <c r="G1329" s="142"/>
      <c r="H1329" s="133"/>
      <c r="I1329" s="142" t="s">
        <v>137</v>
      </c>
      <c r="J1329" s="133">
        <v>14</v>
      </c>
      <c r="K1329" s="133">
        <v>5</v>
      </c>
      <c r="L1329" s="133">
        <v>15</v>
      </c>
      <c r="M1329" s="133" t="s">
        <v>31</v>
      </c>
      <c r="N1329" s="133" t="s">
        <v>32</v>
      </c>
      <c r="O1329" s="139"/>
      <c r="P1329" s="127"/>
      <c r="Q1329" s="127"/>
      <c r="R1329" s="127"/>
      <c r="S1329" s="127"/>
      <c r="T1329" s="127"/>
      <c r="U1329" s="127"/>
      <c r="V1329" s="127"/>
      <c r="W1329" s="127"/>
      <c r="X1329" s="127"/>
      <c r="Y1329" s="127"/>
      <c r="Z1329" s="140"/>
    </row>
    <row r="1330" spans="1:26" s="149" customFormat="1" x14ac:dyDescent="0.25">
      <c r="A1330" s="203">
        <f t="shared" si="28"/>
        <v>1329</v>
      </c>
      <c r="B1330" s="133"/>
      <c r="C1330" s="263"/>
      <c r="D1330" s="264"/>
      <c r="E1330" s="133"/>
      <c r="F1330" s="141" t="s">
        <v>1935</v>
      </c>
      <c r="G1330" s="142"/>
      <c r="H1330" s="133"/>
      <c r="I1330" s="142" t="s">
        <v>137</v>
      </c>
      <c r="J1330" s="133">
        <v>14</v>
      </c>
      <c r="K1330" s="133">
        <v>6</v>
      </c>
      <c r="L1330" s="133">
        <v>0</v>
      </c>
      <c r="M1330" s="133" t="s">
        <v>1936</v>
      </c>
      <c r="N1330" s="133" t="s">
        <v>295</v>
      </c>
      <c r="O1330" s="139"/>
      <c r="P1330" s="127"/>
      <c r="Q1330" s="127"/>
      <c r="R1330" s="127"/>
      <c r="S1330" s="127"/>
      <c r="T1330" s="127"/>
      <c r="U1330" s="127"/>
      <c r="V1330" s="127"/>
      <c r="W1330" s="127"/>
      <c r="X1330" s="127"/>
      <c r="Y1330" s="127"/>
      <c r="Z1330" s="153"/>
    </row>
    <row r="1331" spans="1:26" s="149" customFormat="1" x14ac:dyDescent="0.25">
      <c r="A1331" s="203">
        <f t="shared" si="28"/>
        <v>1330</v>
      </c>
      <c r="B1331" s="128"/>
      <c r="C1331" s="263"/>
      <c r="D1331" s="262"/>
      <c r="E1331" s="128"/>
      <c r="F1331" s="138" t="s">
        <v>1933</v>
      </c>
      <c r="G1331" s="131"/>
      <c r="H1331" s="128"/>
      <c r="I1331" s="132" t="s">
        <v>137</v>
      </c>
      <c r="J1331" s="133">
        <v>14</v>
      </c>
      <c r="K1331" s="129">
        <v>7</v>
      </c>
      <c r="L1331" s="129">
        <v>1</v>
      </c>
      <c r="M1331" s="129" t="s">
        <v>82</v>
      </c>
      <c r="N1331" s="129" t="s">
        <v>83</v>
      </c>
      <c r="O1331" s="139"/>
      <c r="P1331" s="127"/>
      <c r="Q1331" s="127"/>
      <c r="R1331" s="127"/>
      <c r="S1331" s="127"/>
      <c r="T1331" s="127"/>
      <c r="U1331" s="127"/>
      <c r="V1331" s="127"/>
      <c r="W1331" s="127"/>
      <c r="X1331" s="127"/>
      <c r="Y1331" s="127"/>
      <c r="Z1331" s="140"/>
    </row>
    <row r="1332" spans="1:26" x14ac:dyDescent="0.25">
      <c r="A1332" s="203">
        <f t="shared" si="28"/>
        <v>1331</v>
      </c>
      <c r="B1332" s="128"/>
      <c r="C1332" s="263"/>
      <c r="D1332" s="262"/>
      <c r="E1332" s="128"/>
      <c r="F1332" s="138" t="s">
        <v>1933</v>
      </c>
      <c r="G1332" s="131"/>
      <c r="H1332" s="128"/>
      <c r="I1332" s="132" t="s">
        <v>137</v>
      </c>
      <c r="J1332" s="133">
        <v>14</v>
      </c>
      <c r="K1332" s="129">
        <v>7</v>
      </c>
      <c r="L1332" s="129">
        <v>9</v>
      </c>
      <c r="M1332" s="129" t="s">
        <v>82</v>
      </c>
      <c r="N1332" s="129" t="s">
        <v>83</v>
      </c>
      <c r="O1332" s="139"/>
      <c r="P1332" s="127"/>
      <c r="Q1332" s="127"/>
      <c r="R1332" s="127"/>
      <c r="S1332" s="127"/>
      <c r="T1332" s="127"/>
      <c r="U1332" s="127"/>
      <c r="V1332" s="127"/>
      <c r="W1332" s="127"/>
      <c r="X1332" s="127"/>
      <c r="Y1332" s="127"/>
      <c r="Z1332" s="140"/>
    </row>
    <row r="1333" spans="1:26" x14ac:dyDescent="0.25">
      <c r="A1333" s="203">
        <f t="shared" si="28"/>
        <v>1332</v>
      </c>
      <c r="B1333" s="128"/>
      <c r="C1333" s="263"/>
      <c r="D1333" s="262"/>
      <c r="E1333" s="128"/>
      <c r="F1333" s="138" t="s">
        <v>1933</v>
      </c>
      <c r="G1333" s="131"/>
      <c r="H1333" s="128"/>
      <c r="I1333" s="132" t="s">
        <v>137</v>
      </c>
      <c r="J1333" s="133">
        <v>14</v>
      </c>
      <c r="K1333" s="129">
        <v>7</v>
      </c>
      <c r="L1333" s="129">
        <v>10</v>
      </c>
      <c r="M1333" s="129" t="s">
        <v>82</v>
      </c>
      <c r="N1333" s="129" t="s">
        <v>83</v>
      </c>
      <c r="O1333" s="139"/>
      <c r="P1333" s="127"/>
      <c r="Q1333" s="127"/>
      <c r="R1333" s="127"/>
      <c r="S1333" s="127"/>
      <c r="T1333" s="127"/>
      <c r="U1333" s="127"/>
      <c r="V1333" s="127"/>
      <c r="W1333" s="127"/>
      <c r="X1333" s="127"/>
      <c r="Y1333" s="127"/>
      <c r="Z1333" s="140"/>
    </row>
    <row r="1334" spans="1:26" x14ac:dyDescent="0.25">
      <c r="A1334" s="203">
        <f t="shared" si="28"/>
        <v>1333</v>
      </c>
      <c r="B1334" s="128"/>
      <c r="C1334" s="263"/>
      <c r="D1334" s="262"/>
      <c r="E1334" s="128"/>
      <c r="F1334" s="138" t="s">
        <v>1933</v>
      </c>
      <c r="G1334" s="131"/>
      <c r="H1334" s="128"/>
      <c r="I1334" s="132" t="s">
        <v>137</v>
      </c>
      <c r="J1334" s="133">
        <v>14</v>
      </c>
      <c r="K1334" s="129">
        <v>7</v>
      </c>
      <c r="L1334" s="129">
        <v>11</v>
      </c>
      <c r="M1334" s="129" t="s">
        <v>82</v>
      </c>
      <c r="N1334" s="129" t="s">
        <v>83</v>
      </c>
      <c r="O1334" s="139"/>
      <c r="P1334" s="127"/>
      <c r="Q1334" s="127"/>
      <c r="R1334" s="127"/>
      <c r="S1334" s="127"/>
      <c r="T1334" s="127"/>
      <c r="U1334" s="127"/>
      <c r="V1334" s="127"/>
      <c r="W1334" s="127"/>
      <c r="X1334" s="127"/>
      <c r="Y1334" s="127"/>
      <c r="Z1334" s="140"/>
    </row>
    <row r="1335" spans="1:26" x14ac:dyDescent="0.25">
      <c r="A1335" s="203">
        <f t="shared" si="28"/>
        <v>1334</v>
      </c>
      <c r="B1335" s="128"/>
      <c r="C1335" s="263"/>
      <c r="D1335" s="264"/>
      <c r="E1335" s="133"/>
      <c r="F1335" s="141" t="s">
        <v>1933</v>
      </c>
      <c r="G1335" s="142"/>
      <c r="H1335" s="133"/>
      <c r="I1335" s="132" t="s">
        <v>137</v>
      </c>
      <c r="J1335" s="133">
        <v>14</v>
      </c>
      <c r="K1335" s="129">
        <v>8</v>
      </c>
      <c r="L1335" s="129">
        <v>4</v>
      </c>
      <c r="M1335" s="129" t="s">
        <v>658</v>
      </c>
      <c r="N1335" s="129" t="s">
        <v>659</v>
      </c>
      <c r="O1335" s="139"/>
      <c r="P1335" s="127"/>
      <c r="Q1335" s="127"/>
      <c r="R1335" s="127"/>
      <c r="S1335" s="127"/>
      <c r="T1335" s="127"/>
      <c r="U1335" s="127"/>
      <c r="V1335" s="127"/>
      <c r="W1335" s="127"/>
      <c r="X1335" s="127"/>
      <c r="Y1335" s="127"/>
      <c r="Z1335" s="140"/>
    </row>
    <row r="1336" spans="1:26" x14ac:dyDescent="0.25">
      <c r="A1336" s="203">
        <f t="shared" si="28"/>
        <v>1335</v>
      </c>
      <c r="B1336" s="128"/>
      <c r="C1336" s="263"/>
      <c r="D1336" s="264"/>
      <c r="E1336" s="133"/>
      <c r="F1336" s="141" t="s">
        <v>1933</v>
      </c>
      <c r="G1336" s="142"/>
      <c r="H1336" s="133"/>
      <c r="I1336" s="132" t="s">
        <v>137</v>
      </c>
      <c r="J1336" s="133">
        <v>14</v>
      </c>
      <c r="K1336" s="129">
        <v>8</v>
      </c>
      <c r="L1336" s="129">
        <v>5</v>
      </c>
      <c r="M1336" s="129" t="s">
        <v>658</v>
      </c>
      <c r="N1336" s="129" t="s">
        <v>659</v>
      </c>
      <c r="O1336" s="139"/>
      <c r="P1336" s="127"/>
      <c r="Q1336" s="127"/>
      <c r="R1336" s="127"/>
      <c r="S1336" s="127"/>
      <c r="T1336" s="127"/>
      <c r="U1336" s="127"/>
      <c r="V1336" s="127"/>
      <c r="W1336" s="127"/>
      <c r="X1336" s="127"/>
      <c r="Y1336" s="127"/>
      <c r="Z1336" s="140"/>
    </row>
    <row r="1337" spans="1:26" s="149" customFormat="1" x14ac:dyDescent="0.25">
      <c r="A1337" s="203">
        <f t="shared" si="28"/>
        <v>1336</v>
      </c>
      <c r="B1337" s="128"/>
      <c r="C1337" s="263"/>
      <c r="D1337" s="262"/>
      <c r="E1337" s="128"/>
      <c r="F1337" s="138" t="s">
        <v>1933</v>
      </c>
      <c r="G1337" s="131"/>
      <c r="H1337" s="128"/>
      <c r="I1337" s="132" t="s">
        <v>137</v>
      </c>
      <c r="J1337" s="133">
        <v>14</v>
      </c>
      <c r="K1337" s="129">
        <v>8</v>
      </c>
      <c r="L1337" s="129">
        <v>6</v>
      </c>
      <c r="M1337" s="129" t="s">
        <v>658</v>
      </c>
      <c r="N1337" s="129" t="s">
        <v>659</v>
      </c>
      <c r="O1337" s="139"/>
      <c r="P1337" s="127"/>
      <c r="Q1337" s="127"/>
      <c r="R1337" s="127"/>
      <c r="S1337" s="127"/>
      <c r="T1337" s="127"/>
      <c r="U1337" s="127"/>
      <c r="V1337" s="127"/>
      <c r="W1337" s="127"/>
      <c r="X1337" s="127"/>
      <c r="Y1337" s="127"/>
      <c r="Z1337" s="140"/>
    </row>
    <row r="1338" spans="1:26" s="149" customFormat="1" x14ac:dyDescent="0.25">
      <c r="A1338" s="203">
        <f t="shared" si="28"/>
        <v>1337</v>
      </c>
      <c r="B1338" s="128"/>
      <c r="C1338" s="263"/>
      <c r="D1338" s="262"/>
      <c r="E1338" s="128"/>
      <c r="F1338" s="138" t="s">
        <v>1933</v>
      </c>
      <c r="G1338" s="131"/>
      <c r="H1338" s="128"/>
      <c r="I1338" s="132" t="s">
        <v>137</v>
      </c>
      <c r="J1338" s="133">
        <v>14</v>
      </c>
      <c r="K1338" s="129">
        <v>8</v>
      </c>
      <c r="L1338" s="129">
        <v>7</v>
      </c>
      <c r="M1338" s="129" t="s">
        <v>658</v>
      </c>
      <c r="N1338" s="129" t="s">
        <v>659</v>
      </c>
      <c r="O1338" s="139"/>
      <c r="P1338" s="127"/>
      <c r="Q1338" s="127"/>
      <c r="R1338" s="127"/>
      <c r="S1338" s="127"/>
      <c r="T1338" s="127"/>
      <c r="U1338" s="127"/>
      <c r="V1338" s="127"/>
      <c r="W1338" s="127"/>
      <c r="X1338" s="127"/>
      <c r="Y1338" s="127"/>
      <c r="Z1338" s="140"/>
    </row>
    <row r="1339" spans="1:26" s="149" customFormat="1" x14ac:dyDescent="0.25">
      <c r="A1339" s="203">
        <f t="shared" si="28"/>
        <v>1338</v>
      </c>
      <c r="B1339" s="128"/>
      <c r="C1339" s="263"/>
      <c r="D1339" s="262"/>
      <c r="E1339" s="128"/>
      <c r="F1339" s="138" t="s">
        <v>1933</v>
      </c>
      <c r="G1339" s="131"/>
      <c r="H1339" s="128"/>
      <c r="I1339" s="132" t="s">
        <v>137</v>
      </c>
      <c r="J1339" s="133">
        <v>14</v>
      </c>
      <c r="K1339" s="129">
        <v>9</v>
      </c>
      <c r="L1339" s="129">
        <v>1</v>
      </c>
      <c r="M1339" s="129" t="s">
        <v>664</v>
      </c>
      <c r="N1339" s="129" t="s">
        <v>665</v>
      </c>
      <c r="O1339" s="139"/>
      <c r="P1339" s="127"/>
      <c r="Q1339" s="127"/>
      <c r="R1339" s="127"/>
      <c r="S1339" s="127"/>
      <c r="T1339" s="127"/>
      <c r="U1339" s="127"/>
      <c r="V1339" s="127"/>
      <c r="W1339" s="127"/>
      <c r="X1339" s="127"/>
      <c r="Y1339" s="127"/>
      <c r="Z1339" s="140"/>
    </row>
    <row r="1340" spans="1:26" x14ac:dyDescent="0.25">
      <c r="A1340" s="203">
        <f t="shared" si="28"/>
        <v>1339</v>
      </c>
      <c r="B1340" s="128"/>
      <c r="C1340" s="263"/>
      <c r="D1340" s="262"/>
      <c r="E1340" s="128"/>
      <c r="F1340" s="138" t="s">
        <v>1933</v>
      </c>
      <c r="G1340" s="131"/>
      <c r="H1340" s="128"/>
      <c r="I1340" s="132" t="s">
        <v>137</v>
      </c>
      <c r="J1340" s="133">
        <v>14</v>
      </c>
      <c r="K1340" s="129">
        <v>9</v>
      </c>
      <c r="L1340" s="129">
        <v>2</v>
      </c>
      <c r="M1340" s="129" t="s">
        <v>664</v>
      </c>
      <c r="N1340" s="129" t="s">
        <v>665</v>
      </c>
      <c r="O1340" s="139"/>
      <c r="P1340" s="127"/>
      <c r="Q1340" s="127"/>
      <c r="R1340" s="127"/>
      <c r="S1340" s="127"/>
      <c r="T1340" s="127"/>
      <c r="U1340" s="127"/>
      <c r="V1340" s="127"/>
      <c r="W1340" s="127"/>
      <c r="X1340" s="127"/>
      <c r="Y1340" s="127"/>
      <c r="Z1340" s="140"/>
    </row>
    <row r="1341" spans="1:26" x14ac:dyDescent="0.25">
      <c r="A1341" s="203">
        <f t="shared" si="28"/>
        <v>1340</v>
      </c>
      <c r="B1341" s="128"/>
      <c r="C1341" s="263"/>
      <c r="D1341" s="262"/>
      <c r="E1341" s="128"/>
      <c r="F1341" s="138" t="s">
        <v>1933</v>
      </c>
      <c r="G1341" s="131"/>
      <c r="H1341" s="128"/>
      <c r="I1341" s="132" t="s">
        <v>137</v>
      </c>
      <c r="J1341" s="133">
        <v>14</v>
      </c>
      <c r="K1341" s="129">
        <v>9</v>
      </c>
      <c r="L1341" s="129">
        <v>3</v>
      </c>
      <c r="M1341" s="129" t="s">
        <v>664</v>
      </c>
      <c r="N1341" s="129" t="s">
        <v>665</v>
      </c>
      <c r="O1341" s="139"/>
      <c r="P1341" s="127"/>
      <c r="Q1341" s="127"/>
      <c r="R1341" s="127"/>
      <c r="S1341" s="127"/>
      <c r="T1341" s="127"/>
      <c r="U1341" s="127"/>
      <c r="V1341" s="127"/>
      <c r="W1341" s="127"/>
      <c r="X1341" s="127"/>
      <c r="Y1341" s="127"/>
      <c r="Z1341" s="140"/>
    </row>
    <row r="1342" spans="1:26" x14ac:dyDescent="0.25">
      <c r="A1342" s="203">
        <f t="shared" si="28"/>
        <v>1341</v>
      </c>
      <c r="B1342" s="128"/>
      <c r="C1342" s="263"/>
      <c r="D1342" s="262"/>
      <c r="E1342" s="128"/>
      <c r="F1342" s="138" t="s">
        <v>1933</v>
      </c>
      <c r="G1342" s="131"/>
      <c r="H1342" s="128"/>
      <c r="I1342" s="132" t="s">
        <v>137</v>
      </c>
      <c r="J1342" s="133">
        <v>14</v>
      </c>
      <c r="K1342" s="129">
        <v>9</v>
      </c>
      <c r="L1342" s="129">
        <v>4</v>
      </c>
      <c r="M1342" s="129" t="s">
        <v>664</v>
      </c>
      <c r="N1342" s="129" t="s">
        <v>665</v>
      </c>
      <c r="O1342" s="139"/>
      <c r="P1342" s="127"/>
      <c r="Q1342" s="127"/>
      <c r="R1342" s="127"/>
      <c r="S1342" s="127"/>
      <c r="T1342" s="127"/>
      <c r="U1342" s="127"/>
      <c r="V1342" s="127"/>
      <c r="W1342" s="127"/>
      <c r="X1342" s="127"/>
      <c r="Y1342" s="127"/>
      <c r="Z1342" s="140"/>
    </row>
    <row r="1343" spans="1:26" x14ac:dyDescent="0.25">
      <c r="A1343" s="203">
        <f t="shared" si="28"/>
        <v>1342</v>
      </c>
      <c r="B1343" s="128"/>
      <c r="C1343" s="263"/>
      <c r="D1343" s="262"/>
      <c r="E1343" s="128"/>
      <c r="F1343" s="138" t="s">
        <v>1933</v>
      </c>
      <c r="G1343" s="131"/>
      <c r="H1343" s="128"/>
      <c r="I1343" s="132" t="s">
        <v>137</v>
      </c>
      <c r="J1343" s="133">
        <v>14</v>
      </c>
      <c r="K1343" s="129">
        <v>9</v>
      </c>
      <c r="L1343" s="129">
        <v>5</v>
      </c>
      <c r="M1343" s="129" t="s">
        <v>664</v>
      </c>
      <c r="N1343" s="129" t="s">
        <v>665</v>
      </c>
      <c r="O1343" s="139"/>
      <c r="P1343" s="127"/>
      <c r="Q1343" s="127"/>
      <c r="R1343" s="127"/>
      <c r="S1343" s="127"/>
      <c r="T1343" s="127"/>
      <c r="U1343" s="127"/>
      <c r="V1343" s="127"/>
      <c r="W1343" s="127"/>
      <c r="X1343" s="127"/>
      <c r="Y1343" s="127"/>
      <c r="Z1343" s="140"/>
    </row>
    <row r="1344" spans="1:26" x14ac:dyDescent="0.25">
      <c r="A1344" s="203">
        <f t="shared" si="28"/>
        <v>1343</v>
      </c>
      <c r="B1344" s="128"/>
      <c r="C1344" s="263"/>
      <c r="D1344" s="262"/>
      <c r="E1344" s="128"/>
      <c r="F1344" s="138" t="s">
        <v>1933</v>
      </c>
      <c r="G1344" s="131"/>
      <c r="H1344" s="128"/>
      <c r="I1344" s="132" t="s">
        <v>137</v>
      </c>
      <c r="J1344" s="133">
        <v>14</v>
      </c>
      <c r="K1344" s="129">
        <v>9</v>
      </c>
      <c r="L1344" s="129">
        <v>6</v>
      </c>
      <c r="M1344" s="129" t="s">
        <v>664</v>
      </c>
      <c r="N1344" s="129" t="s">
        <v>665</v>
      </c>
      <c r="O1344" s="139"/>
      <c r="P1344" s="127"/>
      <c r="Q1344" s="127"/>
      <c r="R1344" s="127"/>
      <c r="S1344" s="127"/>
      <c r="T1344" s="127"/>
      <c r="U1344" s="127"/>
      <c r="V1344" s="127"/>
      <c r="W1344" s="127"/>
      <c r="X1344" s="127"/>
      <c r="Y1344" s="127"/>
      <c r="Z1344" s="140"/>
    </row>
    <row r="1345" spans="1:26" s="149" customFormat="1" x14ac:dyDescent="0.25">
      <c r="A1345" s="203">
        <f t="shared" si="28"/>
        <v>1344</v>
      </c>
      <c r="B1345" s="128"/>
      <c r="C1345" s="263"/>
      <c r="D1345" s="262"/>
      <c r="E1345" s="128"/>
      <c r="F1345" s="138" t="s">
        <v>1933</v>
      </c>
      <c r="G1345" s="131"/>
      <c r="H1345" s="128"/>
      <c r="I1345" s="132" t="s">
        <v>137</v>
      </c>
      <c r="J1345" s="133">
        <v>14</v>
      </c>
      <c r="K1345" s="129">
        <v>9</v>
      </c>
      <c r="L1345" s="129">
        <v>7</v>
      </c>
      <c r="M1345" s="129" t="s">
        <v>664</v>
      </c>
      <c r="N1345" s="129" t="s">
        <v>665</v>
      </c>
      <c r="O1345" s="139"/>
      <c r="P1345" s="127"/>
      <c r="Q1345" s="127"/>
      <c r="R1345" s="127"/>
      <c r="S1345" s="127"/>
      <c r="T1345" s="127"/>
      <c r="U1345" s="127"/>
      <c r="V1345" s="127"/>
      <c r="W1345" s="127"/>
      <c r="X1345" s="127"/>
      <c r="Y1345" s="127"/>
      <c r="Z1345" s="140"/>
    </row>
    <row r="1346" spans="1:26" s="149" customFormat="1" x14ac:dyDescent="0.25">
      <c r="A1346" s="203">
        <f t="shared" si="28"/>
        <v>1345</v>
      </c>
      <c r="B1346" s="128"/>
      <c r="C1346" s="263"/>
      <c r="D1346" s="262"/>
      <c r="E1346" s="128"/>
      <c r="F1346" s="138" t="s">
        <v>1933</v>
      </c>
      <c r="G1346" s="131"/>
      <c r="H1346" s="128"/>
      <c r="I1346" s="132" t="s">
        <v>148</v>
      </c>
      <c r="J1346" s="133">
        <v>15</v>
      </c>
      <c r="K1346" s="129">
        <v>1</v>
      </c>
      <c r="L1346" s="129">
        <v>0</v>
      </c>
      <c r="M1346" s="129" t="s">
        <v>138</v>
      </c>
      <c r="N1346" s="129" t="s">
        <v>139</v>
      </c>
      <c r="O1346" s="139"/>
      <c r="P1346" s="127"/>
      <c r="Q1346" s="127"/>
      <c r="R1346" s="127"/>
      <c r="S1346" s="127"/>
      <c r="T1346" s="127"/>
      <c r="U1346" s="127"/>
      <c r="V1346" s="127"/>
      <c r="W1346" s="127"/>
      <c r="X1346" s="127"/>
      <c r="Y1346" s="127"/>
      <c r="Z1346" s="147"/>
    </row>
    <row r="1347" spans="1:26" s="149" customFormat="1" x14ac:dyDescent="0.25">
      <c r="A1347" s="203">
        <f t="shared" si="28"/>
        <v>1346</v>
      </c>
      <c r="B1347" s="128"/>
      <c r="C1347" s="263"/>
      <c r="D1347" s="262"/>
      <c r="E1347" s="128"/>
      <c r="F1347" s="138" t="s">
        <v>1933</v>
      </c>
      <c r="G1347" s="131"/>
      <c r="H1347" s="128"/>
      <c r="I1347" s="132" t="s">
        <v>148</v>
      </c>
      <c r="J1347" s="133">
        <v>15</v>
      </c>
      <c r="K1347" s="129">
        <v>1</v>
      </c>
      <c r="L1347" s="129">
        <v>1</v>
      </c>
      <c r="M1347" s="129" t="s">
        <v>138</v>
      </c>
      <c r="N1347" s="129" t="s">
        <v>139</v>
      </c>
      <c r="O1347" s="139"/>
      <c r="P1347" s="127"/>
      <c r="Q1347" s="127"/>
      <c r="R1347" s="127"/>
      <c r="S1347" s="127"/>
      <c r="T1347" s="127"/>
      <c r="U1347" s="127"/>
      <c r="V1347" s="127"/>
      <c r="W1347" s="127"/>
      <c r="X1347" s="127"/>
      <c r="Y1347" s="127"/>
      <c r="Z1347" s="147"/>
    </row>
    <row r="1348" spans="1:26" s="149" customFormat="1" x14ac:dyDescent="0.25">
      <c r="A1348" s="203">
        <f t="shared" si="28"/>
        <v>1347</v>
      </c>
      <c r="B1348" s="128"/>
      <c r="C1348" s="263"/>
      <c r="D1348" s="262"/>
      <c r="E1348" s="128"/>
      <c r="F1348" s="138" t="s">
        <v>1933</v>
      </c>
      <c r="G1348" s="131"/>
      <c r="H1348" s="128"/>
      <c r="I1348" s="132" t="s">
        <v>148</v>
      </c>
      <c r="J1348" s="133">
        <v>15</v>
      </c>
      <c r="K1348" s="129">
        <v>2</v>
      </c>
      <c r="L1348" s="129">
        <v>0</v>
      </c>
      <c r="M1348" s="129" t="s">
        <v>138</v>
      </c>
      <c r="N1348" s="129" t="s">
        <v>139</v>
      </c>
      <c r="O1348" s="139"/>
      <c r="P1348" s="127"/>
      <c r="Q1348" s="127"/>
      <c r="R1348" s="127"/>
      <c r="S1348" s="127"/>
      <c r="T1348" s="127"/>
      <c r="U1348" s="127"/>
      <c r="V1348" s="127"/>
      <c r="W1348" s="127"/>
      <c r="X1348" s="127"/>
      <c r="Y1348" s="127"/>
      <c r="Z1348" s="153"/>
    </row>
    <row r="1349" spans="1:26" x14ac:dyDescent="0.25">
      <c r="A1349" s="203">
        <f t="shared" si="28"/>
        <v>1348</v>
      </c>
      <c r="B1349" s="128"/>
      <c r="C1349" s="263"/>
      <c r="D1349" s="262"/>
      <c r="E1349" s="128"/>
      <c r="F1349" s="138" t="s">
        <v>1933</v>
      </c>
      <c r="G1349" s="131"/>
      <c r="H1349" s="128"/>
      <c r="I1349" s="132" t="s">
        <v>148</v>
      </c>
      <c r="J1349" s="133">
        <v>15</v>
      </c>
      <c r="K1349" s="129">
        <v>2</v>
      </c>
      <c r="L1349" s="129">
        <v>1</v>
      </c>
      <c r="M1349" s="129" t="s">
        <v>138</v>
      </c>
      <c r="N1349" s="129" t="s">
        <v>139</v>
      </c>
      <c r="O1349" s="139"/>
      <c r="P1349" s="127"/>
      <c r="Q1349" s="127"/>
      <c r="R1349" s="127"/>
      <c r="S1349" s="127"/>
      <c r="T1349" s="127"/>
      <c r="U1349" s="127"/>
      <c r="V1349" s="127"/>
      <c r="W1349" s="127"/>
      <c r="X1349" s="127"/>
      <c r="Y1349" s="127"/>
      <c r="Z1349" s="153"/>
    </row>
    <row r="1350" spans="1:26" x14ac:dyDescent="0.25">
      <c r="A1350" s="203">
        <f t="shared" si="28"/>
        <v>1349</v>
      </c>
      <c r="B1350" s="128"/>
      <c r="C1350" s="263"/>
      <c r="D1350" s="262"/>
      <c r="E1350" s="128"/>
      <c r="F1350" s="138" t="s">
        <v>1933</v>
      </c>
      <c r="G1350" s="131"/>
      <c r="H1350" s="128"/>
      <c r="I1350" s="132" t="s">
        <v>148</v>
      </c>
      <c r="J1350" s="133">
        <v>15</v>
      </c>
      <c r="K1350" s="129">
        <v>2</v>
      </c>
      <c r="L1350" s="129">
        <v>4</v>
      </c>
      <c r="M1350" s="129" t="s">
        <v>138</v>
      </c>
      <c r="N1350" s="129" t="s">
        <v>139</v>
      </c>
      <c r="O1350" s="139"/>
      <c r="P1350" s="127"/>
      <c r="Q1350" s="127"/>
      <c r="R1350" s="127"/>
      <c r="S1350" s="127"/>
      <c r="T1350" s="127"/>
      <c r="U1350" s="127"/>
      <c r="V1350" s="127"/>
      <c r="W1350" s="127"/>
      <c r="X1350" s="127"/>
      <c r="Y1350" s="127"/>
      <c r="Z1350" s="153"/>
    </row>
    <row r="1351" spans="1:26" x14ac:dyDescent="0.25">
      <c r="A1351" s="203">
        <f t="shared" si="28"/>
        <v>1350</v>
      </c>
      <c r="B1351" s="128"/>
      <c r="C1351" s="263"/>
      <c r="D1351" s="262"/>
      <c r="E1351" s="128"/>
      <c r="F1351" s="138" t="s">
        <v>1933</v>
      </c>
      <c r="G1351" s="131"/>
      <c r="H1351" s="128"/>
      <c r="I1351" s="132" t="s">
        <v>148</v>
      </c>
      <c r="J1351" s="133">
        <v>15</v>
      </c>
      <c r="K1351" s="129">
        <v>2</v>
      </c>
      <c r="L1351" s="129">
        <v>5</v>
      </c>
      <c r="M1351" s="129" t="s">
        <v>138</v>
      </c>
      <c r="N1351" s="129" t="s">
        <v>139</v>
      </c>
      <c r="O1351" s="139"/>
      <c r="P1351" s="127"/>
      <c r="Q1351" s="127"/>
      <c r="R1351" s="127"/>
      <c r="S1351" s="127"/>
      <c r="T1351" s="127"/>
      <c r="U1351" s="127"/>
      <c r="V1351" s="127"/>
      <c r="W1351" s="127"/>
      <c r="X1351" s="127"/>
      <c r="Y1351" s="127"/>
      <c r="Z1351" s="153"/>
    </row>
    <row r="1352" spans="1:26" x14ac:dyDescent="0.25">
      <c r="A1352" s="203">
        <f t="shared" si="28"/>
        <v>1351</v>
      </c>
      <c r="B1352" s="128"/>
      <c r="C1352" s="263"/>
      <c r="D1352" s="262"/>
      <c r="E1352" s="128"/>
      <c r="F1352" s="138" t="s">
        <v>1933</v>
      </c>
      <c r="G1352" s="131"/>
      <c r="H1352" s="128"/>
      <c r="I1352" s="132" t="s">
        <v>148</v>
      </c>
      <c r="J1352" s="133">
        <v>15</v>
      </c>
      <c r="K1352" s="129">
        <v>2</v>
      </c>
      <c r="L1352" s="129">
        <v>6</v>
      </c>
      <c r="M1352" s="129" t="s">
        <v>138</v>
      </c>
      <c r="N1352" s="129" t="s">
        <v>139</v>
      </c>
      <c r="O1352" s="139"/>
      <c r="P1352" s="127"/>
      <c r="Q1352" s="127"/>
      <c r="R1352" s="127"/>
      <c r="S1352" s="127"/>
      <c r="T1352" s="127"/>
      <c r="U1352" s="127"/>
      <c r="V1352" s="127"/>
      <c r="W1352" s="127"/>
      <c r="X1352" s="127"/>
      <c r="Y1352" s="127"/>
      <c r="Z1352" s="153"/>
    </row>
    <row r="1353" spans="1:26" s="149" customFormat="1" x14ac:dyDescent="0.25">
      <c r="A1353" s="203">
        <f t="shared" si="28"/>
        <v>1352</v>
      </c>
      <c r="B1353" s="128"/>
      <c r="C1353" s="263"/>
      <c r="D1353" s="262"/>
      <c r="E1353" s="128"/>
      <c r="F1353" s="138" t="s">
        <v>1933</v>
      </c>
      <c r="G1353" s="131"/>
      <c r="H1353" s="128"/>
      <c r="I1353" s="132" t="s">
        <v>148</v>
      </c>
      <c r="J1353" s="133">
        <v>15</v>
      </c>
      <c r="K1353" s="129">
        <v>2</v>
      </c>
      <c r="L1353" s="129">
        <v>7</v>
      </c>
      <c r="M1353" s="129" t="s">
        <v>138</v>
      </c>
      <c r="N1353" s="129" t="s">
        <v>139</v>
      </c>
      <c r="O1353" s="139"/>
      <c r="P1353" s="127"/>
      <c r="Q1353" s="127"/>
      <c r="R1353" s="127"/>
      <c r="S1353" s="127"/>
      <c r="T1353" s="127"/>
      <c r="U1353" s="127"/>
      <c r="V1353" s="127"/>
      <c r="W1353" s="127"/>
      <c r="X1353" s="127"/>
      <c r="Y1353" s="127"/>
      <c r="Z1353" s="153"/>
    </row>
    <row r="1354" spans="1:26" s="149" customFormat="1" x14ac:dyDescent="0.25">
      <c r="A1354" s="203">
        <f t="shared" si="28"/>
        <v>1353</v>
      </c>
      <c r="B1354" s="128"/>
      <c r="C1354" s="263"/>
      <c r="D1354" s="262"/>
      <c r="E1354" s="128"/>
      <c r="F1354" s="138" t="s">
        <v>1933</v>
      </c>
      <c r="G1354" s="131"/>
      <c r="H1354" s="128"/>
      <c r="I1354" s="132" t="s">
        <v>148</v>
      </c>
      <c r="J1354" s="133">
        <v>15</v>
      </c>
      <c r="K1354" s="129">
        <v>3</v>
      </c>
      <c r="L1354" s="129">
        <v>6</v>
      </c>
      <c r="M1354" s="129" t="s">
        <v>31</v>
      </c>
      <c r="N1354" s="129" t="s">
        <v>32</v>
      </c>
      <c r="O1354" s="139"/>
      <c r="P1354" s="127"/>
      <c r="Q1354" s="127"/>
      <c r="R1354" s="127"/>
      <c r="S1354" s="127"/>
      <c r="T1354" s="127"/>
      <c r="U1354" s="127"/>
      <c r="V1354" s="127"/>
      <c r="W1354" s="127"/>
      <c r="X1354" s="127"/>
      <c r="Y1354" s="127"/>
      <c r="Z1354" s="153"/>
    </row>
    <row r="1355" spans="1:26" s="149" customFormat="1" x14ac:dyDescent="0.25">
      <c r="A1355" s="203">
        <f t="shared" si="28"/>
        <v>1354</v>
      </c>
      <c r="B1355" s="128"/>
      <c r="C1355" s="263"/>
      <c r="D1355" s="262"/>
      <c r="E1355" s="128"/>
      <c r="F1355" s="138" t="s">
        <v>1933</v>
      </c>
      <c r="G1355" s="131"/>
      <c r="H1355" s="128"/>
      <c r="I1355" s="132" t="s">
        <v>148</v>
      </c>
      <c r="J1355" s="133">
        <v>15</v>
      </c>
      <c r="K1355" s="129">
        <v>3</v>
      </c>
      <c r="L1355" s="129">
        <v>10</v>
      </c>
      <c r="M1355" s="129" t="s">
        <v>31</v>
      </c>
      <c r="N1355" s="129" t="s">
        <v>32</v>
      </c>
      <c r="O1355" s="139"/>
      <c r="P1355" s="127"/>
      <c r="Q1355" s="127"/>
      <c r="R1355" s="127"/>
      <c r="S1355" s="127"/>
      <c r="T1355" s="127"/>
      <c r="U1355" s="127"/>
      <c r="V1355" s="127"/>
      <c r="W1355" s="127"/>
      <c r="X1355" s="127"/>
      <c r="Y1355" s="127"/>
      <c r="Z1355" s="153"/>
    </row>
    <row r="1356" spans="1:26" s="149" customFormat="1" x14ac:dyDescent="0.25">
      <c r="A1356" s="203">
        <f t="shared" si="28"/>
        <v>1355</v>
      </c>
      <c r="B1356" s="128"/>
      <c r="C1356" s="263"/>
      <c r="D1356" s="262"/>
      <c r="E1356" s="128"/>
      <c r="F1356" s="138" t="s">
        <v>1933</v>
      </c>
      <c r="G1356" s="131"/>
      <c r="H1356" s="128"/>
      <c r="I1356" s="132" t="s">
        <v>148</v>
      </c>
      <c r="J1356" s="133">
        <v>15</v>
      </c>
      <c r="K1356" s="129">
        <v>4</v>
      </c>
      <c r="L1356" s="129">
        <v>3</v>
      </c>
      <c r="M1356" s="129" t="s">
        <v>31</v>
      </c>
      <c r="N1356" s="129" t="s">
        <v>32</v>
      </c>
      <c r="O1356" s="139"/>
      <c r="P1356" s="127"/>
      <c r="Q1356" s="127"/>
      <c r="R1356" s="127"/>
      <c r="S1356" s="127"/>
      <c r="T1356" s="127"/>
      <c r="U1356" s="127"/>
      <c r="V1356" s="127"/>
      <c r="W1356" s="127"/>
      <c r="X1356" s="127"/>
      <c r="Y1356" s="127"/>
      <c r="Z1356" s="153"/>
    </row>
    <row r="1357" spans="1:26" x14ac:dyDescent="0.25">
      <c r="A1357" s="203">
        <f t="shared" si="28"/>
        <v>1356</v>
      </c>
      <c r="B1357" s="128"/>
      <c r="C1357" s="263"/>
      <c r="D1357" s="262"/>
      <c r="E1357" s="128"/>
      <c r="F1357" s="138" t="s">
        <v>1933</v>
      </c>
      <c r="G1357" s="131"/>
      <c r="H1357" s="128"/>
      <c r="I1357" s="132" t="s">
        <v>148</v>
      </c>
      <c r="J1357" s="133">
        <v>15</v>
      </c>
      <c r="K1357" s="129">
        <v>4</v>
      </c>
      <c r="L1357" s="129">
        <v>4</v>
      </c>
      <c r="M1357" s="129" t="s">
        <v>31</v>
      </c>
      <c r="N1357" s="129" t="s">
        <v>32</v>
      </c>
      <c r="O1357" s="139"/>
      <c r="P1357" s="127"/>
      <c r="Q1357" s="127"/>
      <c r="R1357" s="127"/>
      <c r="S1357" s="127"/>
      <c r="T1357" s="127"/>
      <c r="U1357" s="127"/>
      <c r="V1357" s="127"/>
      <c r="W1357" s="127"/>
      <c r="X1357" s="127"/>
      <c r="Y1357" s="127"/>
      <c r="Z1357" s="153"/>
    </row>
    <row r="1358" spans="1:26" x14ac:dyDescent="0.25">
      <c r="A1358" s="203">
        <f t="shared" si="28"/>
        <v>1357</v>
      </c>
      <c r="B1358" s="128"/>
      <c r="C1358" s="263"/>
      <c r="D1358" s="262"/>
      <c r="E1358" s="128"/>
      <c r="F1358" s="138" t="s">
        <v>1933</v>
      </c>
      <c r="G1358" s="131"/>
      <c r="H1358" s="128"/>
      <c r="I1358" s="132" t="s">
        <v>148</v>
      </c>
      <c r="J1358" s="133">
        <v>15</v>
      </c>
      <c r="K1358" s="129">
        <v>4</v>
      </c>
      <c r="L1358" s="129">
        <v>5</v>
      </c>
      <c r="M1358" s="129" t="s">
        <v>31</v>
      </c>
      <c r="N1358" s="129" t="s">
        <v>32</v>
      </c>
      <c r="O1358" s="139"/>
      <c r="P1358" s="127"/>
      <c r="Q1358" s="127"/>
      <c r="R1358" s="127"/>
      <c r="S1358" s="127"/>
      <c r="T1358" s="127"/>
      <c r="U1358" s="127"/>
      <c r="V1358" s="127"/>
      <c r="W1358" s="127"/>
      <c r="X1358" s="127"/>
      <c r="Y1358" s="127"/>
      <c r="Z1358" s="153"/>
    </row>
    <row r="1359" spans="1:26" x14ac:dyDescent="0.25">
      <c r="A1359" s="203">
        <f t="shared" si="28"/>
        <v>1358</v>
      </c>
      <c r="B1359" s="128"/>
      <c r="C1359" s="263"/>
      <c r="D1359" s="262"/>
      <c r="E1359" s="128"/>
      <c r="F1359" s="138" t="s">
        <v>1933</v>
      </c>
      <c r="G1359" s="131"/>
      <c r="H1359" s="128"/>
      <c r="I1359" s="132" t="s">
        <v>148</v>
      </c>
      <c r="J1359" s="133">
        <v>15</v>
      </c>
      <c r="K1359" s="129">
        <v>4</v>
      </c>
      <c r="L1359" s="129">
        <v>6</v>
      </c>
      <c r="M1359" s="129" t="s">
        <v>31</v>
      </c>
      <c r="N1359" s="129" t="s">
        <v>32</v>
      </c>
      <c r="O1359" s="139"/>
      <c r="P1359" s="127"/>
      <c r="Q1359" s="127"/>
      <c r="R1359" s="127"/>
      <c r="S1359" s="127"/>
      <c r="T1359" s="127"/>
      <c r="U1359" s="127"/>
      <c r="V1359" s="127"/>
      <c r="W1359" s="127"/>
      <c r="X1359" s="127"/>
      <c r="Y1359" s="127"/>
      <c r="Z1359" s="153"/>
    </row>
    <row r="1360" spans="1:26" x14ac:dyDescent="0.25">
      <c r="A1360" s="203">
        <f t="shared" si="28"/>
        <v>1359</v>
      </c>
      <c r="B1360" s="128"/>
      <c r="C1360" s="263"/>
      <c r="D1360" s="262"/>
      <c r="E1360" s="128"/>
      <c r="F1360" s="138" t="s">
        <v>1933</v>
      </c>
      <c r="G1360" s="131"/>
      <c r="H1360" s="128"/>
      <c r="I1360" s="132" t="s">
        <v>148</v>
      </c>
      <c r="J1360" s="133">
        <v>15</v>
      </c>
      <c r="K1360" s="129">
        <v>4</v>
      </c>
      <c r="L1360" s="129">
        <v>7</v>
      </c>
      <c r="M1360" s="129" t="s">
        <v>31</v>
      </c>
      <c r="N1360" s="129" t="s">
        <v>32</v>
      </c>
      <c r="O1360" s="139"/>
      <c r="P1360" s="127"/>
      <c r="Q1360" s="127"/>
      <c r="R1360" s="127"/>
      <c r="S1360" s="127"/>
      <c r="T1360" s="127"/>
      <c r="U1360" s="127"/>
      <c r="V1360" s="127"/>
      <c r="W1360" s="127"/>
      <c r="X1360" s="127"/>
      <c r="Y1360" s="127"/>
      <c r="Z1360" s="153"/>
    </row>
    <row r="1361" spans="1:26" s="149" customFormat="1" x14ac:dyDescent="0.25">
      <c r="A1361" s="203">
        <f t="shared" si="28"/>
        <v>1360</v>
      </c>
      <c r="B1361" s="128"/>
      <c r="C1361" s="263"/>
      <c r="D1361" s="262"/>
      <c r="E1361" s="128"/>
      <c r="F1361" s="138" t="s">
        <v>1933</v>
      </c>
      <c r="G1361" s="131"/>
      <c r="H1361" s="128"/>
      <c r="I1361" s="132" t="s">
        <v>148</v>
      </c>
      <c r="J1361" s="133">
        <v>15</v>
      </c>
      <c r="K1361" s="129">
        <v>4</v>
      </c>
      <c r="L1361" s="129">
        <v>8</v>
      </c>
      <c r="M1361" s="129" t="s">
        <v>31</v>
      </c>
      <c r="N1361" s="129" t="s">
        <v>32</v>
      </c>
      <c r="O1361" s="139"/>
      <c r="P1361" s="127"/>
      <c r="Q1361" s="127"/>
      <c r="R1361" s="127"/>
      <c r="S1361" s="127"/>
      <c r="T1361" s="127"/>
      <c r="U1361" s="127"/>
      <c r="V1361" s="127"/>
      <c r="W1361" s="127"/>
      <c r="X1361" s="127"/>
      <c r="Y1361" s="127"/>
      <c r="Z1361" s="153"/>
    </row>
    <row r="1362" spans="1:26" s="149" customFormat="1" x14ac:dyDescent="0.25">
      <c r="A1362" s="203">
        <f t="shared" si="28"/>
        <v>1361</v>
      </c>
      <c r="B1362" s="128"/>
      <c r="C1362" s="263"/>
      <c r="D1362" s="262"/>
      <c r="E1362" s="128"/>
      <c r="F1362" s="138" t="s">
        <v>1933</v>
      </c>
      <c r="G1362" s="131"/>
      <c r="H1362" s="128"/>
      <c r="I1362" s="132" t="s">
        <v>148</v>
      </c>
      <c r="J1362" s="133">
        <v>15</v>
      </c>
      <c r="K1362" s="129">
        <v>4</v>
      </c>
      <c r="L1362" s="129">
        <v>9</v>
      </c>
      <c r="M1362" s="129" t="s">
        <v>31</v>
      </c>
      <c r="N1362" s="129" t="s">
        <v>32</v>
      </c>
      <c r="O1362" s="139"/>
      <c r="P1362" s="127"/>
      <c r="Q1362" s="127"/>
      <c r="R1362" s="127"/>
      <c r="S1362" s="127"/>
      <c r="T1362" s="127"/>
      <c r="U1362" s="127"/>
      <c r="V1362" s="127"/>
      <c r="W1362" s="127"/>
      <c r="X1362" s="127"/>
      <c r="Y1362" s="127"/>
      <c r="Z1362" s="153"/>
    </row>
    <row r="1363" spans="1:26" s="149" customFormat="1" x14ac:dyDescent="0.25">
      <c r="A1363" s="203">
        <f t="shared" si="28"/>
        <v>1362</v>
      </c>
      <c r="B1363" s="128"/>
      <c r="C1363" s="263"/>
      <c r="D1363" s="262"/>
      <c r="E1363" s="128"/>
      <c r="F1363" s="138" t="s">
        <v>1933</v>
      </c>
      <c r="G1363" s="131"/>
      <c r="H1363" s="128"/>
      <c r="I1363" s="132" t="s">
        <v>148</v>
      </c>
      <c r="J1363" s="133">
        <v>15</v>
      </c>
      <c r="K1363" s="129">
        <v>4</v>
      </c>
      <c r="L1363" s="129">
        <v>10</v>
      </c>
      <c r="M1363" s="129" t="s">
        <v>31</v>
      </c>
      <c r="N1363" s="129" t="s">
        <v>32</v>
      </c>
      <c r="O1363" s="139"/>
      <c r="P1363" s="127"/>
      <c r="Q1363" s="127"/>
      <c r="R1363" s="127"/>
      <c r="S1363" s="127"/>
      <c r="T1363" s="127"/>
      <c r="U1363" s="127"/>
      <c r="V1363" s="127"/>
      <c r="W1363" s="127"/>
      <c r="X1363" s="127"/>
      <c r="Y1363" s="127"/>
      <c r="Z1363" s="153"/>
    </row>
    <row r="1364" spans="1:26" s="149" customFormat="1" x14ac:dyDescent="0.25">
      <c r="A1364" s="203">
        <f t="shared" si="28"/>
        <v>1363</v>
      </c>
      <c r="B1364" s="128"/>
      <c r="C1364" s="263"/>
      <c r="D1364" s="262"/>
      <c r="E1364" s="128"/>
      <c r="F1364" s="138" t="s">
        <v>1933</v>
      </c>
      <c r="G1364" s="131"/>
      <c r="H1364" s="128"/>
      <c r="I1364" s="132" t="s">
        <v>148</v>
      </c>
      <c r="J1364" s="133">
        <v>15</v>
      </c>
      <c r="K1364" s="129">
        <v>4</v>
      </c>
      <c r="L1364" s="129">
        <v>11</v>
      </c>
      <c r="M1364" s="129" t="s">
        <v>31</v>
      </c>
      <c r="N1364" s="129" t="s">
        <v>32</v>
      </c>
      <c r="O1364" s="139"/>
      <c r="P1364" s="127"/>
      <c r="Q1364" s="127"/>
      <c r="R1364" s="127"/>
      <c r="S1364" s="127"/>
      <c r="T1364" s="127"/>
      <c r="U1364" s="127"/>
      <c r="V1364" s="127"/>
      <c r="W1364" s="127"/>
      <c r="X1364" s="127"/>
      <c r="Y1364" s="127"/>
      <c r="Z1364" s="153"/>
    </row>
    <row r="1365" spans="1:26" s="149" customFormat="1" x14ac:dyDescent="0.25">
      <c r="A1365" s="203">
        <f t="shared" si="28"/>
        <v>1364</v>
      </c>
      <c r="B1365" s="128"/>
      <c r="C1365" s="263"/>
      <c r="D1365" s="262"/>
      <c r="E1365" s="128"/>
      <c r="F1365" s="138" t="s">
        <v>1933</v>
      </c>
      <c r="G1365" s="131"/>
      <c r="H1365" s="128"/>
      <c r="I1365" s="132" t="s">
        <v>148</v>
      </c>
      <c r="J1365" s="133">
        <v>15</v>
      </c>
      <c r="K1365" s="129">
        <v>4</v>
      </c>
      <c r="L1365" s="129">
        <v>12</v>
      </c>
      <c r="M1365" s="129" t="s">
        <v>31</v>
      </c>
      <c r="N1365" s="129" t="s">
        <v>32</v>
      </c>
      <c r="O1365" s="139"/>
      <c r="P1365" s="127"/>
      <c r="Q1365" s="127"/>
      <c r="R1365" s="127"/>
      <c r="S1365" s="127"/>
      <c r="T1365" s="127"/>
      <c r="U1365" s="127"/>
      <c r="V1365" s="127"/>
      <c r="W1365" s="127"/>
      <c r="X1365" s="127"/>
      <c r="Y1365" s="127"/>
      <c r="Z1365" s="153"/>
    </row>
    <row r="1366" spans="1:26" s="149" customFormat="1" x14ac:dyDescent="0.25">
      <c r="A1366" s="203">
        <f t="shared" si="28"/>
        <v>1365</v>
      </c>
      <c r="B1366" s="128"/>
      <c r="C1366" s="263"/>
      <c r="D1366" s="262"/>
      <c r="E1366" s="128"/>
      <c r="F1366" s="138" t="s">
        <v>1933</v>
      </c>
      <c r="G1366" s="131"/>
      <c r="H1366" s="128"/>
      <c r="I1366" s="132" t="s">
        <v>148</v>
      </c>
      <c r="J1366" s="133">
        <v>15</v>
      </c>
      <c r="K1366" s="129">
        <v>4</v>
      </c>
      <c r="L1366" s="129">
        <v>13</v>
      </c>
      <c r="M1366" s="129" t="s">
        <v>31</v>
      </c>
      <c r="N1366" s="129" t="s">
        <v>32</v>
      </c>
      <c r="O1366" s="139"/>
      <c r="P1366" s="127"/>
      <c r="Q1366" s="127"/>
      <c r="R1366" s="127"/>
      <c r="S1366" s="127"/>
      <c r="T1366" s="127"/>
      <c r="U1366" s="127"/>
      <c r="V1366" s="127"/>
      <c r="W1366" s="127"/>
      <c r="X1366" s="127"/>
      <c r="Y1366" s="127"/>
      <c r="Z1366" s="153"/>
    </row>
    <row r="1367" spans="1:26" s="149" customFormat="1" x14ac:dyDescent="0.25">
      <c r="A1367" s="203">
        <f t="shared" si="28"/>
        <v>1366</v>
      </c>
      <c r="B1367" s="128"/>
      <c r="C1367" s="263"/>
      <c r="D1367" s="262"/>
      <c r="E1367" s="128"/>
      <c r="F1367" s="138" t="s">
        <v>1933</v>
      </c>
      <c r="G1367" s="131"/>
      <c r="H1367" s="128"/>
      <c r="I1367" s="132" t="s">
        <v>148</v>
      </c>
      <c r="J1367" s="133">
        <v>15</v>
      </c>
      <c r="K1367" s="129">
        <v>4</v>
      </c>
      <c r="L1367" s="129">
        <v>14</v>
      </c>
      <c r="M1367" s="129" t="s">
        <v>31</v>
      </c>
      <c r="N1367" s="129" t="s">
        <v>32</v>
      </c>
      <c r="O1367" s="139"/>
      <c r="P1367" s="127"/>
      <c r="Q1367" s="127"/>
      <c r="R1367" s="127"/>
      <c r="S1367" s="127"/>
      <c r="T1367" s="127"/>
      <c r="U1367" s="127"/>
      <c r="V1367" s="127"/>
      <c r="W1367" s="127"/>
      <c r="X1367" s="127"/>
      <c r="Y1367" s="127"/>
      <c r="Z1367" s="153"/>
    </row>
    <row r="1368" spans="1:26" s="149" customFormat="1" x14ac:dyDescent="0.25">
      <c r="A1368" s="203">
        <f t="shared" si="28"/>
        <v>1367</v>
      </c>
      <c r="B1368" s="128"/>
      <c r="C1368" s="263"/>
      <c r="D1368" s="262"/>
      <c r="E1368" s="128"/>
      <c r="F1368" s="138" t="s">
        <v>1933</v>
      </c>
      <c r="G1368" s="131"/>
      <c r="H1368" s="128"/>
      <c r="I1368" s="132" t="s">
        <v>148</v>
      </c>
      <c r="J1368" s="133">
        <v>15</v>
      </c>
      <c r="K1368" s="129">
        <v>4</v>
      </c>
      <c r="L1368" s="129">
        <v>15</v>
      </c>
      <c r="M1368" s="129" t="s">
        <v>31</v>
      </c>
      <c r="N1368" s="129" t="s">
        <v>32</v>
      </c>
      <c r="O1368" s="139"/>
      <c r="P1368" s="127"/>
      <c r="Q1368" s="127"/>
      <c r="R1368" s="127"/>
      <c r="S1368" s="127"/>
      <c r="T1368" s="127"/>
      <c r="U1368" s="127"/>
      <c r="V1368" s="127"/>
      <c r="W1368" s="127"/>
      <c r="X1368" s="127"/>
      <c r="Y1368" s="127"/>
      <c r="Z1368" s="153"/>
    </row>
    <row r="1369" spans="1:26" s="149" customFormat="1" x14ac:dyDescent="0.25">
      <c r="A1369" s="203">
        <f t="shared" si="28"/>
        <v>1368</v>
      </c>
      <c r="B1369" s="128"/>
      <c r="C1369" s="263"/>
      <c r="D1369" s="262"/>
      <c r="E1369" s="128"/>
      <c r="F1369" s="138" t="s">
        <v>1933</v>
      </c>
      <c r="G1369" s="131"/>
      <c r="H1369" s="128"/>
      <c r="I1369" s="132" t="s">
        <v>148</v>
      </c>
      <c r="J1369" s="133">
        <v>15</v>
      </c>
      <c r="K1369" s="129">
        <v>5</v>
      </c>
      <c r="L1369" s="129">
        <v>5</v>
      </c>
      <c r="M1369" s="129" t="s">
        <v>82</v>
      </c>
      <c r="N1369" s="129" t="s">
        <v>83</v>
      </c>
      <c r="O1369" s="139"/>
      <c r="P1369" s="127"/>
      <c r="Q1369" s="127"/>
      <c r="R1369" s="127"/>
      <c r="S1369" s="127"/>
      <c r="T1369" s="127"/>
      <c r="U1369" s="127"/>
      <c r="V1369" s="127"/>
      <c r="W1369" s="127"/>
      <c r="X1369" s="127"/>
      <c r="Y1369" s="127"/>
      <c r="Z1369" s="153"/>
    </row>
    <row r="1370" spans="1:26" s="149" customFormat="1" x14ac:dyDescent="0.25">
      <c r="A1370" s="203">
        <f t="shared" si="28"/>
        <v>1369</v>
      </c>
      <c r="B1370" s="129"/>
      <c r="C1370" s="263"/>
      <c r="D1370" s="263"/>
      <c r="E1370" s="129"/>
      <c r="F1370" s="4" t="s">
        <v>1933</v>
      </c>
      <c r="G1370" s="131"/>
      <c r="H1370" s="129"/>
      <c r="I1370" s="132" t="s">
        <v>148</v>
      </c>
      <c r="J1370" s="133">
        <v>15</v>
      </c>
      <c r="K1370" s="129">
        <v>5</v>
      </c>
      <c r="L1370" s="129">
        <v>7</v>
      </c>
      <c r="M1370" s="129" t="s">
        <v>82</v>
      </c>
      <c r="N1370" s="129" t="s">
        <v>83</v>
      </c>
      <c r="O1370" s="139"/>
      <c r="P1370" s="127"/>
      <c r="Q1370" s="127"/>
      <c r="R1370" s="127"/>
      <c r="S1370" s="127"/>
      <c r="T1370" s="127"/>
      <c r="U1370" s="127"/>
      <c r="V1370" s="127"/>
      <c r="W1370" s="127"/>
      <c r="X1370" s="127"/>
      <c r="Y1370" s="127"/>
      <c r="Z1370" s="143"/>
    </row>
    <row r="1371" spans="1:26" s="149" customFormat="1" x14ac:dyDescent="0.25">
      <c r="A1371" s="203">
        <f t="shared" si="28"/>
        <v>1370</v>
      </c>
      <c r="B1371" s="128"/>
      <c r="C1371" s="263"/>
      <c r="D1371" s="262"/>
      <c r="E1371" s="128"/>
      <c r="F1371" s="138" t="s">
        <v>1933</v>
      </c>
      <c r="G1371" s="131"/>
      <c r="H1371" s="128"/>
      <c r="I1371" s="132" t="s">
        <v>148</v>
      </c>
      <c r="J1371" s="133">
        <v>15</v>
      </c>
      <c r="K1371" s="129">
        <v>6</v>
      </c>
      <c r="L1371" s="129">
        <v>4</v>
      </c>
      <c r="M1371" s="129" t="s">
        <v>82</v>
      </c>
      <c r="N1371" s="129" t="s">
        <v>83</v>
      </c>
      <c r="O1371" s="139"/>
      <c r="P1371" s="127"/>
      <c r="Q1371" s="127"/>
      <c r="R1371" s="127"/>
      <c r="S1371" s="127"/>
      <c r="T1371" s="127"/>
      <c r="U1371" s="127"/>
      <c r="V1371" s="127"/>
      <c r="W1371" s="127"/>
      <c r="X1371" s="127"/>
      <c r="Y1371" s="127"/>
      <c r="Z1371" s="153"/>
    </row>
    <row r="1372" spans="1:26" s="149" customFormat="1" x14ac:dyDescent="0.25">
      <c r="A1372" s="203">
        <f t="shared" si="28"/>
        <v>1371</v>
      </c>
      <c r="B1372" s="133"/>
      <c r="C1372" s="263"/>
      <c r="D1372" s="262"/>
      <c r="E1372" s="128"/>
      <c r="F1372" s="138" t="s">
        <v>1933</v>
      </c>
      <c r="G1372" s="131"/>
      <c r="H1372" s="128"/>
      <c r="I1372" s="132" t="s">
        <v>148</v>
      </c>
      <c r="J1372" s="133">
        <v>15</v>
      </c>
      <c r="K1372" s="129">
        <v>6</v>
      </c>
      <c r="L1372" s="129">
        <v>5</v>
      </c>
      <c r="M1372" s="129" t="s">
        <v>82</v>
      </c>
      <c r="N1372" s="129" t="s">
        <v>83</v>
      </c>
      <c r="O1372" s="139"/>
      <c r="P1372" s="127"/>
      <c r="Q1372" s="127"/>
      <c r="R1372" s="127"/>
      <c r="S1372" s="127"/>
      <c r="T1372" s="127"/>
      <c r="U1372" s="127"/>
      <c r="V1372" s="127"/>
      <c r="W1372" s="127"/>
      <c r="X1372" s="127"/>
      <c r="Y1372" s="127"/>
      <c r="Z1372" s="140"/>
    </row>
    <row r="1373" spans="1:26" x14ac:dyDescent="0.25">
      <c r="A1373" s="203">
        <f t="shared" ref="A1373:A1436" si="29">ROW()-1</f>
        <v>1372</v>
      </c>
      <c r="B1373" s="128"/>
      <c r="C1373" s="263"/>
      <c r="D1373" s="262"/>
      <c r="E1373" s="128"/>
      <c r="F1373" s="138" t="s">
        <v>1933</v>
      </c>
      <c r="G1373" s="131"/>
      <c r="H1373" s="128"/>
      <c r="I1373" s="132" t="s">
        <v>148</v>
      </c>
      <c r="J1373" s="133">
        <v>15</v>
      </c>
      <c r="K1373" s="129">
        <v>6</v>
      </c>
      <c r="L1373" s="129">
        <v>6</v>
      </c>
      <c r="M1373" s="129" t="s">
        <v>82</v>
      </c>
      <c r="N1373" s="129" t="s">
        <v>83</v>
      </c>
      <c r="O1373" s="139"/>
      <c r="P1373" s="127"/>
      <c r="Q1373" s="127"/>
      <c r="R1373" s="127"/>
      <c r="S1373" s="127"/>
      <c r="T1373" s="127"/>
      <c r="U1373" s="127"/>
      <c r="V1373" s="127"/>
      <c r="W1373" s="127"/>
      <c r="X1373" s="127"/>
      <c r="Y1373" s="127"/>
      <c r="Z1373" s="147"/>
    </row>
    <row r="1374" spans="1:26" x14ac:dyDescent="0.25">
      <c r="A1374" s="203">
        <f t="shared" si="29"/>
        <v>1373</v>
      </c>
      <c r="B1374" s="128"/>
      <c r="C1374" s="263"/>
      <c r="D1374" s="262"/>
      <c r="E1374" s="128"/>
      <c r="F1374" s="138" t="s">
        <v>1933</v>
      </c>
      <c r="G1374" s="131"/>
      <c r="H1374" s="128"/>
      <c r="I1374" s="132" t="s">
        <v>148</v>
      </c>
      <c r="J1374" s="133">
        <v>15</v>
      </c>
      <c r="K1374" s="129">
        <v>6</v>
      </c>
      <c r="L1374" s="129">
        <v>7</v>
      </c>
      <c r="M1374" s="129" t="s">
        <v>82</v>
      </c>
      <c r="N1374" s="129" t="s">
        <v>83</v>
      </c>
      <c r="O1374" s="139"/>
      <c r="P1374" s="127"/>
      <c r="Q1374" s="127"/>
      <c r="R1374" s="127"/>
      <c r="S1374" s="127"/>
      <c r="T1374" s="127"/>
      <c r="U1374" s="127"/>
      <c r="V1374" s="127"/>
      <c r="W1374" s="127"/>
      <c r="X1374" s="127"/>
      <c r="Y1374" s="127"/>
      <c r="Z1374" s="153"/>
    </row>
    <row r="1375" spans="1:26" x14ac:dyDescent="0.25">
      <c r="A1375" s="203">
        <f t="shared" si="29"/>
        <v>1374</v>
      </c>
      <c r="B1375" s="128"/>
      <c r="C1375" s="263"/>
      <c r="D1375" s="262"/>
      <c r="E1375" s="128"/>
      <c r="F1375" s="138" t="s">
        <v>1933</v>
      </c>
      <c r="G1375" s="131"/>
      <c r="H1375" s="128"/>
      <c r="I1375" s="132" t="s">
        <v>148</v>
      </c>
      <c r="J1375" s="133">
        <v>15</v>
      </c>
      <c r="K1375" s="129">
        <v>6</v>
      </c>
      <c r="L1375" s="129">
        <v>8</v>
      </c>
      <c r="M1375" s="129" t="s">
        <v>82</v>
      </c>
      <c r="N1375" s="129" t="s">
        <v>83</v>
      </c>
      <c r="O1375" s="139"/>
      <c r="P1375" s="127"/>
      <c r="Q1375" s="127"/>
      <c r="R1375" s="127"/>
      <c r="S1375" s="127"/>
      <c r="T1375" s="127"/>
      <c r="U1375" s="127"/>
      <c r="V1375" s="127"/>
      <c r="W1375" s="127"/>
      <c r="X1375" s="127"/>
      <c r="Y1375" s="127"/>
      <c r="Z1375" s="153"/>
    </row>
    <row r="1376" spans="1:26" x14ac:dyDescent="0.25">
      <c r="A1376" s="203">
        <f t="shared" si="29"/>
        <v>1375</v>
      </c>
      <c r="B1376" s="128"/>
      <c r="C1376" s="263"/>
      <c r="D1376" s="262"/>
      <c r="E1376" s="128"/>
      <c r="F1376" s="138" t="s">
        <v>1933</v>
      </c>
      <c r="G1376" s="131"/>
      <c r="H1376" s="128"/>
      <c r="I1376" s="132" t="s">
        <v>148</v>
      </c>
      <c r="J1376" s="133">
        <v>15</v>
      </c>
      <c r="K1376" s="129">
        <v>6</v>
      </c>
      <c r="L1376" s="129">
        <v>9</v>
      </c>
      <c r="M1376" s="129" t="s">
        <v>82</v>
      </c>
      <c r="N1376" s="129" t="s">
        <v>83</v>
      </c>
      <c r="O1376" s="139"/>
      <c r="P1376" s="127"/>
      <c r="Q1376" s="127"/>
      <c r="R1376" s="127"/>
      <c r="S1376" s="127"/>
      <c r="T1376" s="127"/>
      <c r="U1376" s="127"/>
      <c r="V1376" s="127"/>
      <c r="W1376" s="127"/>
      <c r="X1376" s="127"/>
      <c r="Y1376" s="127"/>
      <c r="Z1376" s="153"/>
    </row>
    <row r="1377" spans="1:26" x14ac:dyDescent="0.25">
      <c r="A1377" s="203">
        <f t="shared" si="29"/>
        <v>1376</v>
      </c>
      <c r="B1377" s="128"/>
      <c r="C1377" s="263"/>
      <c r="D1377" s="262"/>
      <c r="E1377" s="128"/>
      <c r="F1377" s="138" t="s">
        <v>1933</v>
      </c>
      <c r="G1377" s="131"/>
      <c r="H1377" s="128"/>
      <c r="I1377" s="132" t="s">
        <v>148</v>
      </c>
      <c r="J1377" s="133">
        <v>15</v>
      </c>
      <c r="K1377" s="129">
        <v>6</v>
      </c>
      <c r="L1377" s="129">
        <v>10</v>
      </c>
      <c r="M1377" s="129" t="s">
        <v>82</v>
      </c>
      <c r="N1377" s="129" t="s">
        <v>83</v>
      </c>
      <c r="O1377" s="139"/>
      <c r="P1377" s="127"/>
      <c r="Q1377" s="127"/>
      <c r="R1377" s="127"/>
      <c r="S1377" s="127"/>
      <c r="T1377" s="127"/>
      <c r="U1377" s="127"/>
      <c r="V1377" s="127"/>
      <c r="W1377" s="127"/>
      <c r="X1377" s="127"/>
      <c r="Y1377" s="127"/>
      <c r="Z1377" s="153"/>
    </row>
    <row r="1378" spans="1:26" x14ac:dyDescent="0.25">
      <c r="A1378" s="203">
        <f t="shared" si="29"/>
        <v>1377</v>
      </c>
      <c r="B1378" s="128"/>
      <c r="C1378" s="263"/>
      <c r="D1378" s="262"/>
      <c r="E1378" s="128"/>
      <c r="F1378" s="138" t="s">
        <v>1933</v>
      </c>
      <c r="G1378" s="131"/>
      <c r="H1378" s="128"/>
      <c r="I1378" s="132" t="s">
        <v>148</v>
      </c>
      <c r="J1378" s="133">
        <v>15</v>
      </c>
      <c r="K1378" s="129">
        <v>6</v>
      </c>
      <c r="L1378" s="129">
        <v>11</v>
      </c>
      <c r="M1378" s="129" t="s">
        <v>82</v>
      </c>
      <c r="N1378" s="129" t="s">
        <v>83</v>
      </c>
      <c r="O1378" s="139"/>
      <c r="P1378" s="127"/>
      <c r="Q1378" s="127"/>
      <c r="R1378" s="127"/>
      <c r="S1378" s="127"/>
      <c r="T1378" s="127"/>
      <c r="U1378" s="127"/>
      <c r="V1378" s="127"/>
      <c r="W1378" s="127"/>
      <c r="X1378" s="127"/>
      <c r="Y1378" s="127"/>
      <c r="Z1378" s="153"/>
    </row>
    <row r="1379" spans="1:26" x14ac:dyDescent="0.25">
      <c r="A1379" s="203">
        <f t="shared" si="29"/>
        <v>1378</v>
      </c>
      <c r="B1379" s="128"/>
      <c r="C1379" s="263"/>
      <c r="D1379" s="262"/>
      <c r="E1379" s="128"/>
      <c r="F1379" s="138" t="s">
        <v>1933</v>
      </c>
      <c r="G1379" s="131"/>
      <c r="H1379" s="128"/>
      <c r="I1379" s="132" t="s">
        <v>148</v>
      </c>
      <c r="J1379" s="133">
        <v>15</v>
      </c>
      <c r="K1379" s="129">
        <v>6</v>
      </c>
      <c r="L1379" s="129">
        <v>12</v>
      </c>
      <c r="M1379" s="129" t="s">
        <v>82</v>
      </c>
      <c r="N1379" s="129" t="s">
        <v>83</v>
      </c>
      <c r="O1379" s="139"/>
      <c r="P1379" s="127"/>
      <c r="Q1379" s="127"/>
      <c r="R1379" s="127"/>
      <c r="S1379" s="127"/>
      <c r="T1379" s="127"/>
      <c r="U1379" s="127"/>
      <c r="V1379" s="127"/>
      <c r="W1379" s="127"/>
      <c r="X1379" s="127"/>
      <c r="Y1379" s="127"/>
      <c r="Z1379" s="153"/>
    </row>
    <row r="1380" spans="1:26" x14ac:dyDescent="0.25">
      <c r="A1380" s="203">
        <f t="shared" si="29"/>
        <v>1379</v>
      </c>
      <c r="B1380" s="128"/>
      <c r="C1380" s="263"/>
      <c r="D1380" s="262"/>
      <c r="E1380" s="128"/>
      <c r="F1380" s="138" t="s">
        <v>1933</v>
      </c>
      <c r="G1380" s="131"/>
      <c r="H1380" s="128"/>
      <c r="I1380" s="132" t="s">
        <v>148</v>
      </c>
      <c r="J1380" s="133">
        <v>15</v>
      </c>
      <c r="K1380" s="129">
        <v>6</v>
      </c>
      <c r="L1380" s="129">
        <v>13</v>
      </c>
      <c r="M1380" s="129" t="s">
        <v>82</v>
      </c>
      <c r="N1380" s="129" t="s">
        <v>83</v>
      </c>
      <c r="O1380" s="139"/>
      <c r="P1380" s="127"/>
      <c r="Q1380" s="127"/>
      <c r="R1380" s="127"/>
      <c r="S1380" s="127"/>
      <c r="T1380" s="127"/>
      <c r="U1380" s="127"/>
      <c r="V1380" s="127"/>
      <c r="W1380" s="127"/>
      <c r="X1380" s="127"/>
      <c r="Y1380" s="127"/>
      <c r="Z1380" s="153"/>
    </row>
    <row r="1381" spans="1:26" x14ac:dyDescent="0.25">
      <c r="A1381" s="203">
        <f t="shared" si="29"/>
        <v>1380</v>
      </c>
      <c r="B1381" s="128"/>
      <c r="C1381" s="263"/>
      <c r="D1381" s="262"/>
      <c r="E1381" s="128"/>
      <c r="F1381" s="138" t="s">
        <v>1933</v>
      </c>
      <c r="G1381" s="131"/>
      <c r="H1381" s="128"/>
      <c r="I1381" s="132" t="s">
        <v>148</v>
      </c>
      <c r="J1381" s="133">
        <v>15</v>
      </c>
      <c r="K1381" s="129">
        <v>6</v>
      </c>
      <c r="L1381" s="129">
        <v>14</v>
      </c>
      <c r="M1381" s="129" t="s">
        <v>82</v>
      </c>
      <c r="N1381" s="129" t="s">
        <v>83</v>
      </c>
      <c r="O1381" s="139"/>
      <c r="P1381" s="127"/>
      <c r="Q1381" s="127"/>
      <c r="R1381" s="127"/>
      <c r="S1381" s="127"/>
      <c r="T1381" s="127"/>
      <c r="U1381" s="127"/>
      <c r="V1381" s="127"/>
      <c r="W1381" s="127"/>
      <c r="X1381" s="127"/>
      <c r="Y1381" s="127"/>
      <c r="Z1381" s="153"/>
    </row>
    <row r="1382" spans="1:26" x14ac:dyDescent="0.25">
      <c r="A1382" s="203">
        <f t="shared" si="29"/>
        <v>1381</v>
      </c>
      <c r="B1382" s="128"/>
      <c r="C1382" s="263"/>
      <c r="D1382" s="262"/>
      <c r="E1382" s="128"/>
      <c r="F1382" s="138" t="s">
        <v>1933</v>
      </c>
      <c r="G1382" s="131"/>
      <c r="H1382" s="128"/>
      <c r="I1382" s="132" t="s">
        <v>148</v>
      </c>
      <c r="J1382" s="133">
        <v>15</v>
      </c>
      <c r="K1382" s="129">
        <v>6</v>
      </c>
      <c r="L1382" s="129">
        <v>15</v>
      </c>
      <c r="M1382" s="129" t="s">
        <v>82</v>
      </c>
      <c r="N1382" s="129" t="s">
        <v>83</v>
      </c>
      <c r="O1382" s="139"/>
      <c r="P1382" s="127"/>
      <c r="Q1382" s="127"/>
      <c r="R1382" s="127"/>
      <c r="S1382" s="127"/>
      <c r="T1382" s="127"/>
      <c r="U1382" s="127"/>
      <c r="V1382" s="127"/>
      <c r="W1382" s="127"/>
      <c r="X1382" s="127"/>
      <c r="Y1382" s="127"/>
      <c r="Z1382" s="153"/>
    </row>
    <row r="1383" spans="1:26" x14ac:dyDescent="0.25">
      <c r="A1383" s="203">
        <f t="shared" si="29"/>
        <v>1382</v>
      </c>
      <c r="B1383" s="128"/>
      <c r="C1383" s="263"/>
      <c r="D1383" s="262"/>
      <c r="E1383" s="128"/>
      <c r="F1383" s="138" t="s">
        <v>1933</v>
      </c>
      <c r="G1383" s="131"/>
      <c r="H1383" s="128"/>
      <c r="I1383" s="132" t="s">
        <v>148</v>
      </c>
      <c r="J1383" s="133">
        <v>15</v>
      </c>
      <c r="K1383" s="129">
        <v>7</v>
      </c>
      <c r="L1383" s="129">
        <v>7</v>
      </c>
      <c r="M1383" s="129" t="s">
        <v>658</v>
      </c>
      <c r="N1383" s="129" t="s">
        <v>659</v>
      </c>
      <c r="O1383" s="139"/>
      <c r="P1383" s="127"/>
      <c r="Q1383" s="127"/>
      <c r="R1383" s="127"/>
      <c r="S1383" s="127"/>
      <c r="T1383" s="127"/>
      <c r="U1383" s="127"/>
      <c r="V1383" s="127"/>
      <c r="W1383" s="127"/>
      <c r="X1383" s="127"/>
      <c r="Y1383" s="127"/>
      <c r="Z1383" s="153"/>
    </row>
    <row r="1384" spans="1:26" x14ac:dyDescent="0.25">
      <c r="A1384" s="203">
        <f t="shared" si="29"/>
        <v>1383</v>
      </c>
      <c r="B1384" s="128"/>
      <c r="C1384" s="263"/>
      <c r="D1384" s="262"/>
      <c r="E1384" s="128"/>
      <c r="F1384" s="138" t="s">
        <v>1933</v>
      </c>
      <c r="G1384" s="129"/>
      <c r="H1384" s="128"/>
      <c r="I1384" s="132" t="s">
        <v>148</v>
      </c>
      <c r="J1384" s="133">
        <v>15</v>
      </c>
      <c r="K1384" s="129">
        <v>8</v>
      </c>
      <c r="L1384" s="129">
        <v>7</v>
      </c>
      <c r="M1384" s="129" t="s">
        <v>658</v>
      </c>
      <c r="N1384" s="129" t="s">
        <v>659</v>
      </c>
      <c r="O1384" s="139"/>
      <c r="P1384" s="127"/>
      <c r="Q1384" s="127"/>
      <c r="R1384" s="127"/>
      <c r="S1384" s="127"/>
      <c r="T1384" s="127"/>
      <c r="U1384" s="127"/>
      <c r="V1384" s="127"/>
      <c r="W1384" s="127"/>
      <c r="X1384" s="127"/>
      <c r="Y1384" s="127"/>
      <c r="Z1384" s="153"/>
    </row>
    <row r="1385" spans="1:26" x14ac:dyDescent="0.25">
      <c r="A1385" s="203">
        <f t="shared" si="29"/>
        <v>1384</v>
      </c>
      <c r="B1385" s="128"/>
      <c r="C1385" s="263"/>
      <c r="D1385" s="262"/>
      <c r="E1385" s="128"/>
      <c r="F1385" s="138" t="s">
        <v>1933</v>
      </c>
      <c r="G1385" s="129"/>
      <c r="H1385" s="128"/>
      <c r="I1385" s="132" t="s">
        <v>148</v>
      </c>
      <c r="J1385" s="133">
        <v>15</v>
      </c>
      <c r="K1385" s="129">
        <v>9</v>
      </c>
      <c r="L1385" s="129">
        <v>0</v>
      </c>
      <c r="M1385" s="129" t="s">
        <v>664</v>
      </c>
      <c r="N1385" s="129" t="s">
        <v>665</v>
      </c>
      <c r="O1385" s="139"/>
      <c r="P1385" s="127"/>
      <c r="Q1385" s="127"/>
      <c r="R1385" s="127"/>
      <c r="S1385" s="127"/>
      <c r="T1385" s="127"/>
      <c r="U1385" s="127"/>
      <c r="V1385" s="127"/>
      <c r="W1385" s="127"/>
      <c r="X1385" s="127"/>
      <c r="Y1385" s="127"/>
      <c r="Z1385" s="153"/>
    </row>
    <row r="1386" spans="1:26" x14ac:dyDescent="0.25">
      <c r="A1386" s="203">
        <f t="shared" si="29"/>
        <v>1385</v>
      </c>
      <c r="B1386" s="128"/>
      <c r="C1386" s="263"/>
      <c r="D1386" s="262"/>
      <c r="E1386" s="128"/>
      <c r="F1386" s="138" t="s">
        <v>1933</v>
      </c>
      <c r="G1386" s="129"/>
      <c r="H1386" s="128"/>
      <c r="I1386" s="132" t="s">
        <v>148</v>
      </c>
      <c r="J1386" s="133">
        <v>15</v>
      </c>
      <c r="K1386" s="129">
        <v>9</v>
      </c>
      <c r="L1386" s="129">
        <v>1</v>
      </c>
      <c r="M1386" s="129" t="s">
        <v>664</v>
      </c>
      <c r="N1386" s="129" t="s">
        <v>665</v>
      </c>
      <c r="O1386" s="139"/>
      <c r="P1386" s="127"/>
      <c r="Q1386" s="127"/>
      <c r="R1386" s="127"/>
      <c r="S1386" s="127"/>
      <c r="T1386" s="127"/>
      <c r="U1386" s="127"/>
      <c r="V1386" s="127"/>
      <c r="W1386" s="127"/>
      <c r="X1386" s="127"/>
      <c r="Y1386" s="127"/>
      <c r="Z1386" s="153"/>
    </row>
    <row r="1387" spans="1:26" x14ac:dyDescent="0.25">
      <c r="A1387" s="203">
        <f t="shared" si="29"/>
        <v>1386</v>
      </c>
      <c r="B1387" s="128"/>
      <c r="C1387" s="263"/>
      <c r="D1387" s="262"/>
      <c r="E1387" s="128"/>
      <c r="F1387" s="138" t="s">
        <v>1933</v>
      </c>
      <c r="G1387" s="131"/>
      <c r="H1387" s="128"/>
      <c r="I1387" s="132" t="s">
        <v>148</v>
      </c>
      <c r="J1387" s="133">
        <v>15</v>
      </c>
      <c r="K1387" s="129">
        <v>9</v>
      </c>
      <c r="L1387" s="129">
        <v>2</v>
      </c>
      <c r="M1387" s="129" t="s">
        <v>664</v>
      </c>
      <c r="N1387" s="129" t="s">
        <v>665</v>
      </c>
      <c r="O1387" s="139"/>
      <c r="P1387" s="127"/>
      <c r="Q1387" s="127"/>
      <c r="R1387" s="127"/>
      <c r="S1387" s="127"/>
      <c r="T1387" s="127"/>
      <c r="U1387" s="127"/>
      <c r="V1387" s="127"/>
      <c r="W1387" s="127"/>
      <c r="X1387" s="127"/>
      <c r="Y1387" s="127"/>
      <c r="Z1387" s="153"/>
    </row>
    <row r="1388" spans="1:26" x14ac:dyDescent="0.25">
      <c r="A1388" s="203">
        <f t="shared" si="29"/>
        <v>1387</v>
      </c>
      <c r="B1388" s="128"/>
      <c r="C1388" s="263"/>
      <c r="D1388" s="262"/>
      <c r="E1388" s="128"/>
      <c r="F1388" s="138" t="s">
        <v>1933</v>
      </c>
      <c r="G1388" s="131"/>
      <c r="H1388" s="128"/>
      <c r="I1388" s="132" t="s">
        <v>148</v>
      </c>
      <c r="J1388" s="133">
        <v>15</v>
      </c>
      <c r="K1388" s="129">
        <v>9</v>
      </c>
      <c r="L1388" s="129">
        <v>3</v>
      </c>
      <c r="M1388" s="129" t="s">
        <v>664</v>
      </c>
      <c r="N1388" s="129" t="s">
        <v>665</v>
      </c>
      <c r="O1388" s="139"/>
      <c r="P1388" s="127"/>
      <c r="Q1388" s="127"/>
      <c r="R1388" s="127"/>
      <c r="S1388" s="127"/>
      <c r="T1388" s="127"/>
      <c r="U1388" s="127"/>
      <c r="V1388" s="127"/>
      <c r="W1388" s="127"/>
      <c r="X1388" s="127"/>
      <c r="Y1388" s="127"/>
      <c r="Z1388" s="153"/>
    </row>
    <row r="1389" spans="1:26" x14ac:dyDescent="0.25">
      <c r="A1389" s="203">
        <f t="shared" si="29"/>
        <v>1388</v>
      </c>
      <c r="B1389" s="128"/>
      <c r="C1389" s="263"/>
      <c r="D1389" s="262"/>
      <c r="E1389" s="128"/>
      <c r="F1389" s="138" t="s">
        <v>1933</v>
      </c>
      <c r="G1389" s="131"/>
      <c r="H1389" s="128"/>
      <c r="I1389" s="132" t="s">
        <v>148</v>
      </c>
      <c r="J1389" s="133">
        <v>15</v>
      </c>
      <c r="K1389" s="129">
        <v>9</v>
      </c>
      <c r="L1389" s="129">
        <v>4</v>
      </c>
      <c r="M1389" s="129" t="s">
        <v>664</v>
      </c>
      <c r="N1389" s="129" t="s">
        <v>665</v>
      </c>
      <c r="O1389" s="139"/>
      <c r="P1389" s="127"/>
      <c r="Q1389" s="127"/>
      <c r="R1389" s="127"/>
      <c r="S1389" s="127"/>
      <c r="T1389" s="127"/>
      <c r="U1389" s="127"/>
      <c r="V1389" s="127"/>
      <c r="W1389" s="127"/>
      <c r="X1389" s="127"/>
      <c r="Y1389" s="127"/>
      <c r="Z1389" s="153"/>
    </row>
    <row r="1390" spans="1:26" x14ac:dyDescent="0.25">
      <c r="A1390" s="203">
        <f t="shared" si="29"/>
        <v>1389</v>
      </c>
      <c r="B1390" s="128"/>
      <c r="C1390" s="263"/>
      <c r="D1390" s="262"/>
      <c r="E1390" s="128"/>
      <c r="F1390" s="138" t="s">
        <v>1933</v>
      </c>
      <c r="G1390" s="131"/>
      <c r="H1390" s="128"/>
      <c r="I1390" s="132" t="s">
        <v>148</v>
      </c>
      <c r="J1390" s="133">
        <v>15</v>
      </c>
      <c r="K1390" s="129">
        <v>9</v>
      </c>
      <c r="L1390" s="129">
        <v>5</v>
      </c>
      <c r="M1390" s="129" t="s">
        <v>664</v>
      </c>
      <c r="N1390" s="129" t="s">
        <v>665</v>
      </c>
      <c r="O1390" s="139"/>
      <c r="P1390" s="127"/>
      <c r="Q1390" s="127"/>
      <c r="R1390" s="127"/>
      <c r="S1390" s="127"/>
      <c r="T1390" s="127"/>
      <c r="U1390" s="127"/>
      <c r="V1390" s="127"/>
      <c r="W1390" s="127"/>
      <c r="X1390" s="127"/>
      <c r="Y1390" s="127"/>
      <c r="Z1390" s="153"/>
    </row>
    <row r="1391" spans="1:26" x14ac:dyDescent="0.25">
      <c r="A1391" s="203">
        <f t="shared" si="29"/>
        <v>1390</v>
      </c>
      <c r="B1391" s="128"/>
      <c r="C1391" s="263"/>
      <c r="D1391" s="262"/>
      <c r="E1391" s="128"/>
      <c r="F1391" s="138" t="s">
        <v>1933</v>
      </c>
      <c r="G1391" s="131"/>
      <c r="H1391" s="128"/>
      <c r="I1391" s="132" t="s">
        <v>148</v>
      </c>
      <c r="J1391" s="133">
        <v>15</v>
      </c>
      <c r="K1391" s="129">
        <v>9</v>
      </c>
      <c r="L1391" s="129">
        <v>6</v>
      </c>
      <c r="M1391" s="129" t="s">
        <v>664</v>
      </c>
      <c r="N1391" s="129" t="s">
        <v>665</v>
      </c>
      <c r="O1391" s="139"/>
      <c r="P1391" s="127"/>
      <c r="Q1391" s="127"/>
      <c r="R1391" s="127"/>
      <c r="S1391" s="127"/>
      <c r="T1391" s="127"/>
      <c r="U1391" s="127"/>
      <c r="V1391" s="127"/>
      <c r="W1391" s="127"/>
      <c r="X1391" s="127"/>
      <c r="Y1391" s="127"/>
      <c r="Z1391" s="153"/>
    </row>
    <row r="1392" spans="1:26" x14ac:dyDescent="0.25">
      <c r="A1392" s="203">
        <f t="shared" si="29"/>
        <v>1391</v>
      </c>
      <c r="B1392" s="128"/>
      <c r="C1392" s="263"/>
      <c r="D1392" s="262"/>
      <c r="E1392" s="128"/>
      <c r="F1392" s="138" t="s">
        <v>1933</v>
      </c>
      <c r="G1392" s="131"/>
      <c r="H1392" s="128"/>
      <c r="I1392" s="132" t="s">
        <v>148</v>
      </c>
      <c r="J1392" s="133">
        <v>15</v>
      </c>
      <c r="K1392" s="129">
        <v>9</v>
      </c>
      <c r="L1392" s="129">
        <v>7</v>
      </c>
      <c r="M1392" s="129" t="s">
        <v>664</v>
      </c>
      <c r="N1392" s="129" t="s">
        <v>665</v>
      </c>
      <c r="O1392" s="139"/>
      <c r="P1392" s="127"/>
      <c r="Q1392" s="127"/>
      <c r="R1392" s="127"/>
      <c r="S1392" s="127"/>
      <c r="T1392" s="127"/>
      <c r="U1392" s="127"/>
      <c r="V1392" s="127"/>
      <c r="W1392" s="127"/>
      <c r="X1392" s="127"/>
      <c r="Y1392" s="127"/>
      <c r="Z1392" s="153"/>
    </row>
    <row r="1393" spans="1:26" x14ac:dyDescent="0.25">
      <c r="A1393" s="203">
        <f t="shared" si="29"/>
        <v>1392</v>
      </c>
      <c r="B1393" s="128"/>
      <c r="C1393" s="263"/>
      <c r="D1393" s="262"/>
      <c r="E1393" s="128"/>
      <c r="F1393" s="138" t="s">
        <v>1933</v>
      </c>
      <c r="G1393" s="131"/>
      <c r="H1393" s="128"/>
      <c r="I1393" s="132" t="s">
        <v>1565</v>
      </c>
      <c r="J1393" s="133">
        <v>16</v>
      </c>
      <c r="K1393" s="129">
        <v>1</v>
      </c>
      <c r="L1393" s="129">
        <v>6</v>
      </c>
      <c r="M1393" s="129" t="s">
        <v>138</v>
      </c>
      <c r="N1393" s="129" t="s">
        <v>139</v>
      </c>
      <c r="O1393" s="139"/>
      <c r="P1393" s="127"/>
      <c r="Q1393" s="127"/>
      <c r="R1393" s="127"/>
      <c r="S1393" s="127"/>
      <c r="T1393" s="127"/>
      <c r="U1393" s="127"/>
      <c r="V1393" s="127"/>
      <c r="W1393" s="127"/>
      <c r="X1393" s="127"/>
      <c r="Y1393" s="127"/>
      <c r="Z1393" s="153"/>
    </row>
    <row r="1394" spans="1:26" x14ac:dyDescent="0.25">
      <c r="A1394" s="203">
        <f t="shared" si="29"/>
        <v>1393</v>
      </c>
      <c r="B1394" s="128"/>
      <c r="C1394" s="263"/>
      <c r="D1394" s="262"/>
      <c r="E1394" s="128"/>
      <c r="F1394" s="138" t="s">
        <v>1933</v>
      </c>
      <c r="G1394" s="131"/>
      <c r="H1394" s="128"/>
      <c r="I1394" s="132" t="s">
        <v>1565</v>
      </c>
      <c r="J1394" s="133">
        <v>16</v>
      </c>
      <c r="K1394" s="129">
        <v>1</v>
      </c>
      <c r="L1394" s="129">
        <v>7</v>
      </c>
      <c r="M1394" s="129" t="s">
        <v>138</v>
      </c>
      <c r="N1394" s="129" t="s">
        <v>139</v>
      </c>
      <c r="O1394" s="139"/>
      <c r="P1394" s="127"/>
      <c r="Q1394" s="127"/>
      <c r="R1394" s="127"/>
      <c r="S1394" s="127"/>
      <c r="T1394" s="127"/>
      <c r="U1394" s="127"/>
      <c r="V1394" s="127"/>
      <c r="W1394" s="127"/>
      <c r="X1394" s="127"/>
      <c r="Y1394" s="127"/>
      <c r="Z1394" s="153"/>
    </row>
    <row r="1395" spans="1:26" x14ac:dyDescent="0.25">
      <c r="A1395" s="203">
        <f t="shared" si="29"/>
        <v>1394</v>
      </c>
      <c r="B1395" s="128"/>
      <c r="C1395" s="263"/>
      <c r="D1395" s="262"/>
      <c r="E1395" s="128"/>
      <c r="F1395" s="138" t="s">
        <v>1935</v>
      </c>
      <c r="G1395" s="131"/>
      <c r="H1395" s="128"/>
      <c r="I1395" s="132" t="s">
        <v>1565</v>
      </c>
      <c r="J1395" s="133">
        <v>16</v>
      </c>
      <c r="K1395" s="129">
        <v>2</v>
      </c>
      <c r="L1395" s="129">
        <v>0</v>
      </c>
      <c r="M1395" s="129" t="s">
        <v>1936</v>
      </c>
      <c r="N1395" s="129" t="s">
        <v>295</v>
      </c>
      <c r="O1395" s="139"/>
      <c r="P1395" s="127"/>
      <c r="Q1395" s="127"/>
      <c r="R1395" s="127"/>
      <c r="S1395" s="127"/>
      <c r="T1395" s="127"/>
      <c r="U1395" s="127"/>
      <c r="V1395" s="127"/>
      <c r="W1395" s="127"/>
      <c r="X1395" s="127"/>
      <c r="Y1395" s="127"/>
      <c r="Z1395" s="153"/>
    </row>
    <row r="1396" spans="1:26" x14ac:dyDescent="0.25">
      <c r="A1396" s="203">
        <f t="shared" si="29"/>
        <v>1395</v>
      </c>
      <c r="B1396" s="128"/>
      <c r="C1396" s="263"/>
      <c r="D1396" s="262"/>
      <c r="E1396" s="128"/>
      <c r="F1396" s="138" t="s">
        <v>1933</v>
      </c>
      <c r="G1396" s="131"/>
      <c r="H1396" s="128"/>
      <c r="I1396" s="132" t="s">
        <v>1565</v>
      </c>
      <c r="J1396" s="133">
        <v>16</v>
      </c>
      <c r="K1396" s="129">
        <v>3</v>
      </c>
      <c r="L1396" s="129">
        <v>4</v>
      </c>
      <c r="M1396" s="129" t="s">
        <v>31</v>
      </c>
      <c r="N1396" s="129" t="s">
        <v>32</v>
      </c>
      <c r="O1396" s="139"/>
      <c r="P1396" s="127"/>
      <c r="Q1396" s="127"/>
      <c r="R1396" s="127"/>
      <c r="S1396" s="127"/>
      <c r="T1396" s="127"/>
      <c r="U1396" s="127"/>
      <c r="V1396" s="127"/>
      <c r="W1396" s="127"/>
      <c r="X1396" s="127"/>
      <c r="Y1396" s="127"/>
      <c r="Z1396" s="153"/>
    </row>
    <row r="1397" spans="1:26" x14ac:dyDescent="0.25">
      <c r="A1397" s="203">
        <f t="shared" si="29"/>
        <v>1396</v>
      </c>
      <c r="B1397" s="128"/>
      <c r="C1397" s="263"/>
      <c r="D1397" s="262"/>
      <c r="E1397" s="128"/>
      <c r="F1397" s="138" t="s">
        <v>1933</v>
      </c>
      <c r="G1397" s="131"/>
      <c r="H1397" s="128"/>
      <c r="I1397" s="132" t="s">
        <v>1565</v>
      </c>
      <c r="J1397" s="133">
        <v>16</v>
      </c>
      <c r="K1397" s="129">
        <v>3</v>
      </c>
      <c r="L1397" s="129">
        <v>5</v>
      </c>
      <c r="M1397" s="129" t="s">
        <v>31</v>
      </c>
      <c r="N1397" s="129" t="s">
        <v>32</v>
      </c>
      <c r="O1397" s="139"/>
      <c r="P1397" s="127"/>
      <c r="Q1397" s="127"/>
      <c r="R1397" s="127"/>
      <c r="S1397" s="127"/>
      <c r="T1397" s="127"/>
      <c r="U1397" s="127"/>
      <c r="V1397" s="127"/>
      <c r="W1397" s="127"/>
      <c r="X1397" s="127"/>
      <c r="Y1397" s="127"/>
      <c r="Z1397" s="153"/>
    </row>
    <row r="1398" spans="1:26" x14ac:dyDescent="0.25">
      <c r="A1398" s="203">
        <f t="shared" si="29"/>
        <v>1397</v>
      </c>
      <c r="B1398" s="128"/>
      <c r="C1398" s="263"/>
      <c r="D1398" s="262"/>
      <c r="E1398" s="128"/>
      <c r="F1398" s="138" t="s">
        <v>1933</v>
      </c>
      <c r="G1398" s="131"/>
      <c r="H1398" s="128"/>
      <c r="I1398" s="132" t="s">
        <v>1565</v>
      </c>
      <c r="J1398" s="133">
        <v>16</v>
      </c>
      <c r="K1398" s="129">
        <v>3</v>
      </c>
      <c r="L1398" s="129">
        <v>6</v>
      </c>
      <c r="M1398" s="129" t="s">
        <v>31</v>
      </c>
      <c r="N1398" s="129" t="s">
        <v>32</v>
      </c>
      <c r="O1398" s="139"/>
      <c r="P1398" s="127"/>
      <c r="Q1398" s="127"/>
      <c r="R1398" s="127"/>
      <c r="S1398" s="127"/>
      <c r="T1398" s="127"/>
      <c r="U1398" s="127"/>
      <c r="V1398" s="127"/>
      <c r="W1398" s="127"/>
      <c r="X1398" s="127"/>
      <c r="Y1398" s="127"/>
      <c r="Z1398" s="153"/>
    </row>
    <row r="1399" spans="1:26" x14ac:dyDescent="0.25">
      <c r="A1399" s="203">
        <f t="shared" si="29"/>
        <v>1398</v>
      </c>
      <c r="B1399" s="128"/>
      <c r="C1399" s="263"/>
      <c r="D1399" s="262"/>
      <c r="E1399" s="128"/>
      <c r="F1399" s="138" t="s">
        <v>1933</v>
      </c>
      <c r="G1399" s="131"/>
      <c r="H1399" s="128"/>
      <c r="I1399" s="132" t="s">
        <v>1565</v>
      </c>
      <c r="J1399" s="133">
        <v>16</v>
      </c>
      <c r="K1399" s="129">
        <v>3</v>
      </c>
      <c r="L1399" s="129">
        <v>7</v>
      </c>
      <c r="M1399" s="129" t="s">
        <v>31</v>
      </c>
      <c r="N1399" s="129" t="s">
        <v>32</v>
      </c>
      <c r="O1399" s="139"/>
      <c r="P1399" s="127"/>
      <c r="Q1399" s="127"/>
      <c r="R1399" s="127"/>
      <c r="S1399" s="127"/>
      <c r="T1399" s="127"/>
      <c r="U1399" s="127"/>
      <c r="V1399" s="127"/>
      <c r="W1399" s="127"/>
      <c r="X1399" s="127"/>
      <c r="Y1399" s="127"/>
      <c r="Z1399" s="153"/>
    </row>
    <row r="1400" spans="1:26" x14ac:dyDescent="0.25">
      <c r="A1400" s="203">
        <f t="shared" si="29"/>
        <v>1399</v>
      </c>
      <c r="B1400" s="128"/>
      <c r="C1400" s="263"/>
      <c r="D1400" s="262"/>
      <c r="E1400" s="128"/>
      <c r="F1400" s="138" t="s">
        <v>1933</v>
      </c>
      <c r="G1400" s="131"/>
      <c r="H1400" s="128"/>
      <c r="I1400" s="132" t="s">
        <v>1565</v>
      </c>
      <c r="J1400" s="133">
        <v>16</v>
      </c>
      <c r="K1400" s="129">
        <v>3</v>
      </c>
      <c r="L1400" s="129">
        <v>8</v>
      </c>
      <c r="M1400" s="129" t="s">
        <v>31</v>
      </c>
      <c r="N1400" s="129" t="s">
        <v>32</v>
      </c>
      <c r="O1400" s="139"/>
      <c r="P1400" s="127"/>
      <c r="Q1400" s="127"/>
      <c r="R1400" s="127"/>
      <c r="S1400" s="127"/>
      <c r="T1400" s="127"/>
      <c r="U1400" s="127"/>
      <c r="V1400" s="127"/>
      <c r="W1400" s="127"/>
      <c r="X1400" s="127"/>
      <c r="Y1400" s="127"/>
      <c r="Z1400" s="153"/>
    </row>
    <row r="1401" spans="1:26" x14ac:dyDescent="0.25">
      <c r="A1401" s="203">
        <f t="shared" si="29"/>
        <v>1400</v>
      </c>
      <c r="B1401" s="128"/>
      <c r="C1401" s="263"/>
      <c r="D1401" s="262"/>
      <c r="E1401" s="128"/>
      <c r="F1401" s="138" t="s">
        <v>1933</v>
      </c>
      <c r="G1401" s="131"/>
      <c r="H1401" s="128"/>
      <c r="I1401" s="132" t="s">
        <v>1565</v>
      </c>
      <c r="J1401" s="133">
        <v>16</v>
      </c>
      <c r="K1401" s="129">
        <v>3</v>
      </c>
      <c r="L1401" s="129">
        <v>9</v>
      </c>
      <c r="M1401" s="129" t="s">
        <v>31</v>
      </c>
      <c r="N1401" s="129" t="s">
        <v>32</v>
      </c>
      <c r="O1401" s="139"/>
      <c r="P1401" s="127"/>
      <c r="Q1401" s="127"/>
      <c r="R1401" s="127"/>
      <c r="S1401" s="127"/>
      <c r="T1401" s="127"/>
      <c r="U1401" s="127"/>
      <c r="V1401" s="127"/>
      <c r="W1401" s="127"/>
      <c r="X1401" s="127"/>
      <c r="Y1401" s="127"/>
      <c r="Z1401" s="153"/>
    </row>
    <row r="1402" spans="1:26" x14ac:dyDescent="0.25">
      <c r="A1402" s="203">
        <f t="shared" si="29"/>
        <v>1401</v>
      </c>
      <c r="B1402" s="128"/>
      <c r="C1402" s="263"/>
      <c r="D1402" s="262"/>
      <c r="E1402" s="128"/>
      <c r="F1402" s="138" t="s">
        <v>1933</v>
      </c>
      <c r="G1402" s="131"/>
      <c r="H1402" s="128"/>
      <c r="I1402" s="132" t="s">
        <v>1565</v>
      </c>
      <c r="J1402" s="133">
        <v>16</v>
      </c>
      <c r="K1402" s="129">
        <v>3</v>
      </c>
      <c r="L1402" s="129">
        <v>10</v>
      </c>
      <c r="M1402" s="129" t="s">
        <v>31</v>
      </c>
      <c r="N1402" s="129" t="s">
        <v>32</v>
      </c>
      <c r="O1402" s="139"/>
      <c r="P1402" s="127"/>
      <c r="Q1402" s="127"/>
      <c r="R1402" s="127"/>
      <c r="S1402" s="127"/>
      <c r="T1402" s="127"/>
      <c r="U1402" s="127"/>
      <c r="V1402" s="127"/>
      <c r="W1402" s="127"/>
      <c r="X1402" s="127"/>
      <c r="Y1402" s="127"/>
      <c r="Z1402" s="153"/>
    </row>
    <row r="1403" spans="1:26" x14ac:dyDescent="0.25">
      <c r="A1403" s="203">
        <f t="shared" si="29"/>
        <v>1402</v>
      </c>
      <c r="B1403" s="128"/>
      <c r="C1403" s="263"/>
      <c r="D1403" s="262"/>
      <c r="E1403" s="128"/>
      <c r="F1403" s="138" t="s">
        <v>1933</v>
      </c>
      <c r="G1403" s="131"/>
      <c r="H1403" s="128"/>
      <c r="I1403" s="132" t="s">
        <v>1565</v>
      </c>
      <c r="J1403" s="133">
        <v>16</v>
      </c>
      <c r="K1403" s="129">
        <v>3</v>
      </c>
      <c r="L1403" s="129">
        <v>11</v>
      </c>
      <c r="M1403" s="129" t="s">
        <v>31</v>
      </c>
      <c r="N1403" s="129" t="s">
        <v>32</v>
      </c>
      <c r="O1403" s="139"/>
      <c r="P1403" s="127"/>
      <c r="Q1403" s="127"/>
      <c r="R1403" s="127"/>
      <c r="S1403" s="127"/>
      <c r="T1403" s="127"/>
      <c r="U1403" s="127"/>
      <c r="V1403" s="127"/>
      <c r="W1403" s="127"/>
      <c r="X1403" s="127"/>
      <c r="Y1403" s="127"/>
      <c r="Z1403" s="153"/>
    </row>
    <row r="1404" spans="1:26" x14ac:dyDescent="0.25">
      <c r="A1404" s="203">
        <f t="shared" si="29"/>
        <v>1403</v>
      </c>
      <c r="B1404" s="128"/>
      <c r="C1404" s="263"/>
      <c r="D1404" s="262"/>
      <c r="E1404" s="128"/>
      <c r="F1404" s="138" t="s">
        <v>1933</v>
      </c>
      <c r="G1404" s="131"/>
      <c r="H1404" s="128"/>
      <c r="I1404" s="132" t="s">
        <v>1565</v>
      </c>
      <c r="J1404" s="133">
        <v>16</v>
      </c>
      <c r="K1404" s="129">
        <v>3</v>
      </c>
      <c r="L1404" s="129">
        <v>12</v>
      </c>
      <c r="M1404" s="129" t="s">
        <v>31</v>
      </c>
      <c r="N1404" s="129" t="s">
        <v>32</v>
      </c>
      <c r="O1404" s="139"/>
      <c r="P1404" s="127"/>
      <c r="Q1404" s="127"/>
      <c r="R1404" s="127"/>
      <c r="S1404" s="127"/>
      <c r="T1404" s="127"/>
      <c r="U1404" s="127"/>
      <c r="V1404" s="127"/>
      <c r="W1404" s="127"/>
      <c r="X1404" s="127"/>
      <c r="Y1404" s="127"/>
      <c r="Z1404" s="153"/>
    </row>
    <row r="1405" spans="1:26" x14ac:dyDescent="0.25">
      <c r="A1405" s="203">
        <f t="shared" si="29"/>
        <v>1404</v>
      </c>
      <c r="B1405" s="128"/>
      <c r="C1405" s="263"/>
      <c r="D1405" s="262"/>
      <c r="E1405" s="128"/>
      <c r="F1405" s="138" t="s">
        <v>1933</v>
      </c>
      <c r="G1405" s="131"/>
      <c r="H1405" s="128"/>
      <c r="I1405" s="132" t="s">
        <v>1565</v>
      </c>
      <c r="J1405" s="133">
        <v>16</v>
      </c>
      <c r="K1405" s="129">
        <v>3</v>
      </c>
      <c r="L1405" s="129">
        <v>13</v>
      </c>
      <c r="M1405" s="129" t="s">
        <v>31</v>
      </c>
      <c r="N1405" s="129" t="s">
        <v>32</v>
      </c>
      <c r="O1405" s="139"/>
      <c r="P1405" s="127"/>
      <c r="Q1405" s="127"/>
      <c r="R1405" s="127"/>
      <c r="S1405" s="127"/>
      <c r="T1405" s="127"/>
      <c r="U1405" s="127"/>
      <c r="V1405" s="127"/>
      <c r="W1405" s="127"/>
      <c r="X1405" s="127"/>
      <c r="Y1405" s="127"/>
      <c r="Z1405" s="153"/>
    </row>
    <row r="1406" spans="1:26" x14ac:dyDescent="0.25">
      <c r="A1406" s="203">
        <f t="shared" si="29"/>
        <v>1405</v>
      </c>
      <c r="B1406" s="128"/>
      <c r="C1406" s="263"/>
      <c r="D1406" s="262"/>
      <c r="E1406" s="128"/>
      <c r="F1406" s="138" t="s">
        <v>1933</v>
      </c>
      <c r="G1406" s="131"/>
      <c r="H1406" s="128"/>
      <c r="I1406" s="132" t="s">
        <v>1565</v>
      </c>
      <c r="J1406" s="133">
        <v>16</v>
      </c>
      <c r="K1406" s="129">
        <v>3</v>
      </c>
      <c r="L1406" s="129">
        <v>14</v>
      </c>
      <c r="M1406" s="129" t="s">
        <v>31</v>
      </c>
      <c r="N1406" s="129" t="s">
        <v>32</v>
      </c>
      <c r="O1406" s="139"/>
      <c r="P1406" s="127"/>
      <c r="Q1406" s="127"/>
      <c r="R1406" s="127"/>
      <c r="S1406" s="127"/>
      <c r="T1406" s="127"/>
      <c r="U1406" s="127"/>
      <c r="V1406" s="127"/>
      <c r="W1406" s="127"/>
      <c r="X1406" s="127"/>
      <c r="Y1406" s="127"/>
      <c r="Z1406" s="153"/>
    </row>
    <row r="1407" spans="1:26" x14ac:dyDescent="0.25">
      <c r="A1407" s="203">
        <f t="shared" si="29"/>
        <v>1406</v>
      </c>
      <c r="B1407" s="128"/>
      <c r="C1407" s="263"/>
      <c r="D1407" s="262"/>
      <c r="E1407" s="128"/>
      <c r="F1407" s="138" t="s">
        <v>1933</v>
      </c>
      <c r="G1407" s="131"/>
      <c r="H1407" s="128"/>
      <c r="I1407" s="132" t="s">
        <v>1565</v>
      </c>
      <c r="J1407" s="133">
        <v>16</v>
      </c>
      <c r="K1407" s="129">
        <v>3</v>
      </c>
      <c r="L1407" s="129">
        <v>15</v>
      </c>
      <c r="M1407" s="129" t="s">
        <v>31</v>
      </c>
      <c r="N1407" s="129" t="s">
        <v>32</v>
      </c>
      <c r="O1407" s="139"/>
      <c r="P1407" s="127"/>
      <c r="Q1407" s="127"/>
      <c r="R1407" s="127"/>
      <c r="S1407" s="127"/>
      <c r="T1407" s="127"/>
      <c r="U1407" s="127"/>
      <c r="V1407" s="127"/>
      <c r="W1407" s="127"/>
      <c r="X1407" s="127"/>
      <c r="Y1407" s="127"/>
      <c r="Z1407" s="153"/>
    </row>
    <row r="1408" spans="1:26" x14ac:dyDescent="0.25">
      <c r="A1408" s="203">
        <f t="shared" si="29"/>
        <v>1407</v>
      </c>
      <c r="B1408" s="128"/>
      <c r="C1408" s="263"/>
      <c r="D1408" s="262"/>
      <c r="E1408" s="128"/>
      <c r="F1408" s="138" t="s">
        <v>1935</v>
      </c>
      <c r="G1408" s="131"/>
      <c r="H1408" s="128"/>
      <c r="I1408" s="132" t="s">
        <v>1565</v>
      </c>
      <c r="J1408" s="133">
        <v>16</v>
      </c>
      <c r="K1408" s="129">
        <v>4</v>
      </c>
      <c r="L1408" s="129">
        <v>0</v>
      </c>
      <c r="M1408" s="129" t="s">
        <v>1936</v>
      </c>
      <c r="N1408" s="129" t="s">
        <v>295</v>
      </c>
      <c r="O1408" s="139"/>
      <c r="P1408" s="127"/>
      <c r="Q1408" s="127"/>
      <c r="R1408" s="127"/>
      <c r="S1408" s="127"/>
      <c r="T1408" s="127"/>
      <c r="U1408" s="127"/>
      <c r="V1408" s="127"/>
      <c r="W1408" s="127"/>
      <c r="X1408" s="127"/>
      <c r="Y1408" s="127"/>
      <c r="Z1408" s="153"/>
    </row>
    <row r="1409" spans="1:26" s="149" customFormat="1" x14ac:dyDescent="0.25">
      <c r="A1409" s="203">
        <f t="shared" si="29"/>
        <v>1408</v>
      </c>
      <c r="B1409" s="128"/>
      <c r="C1409" s="263"/>
      <c r="D1409" s="262"/>
      <c r="E1409" s="128"/>
      <c r="F1409" s="138" t="s">
        <v>1933</v>
      </c>
      <c r="G1409" s="131"/>
      <c r="H1409" s="128"/>
      <c r="I1409" s="132" t="s">
        <v>1565</v>
      </c>
      <c r="J1409" s="133">
        <v>16</v>
      </c>
      <c r="K1409" s="129">
        <v>5</v>
      </c>
      <c r="L1409" s="129">
        <v>0</v>
      </c>
      <c r="M1409" s="129" t="s">
        <v>82</v>
      </c>
      <c r="N1409" s="129" t="s">
        <v>83</v>
      </c>
      <c r="O1409" s="139"/>
      <c r="P1409" s="127"/>
      <c r="Q1409" s="127"/>
      <c r="R1409" s="127"/>
      <c r="S1409" s="127"/>
      <c r="T1409" s="127"/>
      <c r="U1409" s="127"/>
      <c r="V1409" s="127"/>
      <c r="W1409" s="127"/>
      <c r="X1409" s="127"/>
      <c r="Y1409" s="127"/>
      <c r="Z1409" s="153"/>
    </row>
    <row r="1410" spans="1:26" s="149" customFormat="1" x14ac:dyDescent="0.25">
      <c r="A1410" s="203">
        <f t="shared" si="29"/>
        <v>1409</v>
      </c>
      <c r="B1410" s="128"/>
      <c r="C1410" s="263"/>
      <c r="D1410" s="262"/>
      <c r="E1410" s="128"/>
      <c r="F1410" s="138" t="s">
        <v>1933</v>
      </c>
      <c r="G1410" s="131"/>
      <c r="H1410" s="128"/>
      <c r="I1410" s="132" t="s">
        <v>1565</v>
      </c>
      <c r="J1410" s="133">
        <v>16</v>
      </c>
      <c r="K1410" s="129">
        <v>5</v>
      </c>
      <c r="L1410" s="129">
        <v>1</v>
      </c>
      <c r="M1410" s="129" t="s">
        <v>82</v>
      </c>
      <c r="N1410" s="129" t="s">
        <v>83</v>
      </c>
      <c r="O1410" s="139"/>
      <c r="P1410" s="127"/>
      <c r="Q1410" s="127"/>
      <c r="R1410" s="127"/>
      <c r="S1410" s="127"/>
      <c r="T1410" s="127"/>
      <c r="U1410" s="127"/>
      <c r="V1410" s="127"/>
      <c r="W1410" s="127"/>
      <c r="X1410" s="127"/>
      <c r="Y1410" s="127"/>
      <c r="Z1410" s="153"/>
    </row>
    <row r="1411" spans="1:26" s="149" customFormat="1" x14ac:dyDescent="0.25">
      <c r="A1411" s="203">
        <f t="shared" si="29"/>
        <v>1410</v>
      </c>
      <c r="B1411" s="128"/>
      <c r="C1411" s="263"/>
      <c r="D1411" s="262"/>
      <c r="E1411" s="128"/>
      <c r="F1411" s="138" t="s">
        <v>1933</v>
      </c>
      <c r="G1411" s="131"/>
      <c r="H1411" s="128"/>
      <c r="I1411" s="132" t="s">
        <v>1565</v>
      </c>
      <c r="J1411" s="133">
        <v>16</v>
      </c>
      <c r="K1411" s="129">
        <v>5</v>
      </c>
      <c r="L1411" s="129">
        <v>2</v>
      </c>
      <c r="M1411" s="129" t="s">
        <v>82</v>
      </c>
      <c r="N1411" s="129" t="s">
        <v>83</v>
      </c>
      <c r="O1411" s="139"/>
      <c r="P1411" s="127"/>
      <c r="Q1411" s="127"/>
      <c r="R1411" s="127"/>
      <c r="S1411" s="127"/>
      <c r="T1411" s="127"/>
      <c r="U1411" s="127"/>
      <c r="V1411" s="127"/>
      <c r="W1411" s="127"/>
      <c r="X1411" s="127"/>
      <c r="Y1411" s="127"/>
      <c r="Z1411" s="153"/>
    </row>
    <row r="1412" spans="1:26" s="149" customFormat="1" x14ac:dyDescent="0.25">
      <c r="A1412" s="203">
        <f t="shared" si="29"/>
        <v>1411</v>
      </c>
      <c r="B1412" s="128"/>
      <c r="C1412" s="263"/>
      <c r="D1412" s="262"/>
      <c r="E1412" s="128"/>
      <c r="F1412" s="138" t="s">
        <v>1933</v>
      </c>
      <c r="G1412" s="131"/>
      <c r="H1412" s="128"/>
      <c r="I1412" s="132" t="s">
        <v>1565</v>
      </c>
      <c r="J1412" s="133">
        <v>16</v>
      </c>
      <c r="K1412" s="129">
        <v>5</v>
      </c>
      <c r="L1412" s="129">
        <v>3</v>
      </c>
      <c r="M1412" s="129" t="s">
        <v>82</v>
      </c>
      <c r="N1412" s="129" t="s">
        <v>83</v>
      </c>
      <c r="O1412" s="139"/>
      <c r="P1412" s="127"/>
      <c r="Q1412" s="127"/>
      <c r="R1412" s="127"/>
      <c r="S1412" s="127"/>
      <c r="T1412" s="127"/>
      <c r="U1412" s="127"/>
      <c r="V1412" s="127"/>
      <c r="W1412" s="127"/>
      <c r="X1412" s="127"/>
      <c r="Y1412" s="127"/>
      <c r="Z1412" s="153"/>
    </row>
    <row r="1413" spans="1:26" x14ac:dyDescent="0.25">
      <c r="A1413" s="203">
        <f t="shared" si="29"/>
        <v>1412</v>
      </c>
      <c r="B1413" s="128"/>
      <c r="C1413" s="263"/>
      <c r="D1413" s="262"/>
      <c r="E1413" s="128"/>
      <c r="F1413" s="138" t="s">
        <v>1933</v>
      </c>
      <c r="G1413" s="131"/>
      <c r="H1413" s="128"/>
      <c r="I1413" s="132" t="s">
        <v>1565</v>
      </c>
      <c r="J1413" s="133">
        <v>16</v>
      </c>
      <c r="K1413" s="129">
        <v>5</v>
      </c>
      <c r="L1413" s="129">
        <v>4</v>
      </c>
      <c r="M1413" s="129" t="s">
        <v>82</v>
      </c>
      <c r="N1413" s="129" t="s">
        <v>83</v>
      </c>
      <c r="O1413" s="139"/>
      <c r="P1413" s="127"/>
      <c r="Q1413" s="127"/>
      <c r="R1413" s="127"/>
      <c r="S1413" s="127"/>
      <c r="T1413" s="127"/>
      <c r="U1413" s="127"/>
      <c r="V1413" s="127"/>
      <c r="W1413" s="127"/>
      <c r="X1413" s="127"/>
      <c r="Y1413" s="127"/>
      <c r="Z1413" s="153"/>
    </row>
    <row r="1414" spans="1:26" x14ac:dyDescent="0.25">
      <c r="A1414" s="203">
        <f t="shared" si="29"/>
        <v>1413</v>
      </c>
      <c r="B1414" s="128"/>
      <c r="C1414" s="263"/>
      <c r="D1414" s="262"/>
      <c r="E1414" s="128"/>
      <c r="F1414" s="138" t="s">
        <v>1933</v>
      </c>
      <c r="G1414" s="131"/>
      <c r="H1414" s="128"/>
      <c r="I1414" s="132" t="s">
        <v>1565</v>
      </c>
      <c r="J1414" s="133">
        <v>16</v>
      </c>
      <c r="K1414" s="129">
        <v>5</v>
      </c>
      <c r="L1414" s="129">
        <v>5</v>
      </c>
      <c r="M1414" s="129" t="s">
        <v>82</v>
      </c>
      <c r="N1414" s="129" t="s">
        <v>83</v>
      </c>
      <c r="O1414" s="139"/>
      <c r="P1414" s="127"/>
      <c r="Q1414" s="127"/>
      <c r="R1414" s="127"/>
      <c r="S1414" s="127"/>
      <c r="T1414" s="127"/>
      <c r="U1414" s="127"/>
      <c r="V1414" s="127"/>
      <c r="W1414" s="127"/>
      <c r="X1414" s="127"/>
      <c r="Y1414" s="127"/>
      <c r="Z1414" s="153"/>
    </row>
    <row r="1415" spans="1:26" x14ac:dyDescent="0.25">
      <c r="A1415" s="203">
        <f t="shared" si="29"/>
        <v>1414</v>
      </c>
      <c r="B1415" s="128"/>
      <c r="C1415" s="263"/>
      <c r="D1415" s="262"/>
      <c r="E1415" s="128"/>
      <c r="F1415" s="138" t="s">
        <v>1933</v>
      </c>
      <c r="G1415" s="131"/>
      <c r="H1415" s="128"/>
      <c r="I1415" s="132" t="s">
        <v>1565</v>
      </c>
      <c r="J1415" s="133">
        <v>16</v>
      </c>
      <c r="K1415" s="129">
        <v>5</v>
      </c>
      <c r="L1415" s="129">
        <v>6</v>
      </c>
      <c r="M1415" s="129" t="s">
        <v>82</v>
      </c>
      <c r="N1415" s="129" t="s">
        <v>83</v>
      </c>
      <c r="O1415" s="139"/>
      <c r="P1415" s="127"/>
      <c r="Q1415" s="127"/>
      <c r="R1415" s="127"/>
      <c r="S1415" s="127"/>
      <c r="T1415" s="127"/>
      <c r="U1415" s="127"/>
      <c r="V1415" s="127"/>
      <c r="W1415" s="127"/>
      <c r="X1415" s="127"/>
      <c r="Y1415" s="127"/>
      <c r="Z1415" s="153"/>
    </row>
    <row r="1416" spans="1:26" x14ac:dyDescent="0.25">
      <c r="A1416" s="203">
        <f t="shared" si="29"/>
        <v>1415</v>
      </c>
      <c r="B1416" s="128"/>
      <c r="C1416" s="263"/>
      <c r="D1416" s="262"/>
      <c r="E1416" s="128"/>
      <c r="F1416" s="138" t="s">
        <v>1933</v>
      </c>
      <c r="G1416" s="129"/>
      <c r="H1416" s="128"/>
      <c r="I1416" s="132" t="s">
        <v>1565</v>
      </c>
      <c r="J1416" s="133">
        <v>16</v>
      </c>
      <c r="K1416" s="129">
        <v>5</v>
      </c>
      <c r="L1416" s="129">
        <v>7</v>
      </c>
      <c r="M1416" s="129" t="s">
        <v>82</v>
      </c>
      <c r="N1416" s="129" t="s">
        <v>83</v>
      </c>
      <c r="O1416" s="139"/>
      <c r="P1416" s="127"/>
      <c r="Q1416" s="127"/>
      <c r="R1416" s="127"/>
      <c r="S1416" s="127"/>
      <c r="T1416" s="127"/>
      <c r="U1416" s="127"/>
      <c r="V1416" s="127"/>
      <c r="W1416" s="127"/>
      <c r="X1416" s="127"/>
      <c r="Y1416" s="127"/>
      <c r="Z1416" s="153"/>
    </row>
    <row r="1417" spans="1:26" x14ac:dyDescent="0.25">
      <c r="A1417" s="203">
        <f t="shared" si="29"/>
        <v>1416</v>
      </c>
      <c r="B1417" s="128"/>
      <c r="C1417" s="263"/>
      <c r="D1417" s="262"/>
      <c r="E1417" s="128"/>
      <c r="F1417" s="138" t="s">
        <v>1933</v>
      </c>
      <c r="G1417" s="129"/>
      <c r="H1417" s="128"/>
      <c r="I1417" s="132" t="s">
        <v>1565</v>
      </c>
      <c r="J1417" s="133">
        <v>16</v>
      </c>
      <c r="K1417" s="129">
        <v>5</v>
      </c>
      <c r="L1417" s="129">
        <v>8</v>
      </c>
      <c r="M1417" s="129" t="s">
        <v>82</v>
      </c>
      <c r="N1417" s="129" t="s">
        <v>83</v>
      </c>
      <c r="O1417" s="139"/>
      <c r="P1417" s="127"/>
      <c r="Q1417" s="127"/>
      <c r="R1417" s="127"/>
      <c r="S1417" s="127"/>
      <c r="T1417" s="127"/>
      <c r="U1417" s="127"/>
      <c r="V1417" s="127"/>
      <c r="W1417" s="127"/>
      <c r="X1417" s="127"/>
      <c r="Y1417" s="127"/>
      <c r="Z1417" s="153"/>
    </row>
    <row r="1418" spans="1:26" x14ac:dyDescent="0.25">
      <c r="A1418" s="203">
        <f t="shared" si="29"/>
        <v>1417</v>
      </c>
      <c r="B1418" s="128"/>
      <c r="C1418" s="263"/>
      <c r="D1418" s="262"/>
      <c r="E1418" s="128"/>
      <c r="F1418" s="138" t="s">
        <v>1933</v>
      </c>
      <c r="G1418" s="131"/>
      <c r="H1418" s="128"/>
      <c r="I1418" s="132" t="s">
        <v>1565</v>
      </c>
      <c r="J1418" s="133">
        <v>16</v>
      </c>
      <c r="K1418" s="129">
        <v>5</v>
      </c>
      <c r="L1418" s="129">
        <v>9</v>
      </c>
      <c r="M1418" s="129" t="s">
        <v>82</v>
      </c>
      <c r="N1418" s="129" t="s">
        <v>83</v>
      </c>
      <c r="O1418" s="139"/>
      <c r="P1418" s="127"/>
      <c r="Q1418" s="127"/>
      <c r="R1418" s="127"/>
      <c r="S1418" s="127"/>
      <c r="T1418" s="127"/>
      <c r="U1418" s="127"/>
      <c r="V1418" s="127"/>
      <c r="W1418" s="127"/>
      <c r="X1418" s="127"/>
      <c r="Y1418" s="127"/>
      <c r="Z1418" s="153"/>
    </row>
    <row r="1419" spans="1:26" x14ac:dyDescent="0.25">
      <c r="A1419" s="203">
        <f t="shared" si="29"/>
        <v>1418</v>
      </c>
      <c r="B1419" s="128"/>
      <c r="C1419" s="263"/>
      <c r="D1419" s="262"/>
      <c r="E1419" s="128"/>
      <c r="F1419" s="138" t="s">
        <v>1933</v>
      </c>
      <c r="G1419" s="131"/>
      <c r="H1419" s="128"/>
      <c r="I1419" s="132" t="s">
        <v>1565</v>
      </c>
      <c r="J1419" s="133">
        <v>16</v>
      </c>
      <c r="K1419" s="129">
        <v>5</v>
      </c>
      <c r="L1419" s="129">
        <v>10</v>
      </c>
      <c r="M1419" s="129" t="s">
        <v>82</v>
      </c>
      <c r="N1419" s="129" t="s">
        <v>83</v>
      </c>
      <c r="O1419" s="139"/>
      <c r="P1419" s="127"/>
      <c r="Q1419" s="127"/>
      <c r="R1419" s="127"/>
      <c r="S1419" s="127"/>
      <c r="T1419" s="127"/>
      <c r="U1419" s="127"/>
      <c r="V1419" s="127"/>
      <c r="W1419" s="127"/>
      <c r="X1419" s="127"/>
      <c r="Y1419" s="127"/>
      <c r="Z1419" s="153"/>
    </row>
    <row r="1420" spans="1:26" x14ac:dyDescent="0.25">
      <c r="A1420" s="203">
        <f t="shared" si="29"/>
        <v>1419</v>
      </c>
      <c r="B1420" s="128"/>
      <c r="C1420" s="263"/>
      <c r="D1420" s="262"/>
      <c r="E1420" s="128"/>
      <c r="F1420" s="138" t="s">
        <v>1933</v>
      </c>
      <c r="G1420" s="131"/>
      <c r="H1420" s="128"/>
      <c r="I1420" s="132" t="s">
        <v>1565</v>
      </c>
      <c r="J1420" s="133">
        <v>16</v>
      </c>
      <c r="K1420" s="129">
        <v>5</v>
      </c>
      <c r="L1420" s="129">
        <v>15</v>
      </c>
      <c r="M1420" s="129" t="s">
        <v>82</v>
      </c>
      <c r="N1420" s="129" t="s">
        <v>83</v>
      </c>
      <c r="O1420" s="139"/>
      <c r="P1420" s="127"/>
      <c r="Q1420" s="127"/>
      <c r="R1420" s="127"/>
      <c r="S1420" s="127"/>
      <c r="T1420" s="127"/>
      <c r="U1420" s="127"/>
      <c r="V1420" s="127"/>
      <c r="W1420" s="127"/>
      <c r="X1420" s="127"/>
      <c r="Y1420" s="127"/>
      <c r="Z1420" s="153"/>
    </row>
    <row r="1421" spans="1:26" x14ac:dyDescent="0.25">
      <c r="A1421" s="203">
        <f t="shared" si="29"/>
        <v>1420</v>
      </c>
      <c r="B1421" s="128"/>
      <c r="C1421" s="263"/>
      <c r="D1421" s="262"/>
      <c r="E1421" s="128"/>
      <c r="F1421" s="138" t="s">
        <v>1935</v>
      </c>
      <c r="G1421" s="131"/>
      <c r="H1421" s="128"/>
      <c r="I1421" s="132" t="s">
        <v>1565</v>
      </c>
      <c r="J1421" s="133">
        <v>16</v>
      </c>
      <c r="K1421" s="129">
        <v>6</v>
      </c>
      <c r="L1421" s="129">
        <v>0</v>
      </c>
      <c r="M1421" s="129" t="s">
        <v>1936</v>
      </c>
      <c r="N1421" s="129" t="s">
        <v>295</v>
      </c>
      <c r="O1421" s="139"/>
      <c r="P1421" s="127"/>
      <c r="Q1421" s="127"/>
      <c r="R1421" s="127"/>
      <c r="S1421" s="127"/>
      <c r="T1421" s="127"/>
      <c r="U1421" s="127"/>
      <c r="V1421" s="127"/>
      <c r="W1421" s="127"/>
      <c r="X1421" s="127"/>
      <c r="Y1421" s="127"/>
      <c r="Z1421" s="153"/>
    </row>
    <row r="1422" spans="1:26" x14ac:dyDescent="0.25">
      <c r="A1422" s="203">
        <f t="shared" si="29"/>
        <v>1421</v>
      </c>
      <c r="B1422" s="128"/>
      <c r="C1422" s="263"/>
      <c r="D1422" s="262"/>
      <c r="E1422" s="128"/>
      <c r="F1422" s="138" t="s">
        <v>1933</v>
      </c>
      <c r="G1422" s="131"/>
      <c r="H1422" s="128"/>
      <c r="I1422" s="132" t="s">
        <v>1565</v>
      </c>
      <c r="J1422" s="133">
        <v>16</v>
      </c>
      <c r="K1422" s="129">
        <v>8</v>
      </c>
      <c r="L1422" s="129">
        <v>3</v>
      </c>
      <c r="M1422" s="129" t="s">
        <v>658</v>
      </c>
      <c r="N1422" s="129" t="s">
        <v>659</v>
      </c>
      <c r="O1422" s="139"/>
      <c r="P1422" s="127"/>
      <c r="Q1422" s="127"/>
      <c r="R1422" s="127"/>
      <c r="S1422" s="127"/>
      <c r="T1422" s="127"/>
      <c r="U1422" s="127"/>
      <c r="V1422" s="127"/>
      <c r="W1422" s="127"/>
      <c r="X1422" s="127"/>
      <c r="Y1422" s="127"/>
      <c r="Z1422" s="153"/>
    </row>
    <row r="1423" spans="1:26" x14ac:dyDescent="0.25">
      <c r="A1423" s="203">
        <f t="shared" si="29"/>
        <v>1422</v>
      </c>
      <c r="B1423" s="128"/>
      <c r="C1423" s="263"/>
      <c r="D1423" s="262"/>
      <c r="E1423" s="128"/>
      <c r="F1423" s="138" t="s">
        <v>1933</v>
      </c>
      <c r="G1423" s="131"/>
      <c r="H1423" s="128"/>
      <c r="I1423" s="132" t="s">
        <v>1565</v>
      </c>
      <c r="J1423" s="133">
        <v>16</v>
      </c>
      <c r="K1423" s="129">
        <v>8</v>
      </c>
      <c r="L1423" s="129">
        <v>4</v>
      </c>
      <c r="M1423" s="129" t="s">
        <v>658</v>
      </c>
      <c r="N1423" s="129" t="s">
        <v>659</v>
      </c>
      <c r="O1423" s="139"/>
      <c r="P1423" s="127"/>
      <c r="Q1423" s="127"/>
      <c r="R1423" s="127"/>
      <c r="S1423" s="127"/>
      <c r="T1423" s="127"/>
      <c r="U1423" s="127"/>
      <c r="V1423" s="127"/>
      <c r="W1423" s="127"/>
      <c r="X1423" s="127"/>
      <c r="Y1423" s="127"/>
      <c r="Z1423" s="153"/>
    </row>
    <row r="1424" spans="1:26" s="149" customFormat="1" x14ac:dyDescent="0.25">
      <c r="A1424" s="203">
        <f t="shared" si="29"/>
        <v>1423</v>
      </c>
      <c r="B1424" s="128"/>
      <c r="C1424" s="263"/>
      <c r="D1424" s="262"/>
      <c r="E1424" s="128"/>
      <c r="F1424" s="138" t="s">
        <v>1933</v>
      </c>
      <c r="G1424" s="131"/>
      <c r="H1424" s="128"/>
      <c r="I1424" s="132" t="s">
        <v>1565</v>
      </c>
      <c r="J1424" s="133">
        <v>16</v>
      </c>
      <c r="K1424" s="129">
        <v>8</v>
      </c>
      <c r="L1424" s="129">
        <v>5</v>
      </c>
      <c r="M1424" s="129" t="s">
        <v>658</v>
      </c>
      <c r="N1424" s="129" t="s">
        <v>659</v>
      </c>
      <c r="O1424" s="139"/>
      <c r="P1424" s="127"/>
      <c r="Q1424" s="127"/>
      <c r="R1424" s="127"/>
      <c r="S1424" s="127"/>
      <c r="T1424" s="127"/>
      <c r="U1424" s="127"/>
      <c r="V1424" s="127"/>
      <c r="W1424" s="127"/>
      <c r="X1424" s="127"/>
      <c r="Y1424" s="127"/>
      <c r="Z1424" s="153"/>
    </row>
    <row r="1425" spans="1:26" s="149" customFormat="1" x14ac:dyDescent="0.25">
      <c r="A1425" s="203">
        <f t="shared" si="29"/>
        <v>1424</v>
      </c>
      <c r="B1425" s="128"/>
      <c r="C1425" s="263"/>
      <c r="D1425" s="262"/>
      <c r="E1425" s="128"/>
      <c r="F1425" s="138" t="s">
        <v>1933</v>
      </c>
      <c r="G1425" s="131"/>
      <c r="H1425" s="128"/>
      <c r="I1425" s="132" t="s">
        <v>1565</v>
      </c>
      <c r="J1425" s="133">
        <v>16</v>
      </c>
      <c r="K1425" s="129">
        <v>8</v>
      </c>
      <c r="L1425" s="129">
        <v>6</v>
      </c>
      <c r="M1425" s="129" t="s">
        <v>658</v>
      </c>
      <c r="N1425" s="129" t="s">
        <v>659</v>
      </c>
      <c r="O1425" s="139"/>
      <c r="P1425" s="127"/>
      <c r="Q1425" s="127"/>
      <c r="R1425" s="127"/>
      <c r="S1425" s="127"/>
      <c r="T1425" s="127"/>
      <c r="U1425" s="127"/>
      <c r="V1425" s="127"/>
      <c r="W1425" s="127"/>
      <c r="X1425" s="127"/>
      <c r="Y1425" s="127"/>
      <c r="Z1425" s="153"/>
    </row>
    <row r="1426" spans="1:26" s="149" customFormat="1" x14ac:dyDescent="0.25">
      <c r="A1426" s="203">
        <f t="shared" si="29"/>
        <v>1425</v>
      </c>
      <c r="B1426" s="128"/>
      <c r="C1426" s="263"/>
      <c r="D1426" s="262"/>
      <c r="E1426" s="128"/>
      <c r="F1426" s="138" t="s">
        <v>1933</v>
      </c>
      <c r="G1426" s="131"/>
      <c r="H1426" s="128"/>
      <c r="I1426" s="132" t="s">
        <v>1565</v>
      </c>
      <c r="J1426" s="133">
        <v>16</v>
      </c>
      <c r="K1426" s="129">
        <v>8</v>
      </c>
      <c r="L1426" s="129">
        <v>7</v>
      </c>
      <c r="M1426" s="129" t="s">
        <v>658</v>
      </c>
      <c r="N1426" s="129" t="s">
        <v>659</v>
      </c>
      <c r="O1426" s="139"/>
      <c r="P1426" s="127"/>
      <c r="Q1426" s="127"/>
      <c r="R1426" s="127"/>
      <c r="S1426" s="127"/>
      <c r="T1426" s="127"/>
      <c r="U1426" s="127"/>
      <c r="V1426" s="127"/>
      <c r="W1426" s="127"/>
      <c r="X1426" s="127"/>
      <c r="Y1426" s="127"/>
      <c r="Z1426" s="153"/>
    </row>
    <row r="1427" spans="1:26" s="149" customFormat="1" x14ac:dyDescent="0.25">
      <c r="A1427" s="203">
        <f t="shared" si="29"/>
        <v>1426</v>
      </c>
      <c r="B1427" s="128"/>
      <c r="C1427" s="263"/>
      <c r="D1427" s="262"/>
      <c r="E1427" s="128"/>
      <c r="F1427" s="138" t="s">
        <v>1935</v>
      </c>
      <c r="G1427" s="131"/>
      <c r="H1427" s="128"/>
      <c r="I1427" s="132" t="s">
        <v>1565</v>
      </c>
      <c r="J1427" s="133">
        <v>16</v>
      </c>
      <c r="K1427" s="129">
        <v>9</v>
      </c>
      <c r="L1427" s="129">
        <v>0</v>
      </c>
      <c r="M1427" s="129" t="s">
        <v>1936</v>
      </c>
      <c r="N1427" s="129" t="s">
        <v>295</v>
      </c>
      <c r="O1427" s="139"/>
      <c r="P1427" s="127"/>
      <c r="Q1427" s="127"/>
      <c r="R1427" s="127"/>
      <c r="S1427" s="127"/>
      <c r="T1427" s="127"/>
      <c r="U1427" s="127"/>
      <c r="V1427" s="127"/>
      <c r="W1427" s="127"/>
      <c r="X1427" s="127"/>
      <c r="Y1427" s="127"/>
      <c r="Z1427" s="153"/>
    </row>
    <row r="1428" spans="1:26" s="149" customFormat="1" x14ac:dyDescent="0.25">
      <c r="A1428" s="203">
        <f t="shared" si="29"/>
        <v>1427</v>
      </c>
      <c r="B1428" s="129"/>
      <c r="C1428" s="263"/>
      <c r="D1428" s="263"/>
      <c r="E1428" s="129"/>
      <c r="F1428" s="4" t="s">
        <v>1933</v>
      </c>
      <c r="G1428" s="131"/>
      <c r="H1428" s="129"/>
      <c r="I1428" s="129" t="s">
        <v>1648</v>
      </c>
      <c r="J1428" s="133">
        <v>17</v>
      </c>
      <c r="K1428" s="129">
        <v>1</v>
      </c>
      <c r="L1428" s="129">
        <v>9</v>
      </c>
      <c r="M1428" s="129" t="s">
        <v>31</v>
      </c>
      <c r="N1428" s="129" t="s">
        <v>945</v>
      </c>
      <c r="O1428" s="127"/>
      <c r="P1428" s="127"/>
      <c r="Q1428" s="127"/>
      <c r="R1428" s="127"/>
      <c r="S1428" s="127"/>
      <c r="T1428" s="127"/>
      <c r="U1428" s="127"/>
      <c r="V1428" s="127"/>
      <c r="W1428" s="127"/>
      <c r="X1428" s="127"/>
      <c r="Y1428" s="127"/>
      <c r="Z1428" s="140"/>
    </row>
    <row r="1429" spans="1:26" x14ac:dyDescent="0.25">
      <c r="A1429" s="203">
        <f t="shared" si="29"/>
        <v>1428</v>
      </c>
      <c r="B1429" s="128"/>
      <c r="C1429" s="263"/>
      <c r="D1429" s="262"/>
      <c r="E1429" s="128"/>
      <c r="F1429" s="4" t="s">
        <v>1933</v>
      </c>
      <c r="G1429" s="131"/>
      <c r="H1429" s="128"/>
      <c r="I1429" s="129" t="s">
        <v>1648</v>
      </c>
      <c r="J1429" s="133">
        <v>17</v>
      </c>
      <c r="K1429" s="129">
        <v>1</v>
      </c>
      <c r="L1429" s="129">
        <v>10</v>
      </c>
      <c r="M1429" s="129" t="s">
        <v>31</v>
      </c>
      <c r="N1429" s="129" t="s">
        <v>945</v>
      </c>
      <c r="O1429" s="139"/>
      <c r="P1429" s="127"/>
      <c r="Q1429" s="127"/>
      <c r="R1429" s="127"/>
      <c r="S1429" s="127"/>
      <c r="T1429" s="127"/>
      <c r="U1429" s="127"/>
      <c r="V1429" s="127"/>
      <c r="W1429" s="127"/>
      <c r="X1429" s="127"/>
      <c r="Y1429" s="127"/>
      <c r="Z1429" s="140"/>
    </row>
    <row r="1430" spans="1:26" x14ac:dyDescent="0.25">
      <c r="A1430" s="203">
        <f t="shared" si="29"/>
        <v>1429</v>
      </c>
      <c r="B1430" s="128"/>
      <c r="C1430" s="263"/>
      <c r="D1430" s="262"/>
      <c r="E1430" s="128"/>
      <c r="F1430" s="4" t="s">
        <v>1933</v>
      </c>
      <c r="G1430" s="131"/>
      <c r="H1430" s="128"/>
      <c r="I1430" s="129" t="s">
        <v>1648</v>
      </c>
      <c r="J1430" s="133">
        <v>17</v>
      </c>
      <c r="K1430" s="129">
        <v>1</v>
      </c>
      <c r="L1430" s="129">
        <v>11</v>
      </c>
      <c r="M1430" s="129" t="s">
        <v>31</v>
      </c>
      <c r="N1430" s="129" t="s">
        <v>945</v>
      </c>
      <c r="O1430" s="139"/>
      <c r="P1430" s="127"/>
      <c r="Q1430" s="127"/>
      <c r="R1430" s="127"/>
      <c r="S1430" s="127"/>
      <c r="T1430" s="127"/>
      <c r="U1430" s="127"/>
      <c r="V1430" s="127"/>
      <c r="W1430" s="127"/>
      <c r="X1430" s="127"/>
      <c r="Y1430" s="127"/>
      <c r="Z1430" s="140"/>
    </row>
    <row r="1431" spans="1:26" x14ac:dyDescent="0.25">
      <c r="A1431" s="203">
        <f t="shared" si="29"/>
        <v>1430</v>
      </c>
      <c r="B1431" s="128"/>
      <c r="C1431" s="263"/>
      <c r="D1431" s="262"/>
      <c r="E1431" s="128"/>
      <c r="F1431" s="4" t="s">
        <v>1933</v>
      </c>
      <c r="G1431" s="131"/>
      <c r="H1431" s="128"/>
      <c r="I1431" s="129" t="s">
        <v>1648</v>
      </c>
      <c r="J1431" s="133">
        <v>17</v>
      </c>
      <c r="K1431" s="129">
        <v>1</v>
      </c>
      <c r="L1431" s="129">
        <v>12</v>
      </c>
      <c r="M1431" s="129" t="s">
        <v>31</v>
      </c>
      <c r="N1431" s="129" t="s">
        <v>945</v>
      </c>
      <c r="O1431" s="139"/>
      <c r="P1431" s="127"/>
      <c r="Q1431" s="127"/>
      <c r="R1431" s="127"/>
      <c r="S1431" s="127"/>
      <c r="T1431" s="127"/>
      <c r="U1431" s="127"/>
      <c r="V1431" s="127"/>
      <c r="W1431" s="127"/>
      <c r="X1431" s="127"/>
      <c r="Y1431" s="127"/>
      <c r="Z1431" s="140"/>
    </row>
    <row r="1432" spans="1:26" x14ac:dyDescent="0.25">
      <c r="A1432" s="203">
        <f t="shared" si="29"/>
        <v>1431</v>
      </c>
      <c r="B1432" s="128"/>
      <c r="C1432" s="263"/>
      <c r="D1432" s="262"/>
      <c r="E1432" s="128"/>
      <c r="F1432" s="4" t="s">
        <v>1933</v>
      </c>
      <c r="G1432" s="131"/>
      <c r="H1432" s="128"/>
      <c r="I1432" s="129" t="s">
        <v>1648</v>
      </c>
      <c r="J1432" s="133">
        <v>17</v>
      </c>
      <c r="K1432" s="129">
        <v>1</v>
      </c>
      <c r="L1432" s="129">
        <v>13</v>
      </c>
      <c r="M1432" s="129" t="s">
        <v>31</v>
      </c>
      <c r="N1432" s="129" t="s">
        <v>945</v>
      </c>
      <c r="O1432" s="139"/>
      <c r="P1432" s="127"/>
      <c r="Q1432" s="127"/>
      <c r="R1432" s="127"/>
      <c r="S1432" s="127"/>
      <c r="T1432" s="127"/>
      <c r="U1432" s="127"/>
      <c r="V1432" s="127"/>
      <c r="W1432" s="127"/>
      <c r="X1432" s="127"/>
      <c r="Y1432" s="127"/>
      <c r="Z1432" s="140"/>
    </row>
    <row r="1433" spans="1:26" x14ac:dyDescent="0.25">
      <c r="A1433" s="203">
        <f t="shared" si="29"/>
        <v>1432</v>
      </c>
      <c r="B1433" s="128"/>
      <c r="C1433" s="263"/>
      <c r="D1433" s="262"/>
      <c r="E1433" s="128"/>
      <c r="F1433" s="4" t="s">
        <v>1933</v>
      </c>
      <c r="G1433" s="131"/>
      <c r="H1433" s="128"/>
      <c r="I1433" s="129" t="s">
        <v>1648</v>
      </c>
      <c r="J1433" s="133">
        <v>17</v>
      </c>
      <c r="K1433" s="129">
        <v>1</v>
      </c>
      <c r="L1433" s="129">
        <v>14</v>
      </c>
      <c r="M1433" s="129" t="s">
        <v>31</v>
      </c>
      <c r="N1433" s="129" t="s">
        <v>945</v>
      </c>
      <c r="O1433" s="139"/>
      <c r="P1433" s="127"/>
      <c r="Q1433" s="127"/>
      <c r="R1433" s="127"/>
      <c r="S1433" s="127"/>
      <c r="T1433" s="127"/>
      <c r="U1433" s="127"/>
      <c r="V1433" s="127"/>
      <c r="W1433" s="127"/>
      <c r="X1433" s="127"/>
      <c r="Y1433" s="127"/>
      <c r="Z1433" s="140"/>
    </row>
    <row r="1434" spans="1:26" x14ac:dyDescent="0.25">
      <c r="A1434" s="203">
        <f t="shared" si="29"/>
        <v>1433</v>
      </c>
      <c r="B1434" s="128"/>
      <c r="C1434" s="263"/>
      <c r="D1434" s="262"/>
      <c r="E1434" s="128"/>
      <c r="F1434" s="4" t="s">
        <v>1933</v>
      </c>
      <c r="G1434" s="131"/>
      <c r="H1434" s="128"/>
      <c r="I1434" s="129" t="s">
        <v>1648</v>
      </c>
      <c r="J1434" s="133">
        <v>17</v>
      </c>
      <c r="K1434" s="129">
        <v>1</v>
      </c>
      <c r="L1434" s="129">
        <v>15</v>
      </c>
      <c r="M1434" s="129" t="s">
        <v>31</v>
      </c>
      <c r="N1434" s="129" t="s">
        <v>945</v>
      </c>
      <c r="O1434" s="139"/>
      <c r="P1434" s="127"/>
      <c r="Q1434" s="127"/>
      <c r="R1434" s="127"/>
      <c r="S1434" s="127"/>
      <c r="T1434" s="127"/>
      <c r="U1434" s="127"/>
      <c r="V1434" s="127"/>
      <c r="W1434" s="127"/>
      <c r="X1434" s="127"/>
      <c r="Y1434" s="127"/>
      <c r="Z1434" s="140"/>
    </row>
    <row r="1435" spans="1:26" x14ac:dyDescent="0.25">
      <c r="A1435" s="203">
        <f t="shared" si="29"/>
        <v>1434</v>
      </c>
      <c r="B1435" s="128"/>
      <c r="C1435" s="263"/>
      <c r="D1435" s="262"/>
      <c r="E1435" s="128"/>
      <c r="F1435" s="138" t="s">
        <v>1935</v>
      </c>
      <c r="G1435" s="131"/>
      <c r="H1435" s="128"/>
      <c r="I1435" s="129" t="s">
        <v>1648</v>
      </c>
      <c r="J1435" s="133">
        <v>17</v>
      </c>
      <c r="K1435" s="129">
        <v>2</v>
      </c>
      <c r="L1435" s="129">
        <v>0</v>
      </c>
      <c r="M1435" s="131" t="s">
        <v>1936</v>
      </c>
      <c r="N1435" s="129" t="s">
        <v>295</v>
      </c>
      <c r="O1435" s="139"/>
      <c r="P1435" s="140"/>
      <c r="Q1435" s="158"/>
      <c r="R1435" s="158"/>
      <c r="S1435" s="158"/>
      <c r="T1435" s="158"/>
      <c r="U1435" s="158"/>
      <c r="V1435" s="158"/>
      <c r="W1435" s="158"/>
      <c r="X1435" s="158"/>
      <c r="Y1435" s="158"/>
      <c r="Z1435" s="158"/>
    </row>
    <row r="1436" spans="1:26" x14ac:dyDescent="0.25">
      <c r="A1436" s="203">
        <f t="shared" si="29"/>
        <v>1435</v>
      </c>
      <c r="B1436" s="128"/>
      <c r="C1436" s="263"/>
      <c r="D1436" s="262"/>
      <c r="E1436" s="128"/>
      <c r="F1436" s="4" t="s">
        <v>1933</v>
      </c>
      <c r="G1436" s="131"/>
      <c r="H1436" s="128"/>
      <c r="I1436" s="129" t="s">
        <v>1648</v>
      </c>
      <c r="J1436" s="133">
        <v>17</v>
      </c>
      <c r="K1436" s="129">
        <v>3</v>
      </c>
      <c r="L1436" s="129">
        <v>2</v>
      </c>
      <c r="M1436" s="129" t="s">
        <v>82</v>
      </c>
      <c r="N1436" s="129" t="s">
        <v>945</v>
      </c>
      <c r="O1436" s="139"/>
      <c r="P1436" s="127"/>
      <c r="Q1436" s="127"/>
      <c r="R1436" s="127"/>
      <c r="S1436" s="127"/>
      <c r="T1436" s="127"/>
      <c r="U1436" s="127"/>
      <c r="V1436" s="127"/>
      <c r="W1436" s="127"/>
      <c r="X1436" s="127"/>
      <c r="Y1436" s="127"/>
      <c r="Z1436" s="140"/>
    </row>
    <row r="1437" spans="1:26" x14ac:dyDescent="0.25">
      <c r="A1437" s="203">
        <f t="shared" ref="A1437:A1500" si="30">ROW()-1</f>
        <v>1436</v>
      </c>
      <c r="B1437" s="128"/>
      <c r="C1437" s="263"/>
      <c r="D1437" s="262"/>
      <c r="E1437" s="128"/>
      <c r="F1437" s="4" t="s">
        <v>1933</v>
      </c>
      <c r="G1437" s="131"/>
      <c r="H1437" s="128"/>
      <c r="I1437" s="129" t="s">
        <v>1648</v>
      </c>
      <c r="J1437" s="133">
        <v>17</v>
      </c>
      <c r="K1437" s="129">
        <v>3</v>
      </c>
      <c r="L1437" s="129">
        <v>3</v>
      </c>
      <c r="M1437" s="129" t="s">
        <v>82</v>
      </c>
      <c r="N1437" s="129" t="s">
        <v>945</v>
      </c>
      <c r="O1437" s="139"/>
      <c r="P1437" s="127"/>
      <c r="Q1437" s="127"/>
      <c r="R1437" s="127"/>
      <c r="S1437" s="127"/>
      <c r="T1437" s="127"/>
      <c r="U1437" s="127"/>
      <c r="V1437" s="127"/>
      <c r="W1437" s="127"/>
      <c r="X1437" s="127"/>
      <c r="Y1437" s="127"/>
      <c r="Z1437" s="140"/>
    </row>
    <row r="1438" spans="1:26" x14ac:dyDescent="0.25">
      <c r="A1438" s="203">
        <f t="shared" si="30"/>
        <v>1437</v>
      </c>
      <c r="B1438" s="128"/>
      <c r="C1438" s="263"/>
      <c r="D1438" s="262"/>
      <c r="E1438" s="128"/>
      <c r="F1438" s="4" t="s">
        <v>1933</v>
      </c>
      <c r="G1438" s="131"/>
      <c r="H1438" s="128"/>
      <c r="I1438" s="129" t="s">
        <v>1648</v>
      </c>
      <c r="J1438" s="133">
        <v>17</v>
      </c>
      <c r="K1438" s="129">
        <v>3</v>
      </c>
      <c r="L1438" s="129">
        <v>4</v>
      </c>
      <c r="M1438" s="129" t="s">
        <v>82</v>
      </c>
      <c r="N1438" s="129" t="s">
        <v>945</v>
      </c>
      <c r="O1438" s="139"/>
      <c r="P1438" s="127"/>
      <c r="Q1438" s="127"/>
      <c r="R1438" s="127"/>
      <c r="S1438" s="127"/>
      <c r="T1438" s="127"/>
      <c r="U1438" s="127"/>
      <c r="V1438" s="127"/>
      <c r="W1438" s="127"/>
      <c r="X1438" s="127"/>
      <c r="Y1438" s="127"/>
      <c r="Z1438" s="140"/>
    </row>
    <row r="1439" spans="1:26" s="149" customFormat="1" x14ac:dyDescent="0.25">
      <c r="A1439" s="203">
        <f t="shared" si="30"/>
        <v>1438</v>
      </c>
      <c r="B1439" s="128"/>
      <c r="C1439" s="263"/>
      <c r="D1439" s="262"/>
      <c r="E1439" s="128"/>
      <c r="F1439" s="4" t="s">
        <v>1933</v>
      </c>
      <c r="G1439" s="131"/>
      <c r="H1439" s="128"/>
      <c r="I1439" s="129" t="s">
        <v>1648</v>
      </c>
      <c r="J1439" s="133">
        <v>17</v>
      </c>
      <c r="K1439" s="129">
        <v>3</v>
      </c>
      <c r="L1439" s="129">
        <v>5</v>
      </c>
      <c r="M1439" s="129" t="s">
        <v>82</v>
      </c>
      <c r="N1439" s="129" t="s">
        <v>945</v>
      </c>
      <c r="O1439" s="139"/>
      <c r="P1439" s="127"/>
      <c r="Q1439" s="127"/>
      <c r="R1439" s="127"/>
      <c r="S1439" s="127"/>
      <c r="T1439" s="127"/>
      <c r="U1439" s="127"/>
      <c r="V1439" s="127"/>
      <c r="W1439" s="127"/>
      <c r="X1439" s="127"/>
      <c r="Y1439" s="127"/>
      <c r="Z1439" s="140"/>
    </row>
    <row r="1440" spans="1:26" s="149" customFormat="1" x14ac:dyDescent="0.25">
      <c r="A1440" s="203">
        <f t="shared" si="30"/>
        <v>1439</v>
      </c>
      <c r="B1440" s="128"/>
      <c r="C1440" s="263"/>
      <c r="D1440" s="262"/>
      <c r="E1440" s="128"/>
      <c r="F1440" s="4" t="s">
        <v>1933</v>
      </c>
      <c r="G1440" s="131"/>
      <c r="H1440" s="128"/>
      <c r="I1440" s="129" t="s">
        <v>1648</v>
      </c>
      <c r="J1440" s="133">
        <v>17</v>
      </c>
      <c r="K1440" s="129">
        <v>3</v>
      </c>
      <c r="L1440" s="129">
        <v>6</v>
      </c>
      <c r="M1440" s="129" t="s">
        <v>82</v>
      </c>
      <c r="N1440" s="129" t="s">
        <v>945</v>
      </c>
      <c r="O1440" s="139"/>
      <c r="P1440" s="127"/>
      <c r="Q1440" s="127"/>
      <c r="R1440" s="127"/>
      <c r="S1440" s="127"/>
      <c r="T1440" s="127"/>
      <c r="U1440" s="127"/>
      <c r="V1440" s="127"/>
      <c r="W1440" s="127"/>
      <c r="X1440" s="127"/>
      <c r="Y1440" s="127"/>
      <c r="Z1440" s="140"/>
    </row>
    <row r="1441" spans="1:26" s="149" customFormat="1" x14ac:dyDescent="0.25">
      <c r="A1441" s="203">
        <f t="shared" si="30"/>
        <v>1440</v>
      </c>
      <c r="B1441" s="128"/>
      <c r="C1441" s="263"/>
      <c r="D1441" s="262"/>
      <c r="E1441" s="128"/>
      <c r="F1441" s="4" t="s">
        <v>1933</v>
      </c>
      <c r="G1441" s="131"/>
      <c r="H1441" s="128"/>
      <c r="I1441" s="129" t="s">
        <v>1648</v>
      </c>
      <c r="J1441" s="133">
        <v>17</v>
      </c>
      <c r="K1441" s="129">
        <v>3</v>
      </c>
      <c r="L1441" s="129">
        <v>7</v>
      </c>
      <c r="M1441" s="129" t="s">
        <v>82</v>
      </c>
      <c r="N1441" s="129" t="s">
        <v>945</v>
      </c>
      <c r="O1441" s="139"/>
      <c r="P1441" s="127"/>
      <c r="Q1441" s="127"/>
      <c r="R1441" s="127"/>
      <c r="S1441" s="127"/>
      <c r="T1441" s="127"/>
      <c r="U1441" s="127"/>
      <c r="V1441" s="127"/>
      <c r="W1441" s="127"/>
      <c r="X1441" s="127"/>
      <c r="Y1441" s="127"/>
      <c r="Z1441" s="140"/>
    </row>
    <row r="1442" spans="1:26" s="149" customFormat="1" x14ac:dyDescent="0.25">
      <c r="A1442" s="203">
        <f t="shared" si="30"/>
        <v>1441</v>
      </c>
      <c r="B1442" s="129"/>
      <c r="C1442" s="263"/>
      <c r="D1442" s="263"/>
      <c r="E1442" s="129"/>
      <c r="F1442" s="4" t="s">
        <v>1933</v>
      </c>
      <c r="G1442" s="131"/>
      <c r="H1442" s="129"/>
      <c r="I1442" s="129" t="s">
        <v>1648</v>
      </c>
      <c r="J1442" s="133">
        <v>17</v>
      </c>
      <c r="K1442" s="129">
        <v>3</v>
      </c>
      <c r="L1442" s="129">
        <v>8</v>
      </c>
      <c r="M1442" s="129" t="s">
        <v>82</v>
      </c>
      <c r="N1442" s="129" t="s">
        <v>945</v>
      </c>
      <c r="O1442" s="127"/>
      <c r="P1442" s="127"/>
      <c r="Q1442" s="127"/>
      <c r="R1442" s="127"/>
      <c r="S1442" s="127"/>
      <c r="T1442" s="127"/>
      <c r="U1442" s="127"/>
      <c r="V1442" s="127"/>
      <c r="W1442" s="127"/>
      <c r="X1442" s="127"/>
      <c r="Y1442" s="127"/>
      <c r="Z1442" s="140"/>
    </row>
    <row r="1443" spans="1:26" s="149" customFormat="1" x14ac:dyDescent="0.25">
      <c r="A1443" s="203">
        <f t="shared" si="30"/>
        <v>1442</v>
      </c>
      <c r="B1443" s="129"/>
      <c r="C1443" s="263"/>
      <c r="D1443" s="263"/>
      <c r="E1443" s="129"/>
      <c r="F1443" s="4" t="s">
        <v>1933</v>
      </c>
      <c r="G1443" s="131"/>
      <c r="H1443" s="129"/>
      <c r="I1443" s="129" t="s">
        <v>1648</v>
      </c>
      <c r="J1443" s="133">
        <v>17</v>
      </c>
      <c r="K1443" s="129">
        <v>3</v>
      </c>
      <c r="L1443" s="129">
        <v>9</v>
      </c>
      <c r="M1443" s="129" t="s">
        <v>82</v>
      </c>
      <c r="N1443" s="129" t="s">
        <v>945</v>
      </c>
      <c r="O1443" s="127"/>
      <c r="P1443" s="127"/>
      <c r="Q1443" s="127"/>
      <c r="R1443" s="127"/>
      <c r="S1443" s="127"/>
      <c r="T1443" s="127"/>
      <c r="U1443" s="127"/>
      <c r="V1443" s="127"/>
      <c r="W1443" s="127"/>
      <c r="X1443" s="127"/>
      <c r="Y1443" s="127"/>
      <c r="Z1443" s="140"/>
    </row>
    <row r="1444" spans="1:26" s="149" customFormat="1" x14ac:dyDescent="0.25">
      <c r="A1444" s="203">
        <f t="shared" si="30"/>
        <v>1443</v>
      </c>
      <c r="B1444" s="128"/>
      <c r="C1444" s="263"/>
      <c r="D1444" s="262"/>
      <c r="E1444" s="128"/>
      <c r="F1444" s="4" t="s">
        <v>1933</v>
      </c>
      <c r="G1444" s="131"/>
      <c r="H1444" s="128"/>
      <c r="I1444" s="129" t="s">
        <v>1648</v>
      </c>
      <c r="J1444" s="133">
        <v>17</v>
      </c>
      <c r="K1444" s="129">
        <v>3</v>
      </c>
      <c r="L1444" s="129">
        <v>10</v>
      </c>
      <c r="M1444" s="129" t="s">
        <v>82</v>
      </c>
      <c r="N1444" s="129" t="s">
        <v>945</v>
      </c>
      <c r="O1444" s="139"/>
      <c r="P1444" s="127"/>
      <c r="Q1444" s="127"/>
      <c r="R1444" s="127"/>
      <c r="S1444" s="127"/>
      <c r="T1444" s="127"/>
      <c r="U1444" s="127"/>
      <c r="V1444" s="127"/>
      <c r="W1444" s="127"/>
      <c r="X1444" s="127"/>
      <c r="Y1444" s="127"/>
      <c r="Z1444" s="140"/>
    </row>
    <row r="1445" spans="1:26" x14ac:dyDescent="0.25">
      <c r="A1445" s="203">
        <f t="shared" si="30"/>
        <v>1444</v>
      </c>
      <c r="B1445" s="128"/>
      <c r="C1445" s="263"/>
      <c r="D1445" s="262"/>
      <c r="E1445" s="128"/>
      <c r="F1445" s="4" t="s">
        <v>1933</v>
      </c>
      <c r="G1445" s="131"/>
      <c r="H1445" s="128"/>
      <c r="I1445" s="129" t="s">
        <v>1648</v>
      </c>
      <c r="J1445" s="133">
        <v>17</v>
      </c>
      <c r="K1445" s="129">
        <v>3</v>
      </c>
      <c r="L1445" s="129">
        <v>11</v>
      </c>
      <c r="M1445" s="129" t="s">
        <v>82</v>
      </c>
      <c r="N1445" s="129" t="s">
        <v>945</v>
      </c>
      <c r="O1445" s="139"/>
      <c r="P1445" s="127"/>
      <c r="Q1445" s="127"/>
      <c r="R1445" s="127"/>
      <c r="S1445" s="127"/>
      <c r="T1445" s="127"/>
      <c r="U1445" s="127"/>
      <c r="V1445" s="127"/>
      <c r="W1445" s="127"/>
      <c r="X1445" s="127"/>
      <c r="Y1445" s="127"/>
      <c r="Z1445" s="140"/>
    </row>
    <row r="1446" spans="1:26" x14ac:dyDescent="0.25">
      <c r="A1446" s="203">
        <f t="shared" si="30"/>
        <v>1445</v>
      </c>
      <c r="B1446" s="128"/>
      <c r="C1446" s="263"/>
      <c r="D1446" s="262"/>
      <c r="E1446" s="128"/>
      <c r="F1446" s="4" t="s">
        <v>1933</v>
      </c>
      <c r="G1446" s="131"/>
      <c r="H1446" s="128"/>
      <c r="I1446" s="129" t="s">
        <v>1648</v>
      </c>
      <c r="J1446" s="133">
        <v>17</v>
      </c>
      <c r="K1446" s="129">
        <v>3</v>
      </c>
      <c r="L1446" s="129">
        <v>12</v>
      </c>
      <c r="M1446" s="129" t="s">
        <v>82</v>
      </c>
      <c r="N1446" s="129" t="s">
        <v>945</v>
      </c>
      <c r="O1446" s="139"/>
      <c r="P1446" s="127"/>
      <c r="Q1446" s="127"/>
      <c r="R1446" s="127"/>
      <c r="S1446" s="127"/>
      <c r="T1446" s="127"/>
      <c r="U1446" s="127"/>
      <c r="V1446" s="127"/>
      <c r="W1446" s="127"/>
      <c r="X1446" s="127"/>
      <c r="Y1446" s="127"/>
      <c r="Z1446" s="140"/>
    </row>
    <row r="1447" spans="1:26" x14ac:dyDescent="0.25">
      <c r="A1447" s="203">
        <f t="shared" si="30"/>
        <v>1446</v>
      </c>
      <c r="B1447" s="128"/>
      <c r="C1447" s="263"/>
      <c r="D1447" s="262"/>
      <c r="E1447" s="128"/>
      <c r="F1447" s="4" t="s">
        <v>1933</v>
      </c>
      <c r="G1447" s="131"/>
      <c r="H1447" s="128"/>
      <c r="I1447" s="129" t="s">
        <v>1648</v>
      </c>
      <c r="J1447" s="133">
        <v>17</v>
      </c>
      <c r="K1447" s="129">
        <v>3</v>
      </c>
      <c r="L1447" s="129">
        <v>13</v>
      </c>
      <c r="M1447" s="129" t="s">
        <v>82</v>
      </c>
      <c r="N1447" s="129" t="s">
        <v>945</v>
      </c>
      <c r="O1447" s="139"/>
      <c r="P1447" s="127"/>
      <c r="Q1447" s="127"/>
      <c r="R1447" s="127"/>
      <c r="S1447" s="127"/>
      <c r="T1447" s="127"/>
      <c r="U1447" s="127"/>
      <c r="V1447" s="127"/>
      <c r="W1447" s="127"/>
      <c r="X1447" s="127"/>
      <c r="Y1447" s="127"/>
      <c r="Z1447" s="140"/>
    </row>
    <row r="1448" spans="1:26" x14ac:dyDescent="0.25">
      <c r="A1448" s="203">
        <f t="shared" si="30"/>
        <v>1447</v>
      </c>
      <c r="B1448" s="128"/>
      <c r="C1448" s="263"/>
      <c r="D1448" s="262"/>
      <c r="E1448" s="128"/>
      <c r="F1448" s="4" t="s">
        <v>1933</v>
      </c>
      <c r="G1448" s="131"/>
      <c r="H1448" s="128"/>
      <c r="I1448" s="129" t="s">
        <v>1648</v>
      </c>
      <c r="J1448" s="133">
        <v>17</v>
      </c>
      <c r="K1448" s="129">
        <v>3</v>
      </c>
      <c r="L1448" s="129">
        <v>14</v>
      </c>
      <c r="M1448" s="129" t="s">
        <v>82</v>
      </c>
      <c r="N1448" s="129" t="s">
        <v>945</v>
      </c>
      <c r="O1448" s="139"/>
      <c r="P1448" s="127"/>
      <c r="Q1448" s="127"/>
      <c r="R1448" s="127"/>
      <c r="S1448" s="127"/>
      <c r="T1448" s="127"/>
      <c r="U1448" s="127"/>
      <c r="V1448" s="127"/>
      <c r="W1448" s="127"/>
      <c r="X1448" s="127"/>
      <c r="Y1448" s="127"/>
      <c r="Z1448" s="140"/>
    </row>
    <row r="1449" spans="1:26" x14ac:dyDescent="0.25">
      <c r="A1449" s="203">
        <f t="shared" si="30"/>
        <v>1448</v>
      </c>
      <c r="B1449" s="128"/>
      <c r="C1449" s="263"/>
      <c r="D1449" s="262"/>
      <c r="E1449" s="128"/>
      <c r="F1449" s="4" t="s">
        <v>1933</v>
      </c>
      <c r="G1449" s="131"/>
      <c r="H1449" s="128"/>
      <c r="I1449" s="129" t="s">
        <v>1648</v>
      </c>
      <c r="J1449" s="133">
        <v>17</v>
      </c>
      <c r="K1449" s="129">
        <v>3</v>
      </c>
      <c r="L1449" s="129">
        <v>15</v>
      </c>
      <c r="M1449" s="129" t="s">
        <v>82</v>
      </c>
      <c r="N1449" s="129" t="s">
        <v>945</v>
      </c>
      <c r="O1449" s="139"/>
      <c r="P1449" s="127"/>
      <c r="Q1449" s="127"/>
      <c r="R1449" s="127"/>
      <c r="S1449" s="127"/>
      <c r="T1449" s="127"/>
      <c r="U1449" s="127"/>
      <c r="V1449" s="127"/>
      <c r="W1449" s="127"/>
      <c r="X1449" s="127"/>
      <c r="Y1449" s="127"/>
      <c r="Z1449" s="140"/>
    </row>
    <row r="1450" spans="1:26" x14ac:dyDescent="0.25">
      <c r="A1450" s="203">
        <f t="shared" si="30"/>
        <v>1449</v>
      </c>
      <c r="B1450" s="128"/>
      <c r="C1450" s="263"/>
      <c r="D1450" s="262"/>
      <c r="E1450" s="128"/>
      <c r="F1450" s="4" t="s">
        <v>1933</v>
      </c>
      <c r="G1450" s="131"/>
      <c r="H1450" s="128"/>
      <c r="I1450" s="129" t="s">
        <v>1648</v>
      </c>
      <c r="J1450" s="133">
        <v>17</v>
      </c>
      <c r="K1450" s="129">
        <v>4</v>
      </c>
      <c r="L1450" s="129">
        <v>0</v>
      </c>
      <c r="M1450" s="131" t="s">
        <v>658</v>
      </c>
      <c r="N1450" s="129" t="s">
        <v>83</v>
      </c>
      <c r="O1450" s="139"/>
      <c r="P1450" s="127"/>
      <c r="Q1450" s="127"/>
      <c r="R1450" s="127"/>
      <c r="S1450" s="127"/>
      <c r="T1450" s="127"/>
      <c r="U1450" s="127"/>
      <c r="V1450" s="127"/>
      <c r="W1450" s="127"/>
      <c r="X1450" s="127"/>
      <c r="Y1450" s="127"/>
      <c r="Z1450" s="140"/>
    </row>
    <row r="1451" spans="1:26" x14ac:dyDescent="0.25">
      <c r="A1451" s="203">
        <f t="shared" si="30"/>
        <v>1450</v>
      </c>
      <c r="B1451" s="128"/>
      <c r="C1451" s="263"/>
      <c r="D1451" s="264"/>
      <c r="E1451" s="133"/>
      <c r="F1451" s="4" t="s">
        <v>1933</v>
      </c>
      <c r="G1451" s="142"/>
      <c r="H1451" s="133"/>
      <c r="I1451" s="129" t="s">
        <v>1648</v>
      </c>
      <c r="J1451" s="133">
        <v>17</v>
      </c>
      <c r="K1451" s="129">
        <v>4</v>
      </c>
      <c r="L1451" s="128">
        <v>1</v>
      </c>
      <c r="M1451" s="131" t="s">
        <v>658</v>
      </c>
      <c r="N1451" s="128" t="s">
        <v>83</v>
      </c>
      <c r="O1451" s="139"/>
      <c r="P1451" s="127"/>
      <c r="Q1451" s="127"/>
      <c r="R1451" s="127"/>
      <c r="S1451" s="127"/>
      <c r="T1451" s="127"/>
      <c r="U1451" s="127"/>
      <c r="V1451" s="127"/>
      <c r="W1451" s="127"/>
      <c r="X1451" s="127"/>
      <c r="Y1451" s="127"/>
      <c r="Z1451" s="140"/>
    </row>
    <row r="1452" spans="1:26" x14ac:dyDescent="0.25">
      <c r="A1452" s="203">
        <f t="shared" si="30"/>
        <v>1451</v>
      </c>
      <c r="B1452" s="128"/>
      <c r="C1452" s="263"/>
      <c r="D1452" s="264"/>
      <c r="E1452" s="133"/>
      <c r="F1452" s="4" t="s">
        <v>1933</v>
      </c>
      <c r="G1452" s="142"/>
      <c r="H1452" s="133"/>
      <c r="I1452" s="129" t="s">
        <v>1648</v>
      </c>
      <c r="J1452" s="133">
        <v>17</v>
      </c>
      <c r="K1452" s="129">
        <v>4</v>
      </c>
      <c r="L1452" s="128">
        <v>2</v>
      </c>
      <c r="M1452" s="131" t="s">
        <v>658</v>
      </c>
      <c r="N1452" s="128" t="s">
        <v>83</v>
      </c>
      <c r="O1452" s="139"/>
      <c r="P1452" s="127"/>
      <c r="Q1452" s="127"/>
      <c r="R1452" s="127"/>
      <c r="S1452" s="127"/>
      <c r="T1452" s="127"/>
      <c r="U1452" s="127"/>
      <c r="V1452" s="127"/>
      <c r="W1452" s="127"/>
      <c r="X1452" s="127"/>
      <c r="Y1452" s="127"/>
      <c r="Z1452" s="140"/>
    </row>
    <row r="1453" spans="1:26" x14ac:dyDescent="0.25">
      <c r="A1453" s="203">
        <f t="shared" si="30"/>
        <v>1452</v>
      </c>
      <c r="B1453" s="128"/>
      <c r="C1453" s="263"/>
      <c r="D1453" s="264"/>
      <c r="E1453" s="133"/>
      <c r="F1453" s="4" t="s">
        <v>1933</v>
      </c>
      <c r="G1453" s="142"/>
      <c r="H1453" s="133"/>
      <c r="I1453" s="129" t="s">
        <v>1648</v>
      </c>
      <c r="J1453" s="133">
        <v>17</v>
      </c>
      <c r="K1453" s="129">
        <v>4</v>
      </c>
      <c r="L1453" s="128">
        <v>3</v>
      </c>
      <c r="M1453" s="131" t="s">
        <v>658</v>
      </c>
      <c r="N1453" s="128" t="s">
        <v>83</v>
      </c>
      <c r="O1453" s="139"/>
      <c r="P1453" s="127"/>
      <c r="Q1453" s="127"/>
      <c r="R1453" s="127"/>
      <c r="S1453" s="127"/>
      <c r="T1453" s="127"/>
      <c r="U1453" s="127"/>
      <c r="V1453" s="127"/>
      <c r="W1453" s="127"/>
      <c r="X1453" s="127"/>
      <c r="Y1453" s="127"/>
      <c r="Z1453" s="140"/>
    </row>
    <row r="1454" spans="1:26" x14ac:dyDescent="0.25">
      <c r="A1454" s="203">
        <f t="shared" si="30"/>
        <v>1453</v>
      </c>
      <c r="B1454" s="128"/>
      <c r="C1454" s="263"/>
      <c r="D1454" s="264"/>
      <c r="E1454" s="133"/>
      <c r="F1454" s="4" t="s">
        <v>1933</v>
      </c>
      <c r="G1454" s="142"/>
      <c r="H1454" s="133"/>
      <c r="I1454" s="129" t="s">
        <v>1648</v>
      </c>
      <c r="J1454" s="133">
        <v>17</v>
      </c>
      <c r="K1454" s="129">
        <v>4</v>
      </c>
      <c r="L1454" s="128">
        <v>4</v>
      </c>
      <c r="M1454" s="131" t="s">
        <v>658</v>
      </c>
      <c r="N1454" s="128" t="s">
        <v>83</v>
      </c>
      <c r="O1454" s="139"/>
      <c r="P1454" s="127"/>
      <c r="Q1454" s="127"/>
      <c r="R1454" s="127"/>
      <c r="S1454" s="127"/>
      <c r="T1454" s="127"/>
      <c r="U1454" s="127"/>
      <c r="V1454" s="127"/>
      <c r="W1454" s="127"/>
      <c r="X1454" s="127"/>
      <c r="Y1454" s="127"/>
      <c r="Z1454" s="140"/>
    </row>
    <row r="1455" spans="1:26" x14ac:dyDescent="0.25">
      <c r="A1455" s="203">
        <f t="shared" si="30"/>
        <v>1454</v>
      </c>
      <c r="B1455" s="128"/>
      <c r="C1455" s="263"/>
      <c r="D1455" s="262"/>
      <c r="E1455" s="128"/>
      <c r="F1455" s="4" t="s">
        <v>1933</v>
      </c>
      <c r="G1455" s="131"/>
      <c r="H1455" s="128"/>
      <c r="I1455" s="129" t="s">
        <v>1648</v>
      </c>
      <c r="J1455" s="133">
        <v>17</v>
      </c>
      <c r="K1455" s="129">
        <v>4</v>
      </c>
      <c r="L1455" s="129">
        <v>5</v>
      </c>
      <c r="M1455" s="131" t="s">
        <v>658</v>
      </c>
      <c r="N1455" s="129" t="s">
        <v>83</v>
      </c>
      <c r="O1455" s="139"/>
      <c r="P1455" s="127"/>
      <c r="Q1455" s="127"/>
      <c r="R1455" s="127"/>
      <c r="S1455" s="127"/>
      <c r="T1455" s="127"/>
      <c r="U1455" s="127"/>
      <c r="V1455" s="127"/>
      <c r="W1455" s="127"/>
      <c r="X1455" s="127"/>
      <c r="Y1455" s="127"/>
      <c r="Z1455" s="140"/>
    </row>
    <row r="1456" spans="1:26" x14ac:dyDescent="0.25">
      <c r="A1456" s="203">
        <f t="shared" si="30"/>
        <v>1455</v>
      </c>
      <c r="B1456" s="128"/>
      <c r="C1456" s="263"/>
      <c r="D1456" s="262"/>
      <c r="E1456" s="128"/>
      <c r="F1456" s="4" t="s">
        <v>1933</v>
      </c>
      <c r="G1456" s="131"/>
      <c r="H1456" s="128"/>
      <c r="I1456" s="129" t="s">
        <v>1648</v>
      </c>
      <c r="J1456" s="133">
        <v>17</v>
      </c>
      <c r="K1456" s="129">
        <v>4</v>
      </c>
      <c r="L1456" s="129">
        <v>6</v>
      </c>
      <c r="M1456" s="131" t="s">
        <v>658</v>
      </c>
      <c r="N1456" s="129" t="s">
        <v>83</v>
      </c>
      <c r="O1456" s="139"/>
      <c r="P1456" s="127"/>
      <c r="Q1456" s="127"/>
      <c r="R1456" s="127"/>
      <c r="S1456" s="127"/>
      <c r="T1456" s="127"/>
      <c r="U1456" s="127"/>
      <c r="V1456" s="127"/>
      <c r="W1456" s="127"/>
      <c r="X1456" s="127"/>
      <c r="Y1456" s="127"/>
      <c r="Z1456" s="140"/>
    </row>
    <row r="1457" spans="1:26" x14ac:dyDescent="0.25">
      <c r="A1457" s="203">
        <f t="shared" si="30"/>
        <v>1456</v>
      </c>
      <c r="B1457" s="128"/>
      <c r="C1457" s="263"/>
      <c r="D1457" s="262"/>
      <c r="E1457" s="128"/>
      <c r="F1457" s="4" t="s">
        <v>1933</v>
      </c>
      <c r="G1457" s="131"/>
      <c r="H1457" s="128"/>
      <c r="I1457" s="129" t="s">
        <v>1648</v>
      </c>
      <c r="J1457" s="133">
        <v>17</v>
      </c>
      <c r="K1457" s="129">
        <v>4</v>
      </c>
      <c r="L1457" s="129">
        <v>7</v>
      </c>
      <c r="M1457" s="131" t="s">
        <v>658</v>
      </c>
      <c r="N1457" s="129" t="s">
        <v>83</v>
      </c>
      <c r="O1457" s="139"/>
      <c r="P1457" s="127"/>
      <c r="Q1457" s="127"/>
      <c r="R1457" s="127"/>
      <c r="S1457" s="127"/>
      <c r="T1457" s="127"/>
      <c r="U1457" s="127"/>
      <c r="V1457" s="127"/>
      <c r="W1457" s="127"/>
      <c r="X1457" s="127"/>
      <c r="Y1457" s="127"/>
      <c r="Z1457" s="140"/>
    </row>
    <row r="1458" spans="1:26" x14ac:dyDescent="0.25">
      <c r="A1458" s="203">
        <f t="shared" si="30"/>
        <v>1457</v>
      </c>
      <c r="B1458" s="128"/>
      <c r="C1458" s="263"/>
      <c r="D1458" s="262"/>
      <c r="E1458" s="128"/>
      <c r="F1458" s="138" t="s">
        <v>1935</v>
      </c>
      <c r="G1458" s="131"/>
      <c r="H1458" s="128"/>
      <c r="I1458" s="129" t="s">
        <v>1648</v>
      </c>
      <c r="J1458" s="133">
        <v>17</v>
      </c>
      <c r="K1458" s="129">
        <v>5</v>
      </c>
      <c r="L1458" s="129">
        <v>0</v>
      </c>
      <c r="M1458" s="131" t="s">
        <v>1936</v>
      </c>
      <c r="N1458" s="129" t="s">
        <v>295</v>
      </c>
      <c r="O1458" s="139"/>
      <c r="P1458" s="140"/>
      <c r="Q1458" s="158"/>
      <c r="R1458" s="158"/>
      <c r="S1458" s="158"/>
      <c r="T1458" s="158"/>
      <c r="U1458" s="158"/>
      <c r="V1458" s="158"/>
      <c r="W1458" s="158"/>
      <c r="X1458" s="158"/>
      <c r="Y1458" s="158"/>
      <c r="Z1458" s="158"/>
    </row>
    <row r="1459" spans="1:26" s="149" customFormat="1" x14ac:dyDescent="0.25">
      <c r="A1459" s="203">
        <f t="shared" si="30"/>
        <v>1458</v>
      </c>
      <c r="B1459" s="128"/>
      <c r="C1459" s="263"/>
      <c r="D1459" s="262"/>
      <c r="E1459" s="128"/>
      <c r="F1459" s="138" t="s">
        <v>1933</v>
      </c>
      <c r="G1459" s="131"/>
      <c r="H1459" s="128"/>
      <c r="I1459" s="129" t="s">
        <v>1648</v>
      </c>
      <c r="J1459" s="133">
        <v>17</v>
      </c>
      <c r="K1459" s="129">
        <v>6</v>
      </c>
      <c r="L1459" s="129">
        <v>0</v>
      </c>
      <c r="M1459" s="131" t="s">
        <v>664</v>
      </c>
      <c r="N1459" s="129" t="s">
        <v>83</v>
      </c>
      <c r="O1459" s="139"/>
      <c r="P1459" s="127"/>
      <c r="Q1459" s="127"/>
      <c r="R1459" s="127"/>
      <c r="S1459" s="127"/>
      <c r="T1459" s="127"/>
      <c r="U1459" s="127"/>
      <c r="V1459" s="127"/>
      <c r="W1459" s="127"/>
      <c r="X1459" s="127"/>
      <c r="Y1459" s="127"/>
      <c r="Z1459" s="140"/>
    </row>
    <row r="1460" spans="1:26" s="149" customFormat="1" x14ac:dyDescent="0.25">
      <c r="A1460" s="203">
        <f t="shared" si="30"/>
        <v>1459</v>
      </c>
      <c r="B1460" s="128"/>
      <c r="C1460" s="263"/>
      <c r="D1460" s="264"/>
      <c r="E1460" s="133"/>
      <c r="F1460" s="138" t="s">
        <v>1933</v>
      </c>
      <c r="G1460" s="142"/>
      <c r="H1460" s="133"/>
      <c r="I1460" s="129" t="s">
        <v>1648</v>
      </c>
      <c r="J1460" s="133">
        <v>17</v>
      </c>
      <c r="K1460" s="129">
        <v>6</v>
      </c>
      <c r="L1460" s="128">
        <v>1</v>
      </c>
      <c r="M1460" s="131" t="s">
        <v>664</v>
      </c>
      <c r="N1460" s="128" t="s">
        <v>83</v>
      </c>
      <c r="O1460" s="139"/>
      <c r="P1460" s="127"/>
      <c r="Q1460" s="127"/>
      <c r="R1460" s="127"/>
      <c r="S1460" s="127"/>
      <c r="T1460" s="127"/>
      <c r="U1460" s="127"/>
      <c r="V1460" s="127"/>
      <c r="W1460" s="127"/>
      <c r="X1460" s="127"/>
      <c r="Y1460" s="127"/>
      <c r="Z1460" s="140"/>
    </row>
    <row r="1461" spans="1:26" x14ac:dyDescent="0.25">
      <c r="A1461" s="203">
        <f t="shared" si="30"/>
        <v>1460</v>
      </c>
      <c r="B1461" s="128"/>
      <c r="C1461" s="263"/>
      <c r="D1461" s="264"/>
      <c r="E1461" s="133"/>
      <c r="F1461" s="138" t="s">
        <v>1933</v>
      </c>
      <c r="G1461" s="142"/>
      <c r="H1461" s="133"/>
      <c r="I1461" s="129" t="s">
        <v>1648</v>
      </c>
      <c r="J1461" s="133">
        <v>17</v>
      </c>
      <c r="K1461" s="129">
        <v>6</v>
      </c>
      <c r="L1461" s="128">
        <v>2</v>
      </c>
      <c r="M1461" s="131" t="s">
        <v>664</v>
      </c>
      <c r="N1461" s="128" t="s">
        <v>83</v>
      </c>
      <c r="O1461" s="139"/>
      <c r="P1461" s="127"/>
      <c r="Q1461" s="127"/>
      <c r="R1461" s="127"/>
      <c r="S1461" s="127"/>
      <c r="T1461" s="127"/>
      <c r="U1461" s="127"/>
      <c r="V1461" s="127"/>
      <c r="W1461" s="127"/>
      <c r="X1461" s="127"/>
      <c r="Y1461" s="127"/>
      <c r="Z1461" s="140"/>
    </row>
    <row r="1462" spans="1:26" x14ac:dyDescent="0.25">
      <c r="A1462" s="203">
        <f t="shared" si="30"/>
        <v>1461</v>
      </c>
      <c r="B1462" s="128"/>
      <c r="C1462" s="263"/>
      <c r="D1462" s="264"/>
      <c r="E1462" s="133"/>
      <c r="F1462" s="138" t="s">
        <v>1933</v>
      </c>
      <c r="G1462" s="142"/>
      <c r="H1462" s="133"/>
      <c r="I1462" s="129" t="s">
        <v>1648</v>
      </c>
      <c r="J1462" s="133">
        <v>17</v>
      </c>
      <c r="K1462" s="129">
        <v>6</v>
      </c>
      <c r="L1462" s="128">
        <v>3</v>
      </c>
      <c r="M1462" s="131" t="s">
        <v>664</v>
      </c>
      <c r="N1462" s="128" t="s">
        <v>83</v>
      </c>
      <c r="O1462" s="139"/>
      <c r="P1462" s="127"/>
      <c r="Q1462" s="127"/>
      <c r="R1462" s="127"/>
      <c r="S1462" s="127"/>
      <c r="T1462" s="127"/>
      <c r="U1462" s="127"/>
      <c r="V1462" s="127"/>
      <c r="W1462" s="127"/>
      <c r="X1462" s="127"/>
      <c r="Y1462" s="127"/>
      <c r="Z1462" s="140"/>
    </row>
    <row r="1463" spans="1:26" x14ac:dyDescent="0.25">
      <c r="A1463" s="203">
        <f t="shared" si="30"/>
        <v>1462</v>
      </c>
      <c r="B1463" s="128"/>
      <c r="C1463" s="263"/>
      <c r="D1463" s="264"/>
      <c r="E1463" s="133"/>
      <c r="F1463" s="138" t="s">
        <v>1933</v>
      </c>
      <c r="G1463" s="142"/>
      <c r="H1463" s="133"/>
      <c r="I1463" s="129" t="s">
        <v>1648</v>
      </c>
      <c r="J1463" s="133">
        <v>17</v>
      </c>
      <c r="K1463" s="129">
        <v>6</v>
      </c>
      <c r="L1463" s="128">
        <v>4</v>
      </c>
      <c r="M1463" s="131" t="s">
        <v>664</v>
      </c>
      <c r="N1463" s="128" t="s">
        <v>83</v>
      </c>
      <c r="O1463" s="139"/>
      <c r="P1463" s="127"/>
      <c r="Q1463" s="127"/>
      <c r="R1463" s="127"/>
      <c r="S1463" s="127"/>
      <c r="T1463" s="127"/>
      <c r="U1463" s="127"/>
      <c r="V1463" s="127"/>
      <c r="W1463" s="127"/>
      <c r="X1463" s="127"/>
      <c r="Y1463" s="127"/>
      <c r="Z1463" s="140"/>
    </row>
    <row r="1464" spans="1:26" s="136" customFormat="1" x14ac:dyDescent="0.25">
      <c r="A1464" s="203">
        <f t="shared" si="30"/>
        <v>1463</v>
      </c>
      <c r="B1464" s="128"/>
      <c r="C1464" s="263"/>
      <c r="D1464" s="262"/>
      <c r="E1464" s="128"/>
      <c r="F1464" s="138" t="s">
        <v>1933</v>
      </c>
      <c r="G1464" s="131"/>
      <c r="H1464" s="128"/>
      <c r="I1464" s="129" t="s">
        <v>1648</v>
      </c>
      <c r="J1464" s="133">
        <v>17</v>
      </c>
      <c r="K1464" s="129">
        <v>6</v>
      </c>
      <c r="L1464" s="129">
        <v>5</v>
      </c>
      <c r="M1464" s="131" t="s">
        <v>664</v>
      </c>
      <c r="N1464" s="129" t="s">
        <v>83</v>
      </c>
      <c r="O1464" s="139"/>
      <c r="P1464" s="127"/>
      <c r="Q1464" s="127"/>
      <c r="R1464" s="127"/>
      <c r="S1464" s="127"/>
      <c r="T1464" s="127"/>
      <c r="U1464" s="127"/>
      <c r="V1464" s="127"/>
      <c r="W1464" s="127"/>
      <c r="X1464" s="127"/>
      <c r="Y1464" s="127"/>
      <c r="Z1464" s="140"/>
    </row>
    <row r="1465" spans="1:26" x14ac:dyDescent="0.25">
      <c r="A1465" s="203">
        <f t="shared" si="30"/>
        <v>1464</v>
      </c>
      <c r="B1465" s="128"/>
      <c r="C1465" s="263"/>
      <c r="D1465" s="262"/>
      <c r="E1465" s="128"/>
      <c r="F1465" s="138" t="s">
        <v>1933</v>
      </c>
      <c r="G1465" s="131"/>
      <c r="H1465" s="128"/>
      <c r="I1465" s="129" t="s">
        <v>1648</v>
      </c>
      <c r="J1465" s="133">
        <v>17</v>
      </c>
      <c r="K1465" s="129">
        <v>6</v>
      </c>
      <c r="L1465" s="129">
        <v>6</v>
      </c>
      <c r="M1465" s="131" t="s">
        <v>664</v>
      </c>
      <c r="N1465" s="129" t="s">
        <v>83</v>
      </c>
      <c r="O1465" s="139"/>
      <c r="P1465" s="127"/>
      <c r="Q1465" s="127"/>
      <c r="R1465" s="127"/>
      <c r="S1465" s="127"/>
      <c r="T1465" s="127"/>
      <c r="U1465" s="127"/>
      <c r="V1465" s="127"/>
      <c r="W1465" s="127"/>
      <c r="X1465" s="127"/>
      <c r="Y1465" s="127"/>
      <c r="Z1465" s="140"/>
    </row>
    <row r="1466" spans="1:26" x14ac:dyDescent="0.25">
      <c r="A1466" s="203">
        <f t="shared" si="30"/>
        <v>1465</v>
      </c>
      <c r="B1466" s="128"/>
      <c r="C1466" s="263"/>
      <c r="D1466" s="262"/>
      <c r="E1466" s="128"/>
      <c r="F1466" s="138" t="s">
        <v>1933</v>
      </c>
      <c r="G1466" s="131"/>
      <c r="H1466" s="128"/>
      <c r="I1466" s="129" t="s">
        <v>1648</v>
      </c>
      <c r="J1466" s="133">
        <v>17</v>
      </c>
      <c r="K1466" s="129">
        <v>6</v>
      </c>
      <c r="L1466" s="129">
        <v>7</v>
      </c>
      <c r="M1466" s="131" t="s">
        <v>664</v>
      </c>
      <c r="N1466" s="129" t="s">
        <v>83</v>
      </c>
      <c r="O1466" s="139"/>
      <c r="P1466" s="127"/>
      <c r="Q1466" s="127"/>
      <c r="R1466" s="127"/>
      <c r="S1466" s="127"/>
      <c r="T1466" s="127"/>
      <c r="U1466" s="127"/>
      <c r="V1466" s="127"/>
      <c r="W1466" s="127"/>
      <c r="X1466" s="127"/>
      <c r="Y1466" s="127"/>
      <c r="Z1466" s="140"/>
    </row>
    <row r="1467" spans="1:26" x14ac:dyDescent="0.25">
      <c r="A1467" s="203">
        <f t="shared" si="30"/>
        <v>1466</v>
      </c>
      <c r="B1467" s="133"/>
      <c r="C1467" s="263"/>
      <c r="D1467" s="264"/>
      <c r="E1467" s="133"/>
      <c r="F1467" s="141" t="s">
        <v>1933</v>
      </c>
      <c r="G1467" s="131"/>
      <c r="H1467" s="133"/>
      <c r="I1467" s="131" t="s">
        <v>131</v>
      </c>
      <c r="J1467" s="133">
        <v>18</v>
      </c>
      <c r="K1467" s="129">
        <v>1</v>
      </c>
      <c r="L1467" s="129">
        <v>10</v>
      </c>
      <c r="M1467" s="129" t="s">
        <v>31</v>
      </c>
      <c r="N1467" s="129" t="s">
        <v>32</v>
      </c>
      <c r="O1467" s="146"/>
      <c r="P1467" s="146"/>
      <c r="Q1467" s="146"/>
      <c r="R1467" s="146"/>
      <c r="S1467" s="146"/>
      <c r="T1467" s="146"/>
      <c r="U1467" s="146"/>
      <c r="V1467" s="146"/>
      <c r="W1467" s="146"/>
      <c r="X1467" s="146"/>
      <c r="Y1467" s="146"/>
      <c r="Z1467" s="143"/>
    </row>
    <row r="1468" spans="1:26" x14ac:dyDescent="0.25">
      <c r="A1468" s="203">
        <f t="shared" si="30"/>
        <v>1467</v>
      </c>
      <c r="B1468" s="133"/>
      <c r="C1468" s="263"/>
      <c r="D1468" s="264"/>
      <c r="E1468" s="133"/>
      <c r="F1468" s="141" t="s">
        <v>1933</v>
      </c>
      <c r="G1468" s="131"/>
      <c r="H1468" s="133"/>
      <c r="I1468" s="131" t="s">
        <v>131</v>
      </c>
      <c r="J1468" s="133">
        <v>18</v>
      </c>
      <c r="K1468" s="129">
        <v>1</v>
      </c>
      <c r="L1468" s="129">
        <v>11</v>
      </c>
      <c r="M1468" s="129" t="s">
        <v>31</v>
      </c>
      <c r="N1468" s="129" t="s">
        <v>32</v>
      </c>
      <c r="O1468" s="146"/>
      <c r="P1468" s="146"/>
      <c r="Q1468" s="146"/>
      <c r="R1468" s="146"/>
      <c r="S1468" s="146"/>
      <c r="T1468" s="146"/>
      <c r="U1468" s="146"/>
      <c r="V1468" s="146"/>
      <c r="W1468" s="146"/>
      <c r="X1468" s="146"/>
      <c r="Y1468" s="146"/>
      <c r="Z1468" s="143"/>
    </row>
    <row r="1469" spans="1:26" s="149" customFormat="1" x14ac:dyDescent="0.25">
      <c r="A1469" s="203">
        <f t="shared" si="30"/>
        <v>1468</v>
      </c>
      <c r="B1469" s="133"/>
      <c r="C1469" s="263"/>
      <c r="D1469" s="264"/>
      <c r="E1469" s="133"/>
      <c r="F1469" s="141" t="s">
        <v>1933</v>
      </c>
      <c r="G1469" s="131"/>
      <c r="H1469" s="133"/>
      <c r="I1469" s="131" t="s">
        <v>131</v>
      </c>
      <c r="J1469" s="133">
        <v>18</v>
      </c>
      <c r="K1469" s="129">
        <v>1</v>
      </c>
      <c r="L1469" s="129">
        <v>12</v>
      </c>
      <c r="M1469" s="129" t="s">
        <v>31</v>
      </c>
      <c r="N1469" s="129" t="s">
        <v>32</v>
      </c>
      <c r="O1469" s="146"/>
      <c r="P1469" s="146"/>
      <c r="Q1469" s="146"/>
      <c r="R1469" s="146"/>
      <c r="S1469" s="146"/>
      <c r="T1469" s="146"/>
      <c r="U1469" s="146"/>
      <c r="V1469" s="146"/>
      <c r="W1469" s="146"/>
      <c r="X1469" s="146"/>
      <c r="Y1469" s="146"/>
      <c r="Z1469" s="143"/>
    </row>
    <row r="1470" spans="1:26" s="149" customFormat="1" x14ac:dyDescent="0.25">
      <c r="A1470" s="203">
        <f t="shared" si="30"/>
        <v>1469</v>
      </c>
      <c r="B1470" s="133"/>
      <c r="C1470" s="263"/>
      <c r="D1470" s="264"/>
      <c r="E1470" s="133"/>
      <c r="F1470" s="141" t="s">
        <v>1933</v>
      </c>
      <c r="G1470" s="131"/>
      <c r="H1470" s="133"/>
      <c r="I1470" s="131" t="s">
        <v>131</v>
      </c>
      <c r="J1470" s="133">
        <v>18</v>
      </c>
      <c r="K1470" s="129">
        <v>1</v>
      </c>
      <c r="L1470" s="129">
        <v>13</v>
      </c>
      <c r="M1470" s="129" t="s">
        <v>31</v>
      </c>
      <c r="N1470" s="129" t="s">
        <v>32</v>
      </c>
      <c r="O1470" s="146"/>
      <c r="P1470" s="146"/>
      <c r="Q1470" s="146"/>
      <c r="R1470" s="146"/>
      <c r="S1470" s="146"/>
      <c r="T1470" s="146"/>
      <c r="U1470" s="146"/>
      <c r="V1470" s="146"/>
      <c r="W1470" s="146"/>
      <c r="X1470" s="146"/>
      <c r="Y1470" s="146"/>
      <c r="Z1470" s="143"/>
    </row>
    <row r="1471" spans="1:26" s="149" customFormat="1" x14ac:dyDescent="0.25">
      <c r="A1471" s="203">
        <f t="shared" si="30"/>
        <v>1470</v>
      </c>
      <c r="B1471" s="133"/>
      <c r="C1471" s="263"/>
      <c r="D1471" s="264"/>
      <c r="E1471" s="133"/>
      <c r="F1471" s="141" t="s">
        <v>1933</v>
      </c>
      <c r="G1471" s="131"/>
      <c r="H1471" s="133"/>
      <c r="I1471" s="131" t="s">
        <v>131</v>
      </c>
      <c r="J1471" s="133">
        <v>18</v>
      </c>
      <c r="K1471" s="129">
        <v>1</v>
      </c>
      <c r="L1471" s="129">
        <v>14</v>
      </c>
      <c r="M1471" s="129" t="s">
        <v>31</v>
      </c>
      <c r="N1471" s="129" t="s">
        <v>32</v>
      </c>
      <c r="O1471" s="146"/>
      <c r="P1471" s="146"/>
      <c r="Q1471" s="146"/>
      <c r="R1471" s="146"/>
      <c r="S1471" s="146"/>
      <c r="T1471" s="146"/>
      <c r="U1471" s="146"/>
      <c r="V1471" s="146"/>
      <c r="W1471" s="146"/>
      <c r="X1471" s="146"/>
      <c r="Y1471" s="146"/>
      <c r="Z1471" s="143"/>
    </row>
    <row r="1472" spans="1:26" s="149" customFormat="1" x14ac:dyDescent="0.25">
      <c r="A1472" s="203">
        <f t="shared" si="30"/>
        <v>1471</v>
      </c>
      <c r="B1472" s="133"/>
      <c r="C1472" s="263"/>
      <c r="D1472" s="264"/>
      <c r="E1472" s="133"/>
      <c r="F1472" s="141" t="s">
        <v>1933</v>
      </c>
      <c r="G1472" s="131"/>
      <c r="H1472" s="133"/>
      <c r="I1472" s="131" t="s">
        <v>131</v>
      </c>
      <c r="J1472" s="133">
        <v>18</v>
      </c>
      <c r="K1472" s="129">
        <v>1</v>
      </c>
      <c r="L1472" s="129">
        <v>15</v>
      </c>
      <c r="M1472" s="129" t="s">
        <v>31</v>
      </c>
      <c r="N1472" s="129" t="s">
        <v>32</v>
      </c>
      <c r="O1472" s="146"/>
      <c r="P1472" s="146"/>
      <c r="Q1472" s="146"/>
      <c r="R1472" s="146"/>
      <c r="S1472" s="146"/>
      <c r="T1472" s="146"/>
      <c r="U1472" s="146"/>
      <c r="V1472" s="146"/>
      <c r="W1472" s="146"/>
      <c r="X1472" s="146"/>
      <c r="Y1472" s="146"/>
      <c r="Z1472" s="143"/>
    </row>
    <row r="1473" spans="1:26" s="149" customFormat="1" x14ac:dyDescent="0.25">
      <c r="A1473" s="203">
        <f t="shared" si="30"/>
        <v>1472</v>
      </c>
      <c r="B1473" s="133"/>
      <c r="C1473" s="263"/>
      <c r="D1473" s="264"/>
      <c r="E1473" s="133"/>
      <c r="F1473" s="141" t="s">
        <v>1933</v>
      </c>
      <c r="G1473" s="131"/>
      <c r="H1473" s="133"/>
      <c r="I1473" s="131" t="s">
        <v>131</v>
      </c>
      <c r="J1473" s="133">
        <v>18</v>
      </c>
      <c r="K1473" s="129">
        <v>2</v>
      </c>
      <c r="L1473" s="129">
        <v>10</v>
      </c>
      <c r="M1473" s="129" t="s">
        <v>31</v>
      </c>
      <c r="N1473" s="129" t="s">
        <v>32</v>
      </c>
      <c r="O1473" s="146"/>
      <c r="P1473" s="146"/>
      <c r="Q1473" s="146"/>
      <c r="R1473" s="146"/>
      <c r="S1473" s="146"/>
      <c r="T1473" s="146"/>
      <c r="U1473" s="146"/>
      <c r="V1473" s="146"/>
      <c r="W1473" s="146"/>
      <c r="X1473" s="146"/>
      <c r="Y1473" s="146"/>
      <c r="Z1473" s="143"/>
    </row>
    <row r="1474" spans="1:26" s="149" customFormat="1" x14ac:dyDescent="0.25">
      <c r="A1474" s="203">
        <f t="shared" si="30"/>
        <v>1473</v>
      </c>
      <c r="B1474" s="133"/>
      <c r="C1474" s="263"/>
      <c r="D1474" s="264"/>
      <c r="E1474" s="133"/>
      <c r="F1474" s="141" t="s">
        <v>1933</v>
      </c>
      <c r="G1474" s="131"/>
      <c r="H1474" s="133"/>
      <c r="I1474" s="131" t="s">
        <v>131</v>
      </c>
      <c r="J1474" s="133">
        <v>18</v>
      </c>
      <c r="K1474" s="129">
        <v>2</v>
      </c>
      <c r="L1474" s="129">
        <v>11</v>
      </c>
      <c r="M1474" s="129" t="s">
        <v>31</v>
      </c>
      <c r="N1474" s="129" t="s">
        <v>32</v>
      </c>
      <c r="O1474" s="146"/>
      <c r="P1474" s="146"/>
      <c r="Q1474" s="146"/>
      <c r="R1474" s="146"/>
      <c r="S1474" s="146"/>
      <c r="T1474" s="146"/>
      <c r="U1474" s="146"/>
      <c r="V1474" s="146"/>
      <c r="W1474" s="146"/>
      <c r="X1474" s="146"/>
      <c r="Y1474" s="146"/>
      <c r="Z1474" s="143"/>
    </row>
    <row r="1475" spans="1:26" s="149" customFormat="1" x14ac:dyDescent="0.25">
      <c r="A1475" s="203">
        <f t="shared" si="30"/>
        <v>1474</v>
      </c>
      <c r="B1475" s="133"/>
      <c r="C1475" s="263"/>
      <c r="D1475" s="264"/>
      <c r="E1475" s="133"/>
      <c r="F1475" s="141" t="s">
        <v>1933</v>
      </c>
      <c r="G1475" s="131"/>
      <c r="H1475" s="133"/>
      <c r="I1475" s="131" t="s">
        <v>131</v>
      </c>
      <c r="J1475" s="133">
        <v>18</v>
      </c>
      <c r="K1475" s="129">
        <v>2</v>
      </c>
      <c r="L1475" s="129">
        <v>12</v>
      </c>
      <c r="M1475" s="129" t="s">
        <v>31</v>
      </c>
      <c r="N1475" s="129" t="s">
        <v>32</v>
      </c>
      <c r="O1475" s="146"/>
      <c r="P1475" s="146"/>
      <c r="Q1475" s="146"/>
      <c r="R1475" s="146"/>
      <c r="S1475" s="146"/>
      <c r="T1475" s="146"/>
      <c r="U1475" s="146"/>
      <c r="V1475" s="146"/>
      <c r="W1475" s="146"/>
      <c r="X1475" s="146"/>
      <c r="Y1475" s="146"/>
      <c r="Z1475" s="143"/>
    </row>
    <row r="1476" spans="1:26" s="149" customFormat="1" x14ac:dyDescent="0.25">
      <c r="A1476" s="203">
        <f t="shared" si="30"/>
        <v>1475</v>
      </c>
      <c r="B1476" s="133"/>
      <c r="C1476" s="263"/>
      <c r="D1476" s="264"/>
      <c r="E1476" s="133"/>
      <c r="F1476" s="141" t="s">
        <v>1933</v>
      </c>
      <c r="G1476" s="131"/>
      <c r="H1476" s="133"/>
      <c r="I1476" s="131" t="s">
        <v>131</v>
      </c>
      <c r="J1476" s="133">
        <v>18</v>
      </c>
      <c r="K1476" s="129">
        <v>2</v>
      </c>
      <c r="L1476" s="129">
        <v>13</v>
      </c>
      <c r="M1476" s="129" t="s">
        <v>31</v>
      </c>
      <c r="N1476" s="129" t="s">
        <v>32</v>
      </c>
      <c r="O1476" s="146"/>
      <c r="P1476" s="146"/>
      <c r="Q1476" s="146"/>
      <c r="R1476" s="146"/>
      <c r="S1476" s="146"/>
      <c r="T1476" s="146"/>
      <c r="U1476" s="146"/>
      <c r="V1476" s="146"/>
      <c r="W1476" s="146"/>
      <c r="X1476" s="146"/>
      <c r="Y1476" s="146"/>
      <c r="Z1476" s="143"/>
    </row>
    <row r="1477" spans="1:26" x14ac:dyDescent="0.25">
      <c r="A1477" s="203">
        <f t="shared" si="30"/>
        <v>1476</v>
      </c>
      <c r="B1477" s="133"/>
      <c r="C1477" s="263"/>
      <c r="D1477" s="264"/>
      <c r="E1477" s="133"/>
      <c r="F1477" s="141" t="s">
        <v>1933</v>
      </c>
      <c r="G1477" s="131"/>
      <c r="H1477" s="133"/>
      <c r="I1477" s="131" t="s">
        <v>131</v>
      </c>
      <c r="J1477" s="133">
        <v>18</v>
      </c>
      <c r="K1477" s="129">
        <v>2</v>
      </c>
      <c r="L1477" s="129">
        <v>14</v>
      </c>
      <c r="M1477" s="129" t="s">
        <v>31</v>
      </c>
      <c r="N1477" s="129" t="s">
        <v>32</v>
      </c>
      <c r="O1477" s="146"/>
      <c r="P1477" s="146"/>
      <c r="Q1477" s="146"/>
      <c r="R1477" s="146"/>
      <c r="S1477" s="146"/>
      <c r="T1477" s="146"/>
      <c r="U1477" s="146"/>
      <c r="V1477" s="146"/>
      <c r="W1477" s="146"/>
      <c r="X1477" s="146"/>
      <c r="Y1477" s="146"/>
      <c r="Z1477" s="143"/>
    </row>
    <row r="1478" spans="1:26" x14ac:dyDescent="0.25">
      <c r="A1478" s="203">
        <f t="shared" si="30"/>
        <v>1477</v>
      </c>
      <c r="B1478" s="133"/>
      <c r="C1478" s="263"/>
      <c r="D1478" s="264"/>
      <c r="E1478" s="133"/>
      <c r="F1478" s="141" t="s">
        <v>1933</v>
      </c>
      <c r="G1478" s="131"/>
      <c r="H1478" s="133"/>
      <c r="I1478" s="131" t="s">
        <v>131</v>
      </c>
      <c r="J1478" s="133">
        <v>18</v>
      </c>
      <c r="K1478" s="129">
        <v>2</v>
      </c>
      <c r="L1478" s="129">
        <v>15</v>
      </c>
      <c r="M1478" s="129" t="s">
        <v>31</v>
      </c>
      <c r="N1478" s="129" t="s">
        <v>32</v>
      </c>
      <c r="O1478" s="146"/>
      <c r="P1478" s="146"/>
      <c r="Q1478" s="146"/>
      <c r="R1478" s="146"/>
      <c r="S1478" s="146"/>
      <c r="T1478" s="146"/>
      <c r="U1478" s="146"/>
      <c r="V1478" s="146"/>
      <c r="W1478" s="146"/>
      <c r="X1478" s="146"/>
      <c r="Y1478" s="146"/>
      <c r="Z1478" s="143"/>
    </row>
    <row r="1479" spans="1:26" x14ac:dyDescent="0.25">
      <c r="A1479" s="203">
        <f t="shared" si="30"/>
        <v>1478</v>
      </c>
      <c r="B1479" s="133"/>
      <c r="C1479" s="263"/>
      <c r="D1479" s="264"/>
      <c r="E1479" s="133"/>
      <c r="F1479" s="141" t="s">
        <v>1933</v>
      </c>
      <c r="G1479" s="131"/>
      <c r="H1479" s="133"/>
      <c r="I1479" s="131" t="s">
        <v>131</v>
      </c>
      <c r="J1479" s="133">
        <v>18</v>
      </c>
      <c r="K1479" s="129">
        <v>3</v>
      </c>
      <c r="L1479" s="129">
        <v>9</v>
      </c>
      <c r="M1479" s="129" t="s">
        <v>82</v>
      </c>
      <c r="N1479" s="129" t="s">
        <v>83</v>
      </c>
      <c r="O1479" s="146"/>
      <c r="P1479" s="146"/>
      <c r="Q1479" s="146"/>
      <c r="R1479" s="146"/>
      <c r="S1479" s="146"/>
      <c r="T1479" s="146"/>
      <c r="U1479" s="146"/>
      <c r="V1479" s="146"/>
      <c r="W1479" s="146"/>
      <c r="X1479" s="146"/>
      <c r="Y1479" s="146"/>
      <c r="Z1479" s="143"/>
    </row>
    <row r="1480" spans="1:26" x14ac:dyDescent="0.25">
      <c r="A1480" s="203">
        <f t="shared" si="30"/>
        <v>1479</v>
      </c>
      <c r="B1480" s="133"/>
      <c r="C1480" s="263"/>
      <c r="D1480" s="264"/>
      <c r="E1480" s="133"/>
      <c r="F1480" s="141" t="s">
        <v>1933</v>
      </c>
      <c r="G1480" s="131"/>
      <c r="H1480" s="133"/>
      <c r="I1480" s="131" t="s">
        <v>131</v>
      </c>
      <c r="J1480" s="133">
        <v>18</v>
      </c>
      <c r="K1480" s="129">
        <v>3</v>
      </c>
      <c r="L1480" s="129">
        <v>10</v>
      </c>
      <c r="M1480" s="129" t="s">
        <v>82</v>
      </c>
      <c r="N1480" s="129" t="s">
        <v>83</v>
      </c>
      <c r="O1480" s="146"/>
      <c r="P1480" s="146"/>
      <c r="Q1480" s="146"/>
      <c r="R1480" s="146"/>
      <c r="S1480" s="146"/>
      <c r="T1480" s="146"/>
      <c r="U1480" s="146"/>
      <c r="V1480" s="146"/>
      <c r="W1480" s="146"/>
      <c r="X1480" s="146"/>
      <c r="Y1480" s="146"/>
      <c r="Z1480" s="143"/>
    </row>
    <row r="1481" spans="1:26" x14ac:dyDescent="0.25">
      <c r="A1481" s="203">
        <f t="shared" si="30"/>
        <v>1480</v>
      </c>
      <c r="B1481" s="133"/>
      <c r="C1481" s="263"/>
      <c r="D1481" s="264"/>
      <c r="E1481" s="133"/>
      <c r="F1481" s="141" t="s">
        <v>1933</v>
      </c>
      <c r="G1481" s="131"/>
      <c r="H1481" s="133"/>
      <c r="I1481" s="131" t="s">
        <v>131</v>
      </c>
      <c r="J1481" s="133">
        <v>18</v>
      </c>
      <c r="K1481" s="129">
        <v>3</v>
      </c>
      <c r="L1481" s="129">
        <v>11</v>
      </c>
      <c r="M1481" s="129" t="s">
        <v>82</v>
      </c>
      <c r="N1481" s="129" t="s">
        <v>83</v>
      </c>
      <c r="O1481" s="146"/>
      <c r="P1481" s="146"/>
      <c r="Q1481" s="146"/>
      <c r="R1481" s="146"/>
      <c r="S1481" s="146"/>
      <c r="T1481" s="146"/>
      <c r="U1481" s="146"/>
      <c r="V1481" s="146"/>
      <c r="W1481" s="146"/>
      <c r="X1481" s="146"/>
      <c r="Y1481" s="146"/>
      <c r="Z1481" s="143"/>
    </row>
    <row r="1482" spans="1:26" x14ac:dyDescent="0.25">
      <c r="A1482" s="203">
        <f t="shared" si="30"/>
        <v>1481</v>
      </c>
      <c r="B1482" s="133"/>
      <c r="C1482" s="263"/>
      <c r="D1482" s="264"/>
      <c r="E1482" s="133"/>
      <c r="F1482" s="141" t="s">
        <v>1933</v>
      </c>
      <c r="G1482" s="131"/>
      <c r="H1482" s="133"/>
      <c r="I1482" s="131" t="s">
        <v>131</v>
      </c>
      <c r="J1482" s="133">
        <v>18</v>
      </c>
      <c r="K1482" s="129">
        <v>3</v>
      </c>
      <c r="L1482" s="129">
        <v>12</v>
      </c>
      <c r="M1482" s="129" t="s">
        <v>82</v>
      </c>
      <c r="N1482" s="129" t="s">
        <v>83</v>
      </c>
      <c r="O1482" s="146"/>
      <c r="P1482" s="146"/>
      <c r="Q1482" s="146"/>
      <c r="R1482" s="146"/>
      <c r="S1482" s="146"/>
      <c r="T1482" s="146"/>
      <c r="U1482" s="146"/>
      <c r="V1482" s="146"/>
      <c r="W1482" s="146"/>
      <c r="X1482" s="146"/>
      <c r="Y1482" s="146"/>
      <c r="Z1482" s="143"/>
    </row>
    <row r="1483" spans="1:26" x14ac:dyDescent="0.25">
      <c r="A1483" s="203">
        <f t="shared" si="30"/>
        <v>1482</v>
      </c>
      <c r="B1483" s="133"/>
      <c r="C1483" s="263"/>
      <c r="D1483" s="264"/>
      <c r="E1483" s="133"/>
      <c r="F1483" s="141" t="s">
        <v>1933</v>
      </c>
      <c r="G1483" s="131"/>
      <c r="H1483" s="133"/>
      <c r="I1483" s="131" t="s">
        <v>131</v>
      </c>
      <c r="J1483" s="133">
        <v>18</v>
      </c>
      <c r="K1483" s="129">
        <v>3</v>
      </c>
      <c r="L1483" s="129">
        <v>13</v>
      </c>
      <c r="M1483" s="129" t="s">
        <v>82</v>
      </c>
      <c r="N1483" s="129" t="s">
        <v>83</v>
      </c>
      <c r="O1483" s="146"/>
      <c r="P1483" s="146"/>
      <c r="Q1483" s="146"/>
      <c r="R1483" s="146"/>
      <c r="S1483" s="146"/>
      <c r="T1483" s="146"/>
      <c r="U1483" s="146"/>
      <c r="V1483" s="146"/>
      <c r="W1483" s="146"/>
      <c r="X1483" s="146"/>
      <c r="Y1483" s="146"/>
      <c r="Z1483" s="143"/>
    </row>
    <row r="1484" spans="1:26" x14ac:dyDescent="0.25">
      <c r="A1484" s="203">
        <f t="shared" si="30"/>
        <v>1483</v>
      </c>
      <c r="B1484" s="133"/>
      <c r="C1484" s="263"/>
      <c r="D1484" s="264"/>
      <c r="E1484" s="133"/>
      <c r="F1484" s="141" t="s">
        <v>1933</v>
      </c>
      <c r="G1484" s="131"/>
      <c r="H1484" s="133"/>
      <c r="I1484" s="131" t="s">
        <v>131</v>
      </c>
      <c r="J1484" s="133">
        <v>18</v>
      </c>
      <c r="K1484" s="129">
        <v>3</v>
      </c>
      <c r="L1484" s="129">
        <v>14</v>
      </c>
      <c r="M1484" s="129" t="s">
        <v>82</v>
      </c>
      <c r="N1484" s="129" t="s">
        <v>83</v>
      </c>
      <c r="O1484" s="146"/>
      <c r="P1484" s="146"/>
      <c r="Q1484" s="146"/>
      <c r="R1484" s="146"/>
      <c r="S1484" s="146"/>
      <c r="T1484" s="146"/>
      <c r="U1484" s="146"/>
      <c r="V1484" s="146"/>
      <c r="W1484" s="146"/>
      <c r="X1484" s="146"/>
      <c r="Y1484" s="146"/>
      <c r="Z1484" s="143"/>
    </row>
    <row r="1485" spans="1:26" x14ac:dyDescent="0.25">
      <c r="A1485" s="203">
        <f t="shared" si="30"/>
        <v>1484</v>
      </c>
      <c r="B1485" s="133"/>
      <c r="C1485" s="263"/>
      <c r="D1485" s="264"/>
      <c r="E1485" s="133"/>
      <c r="F1485" s="141" t="s">
        <v>1933</v>
      </c>
      <c r="G1485" s="131"/>
      <c r="H1485" s="133"/>
      <c r="I1485" s="131" t="s">
        <v>131</v>
      </c>
      <c r="J1485" s="133">
        <v>18</v>
      </c>
      <c r="K1485" s="129">
        <v>3</v>
      </c>
      <c r="L1485" s="129">
        <v>15</v>
      </c>
      <c r="M1485" s="129" t="s">
        <v>82</v>
      </c>
      <c r="N1485" s="129" t="s">
        <v>83</v>
      </c>
      <c r="O1485" s="146"/>
      <c r="P1485" s="146"/>
      <c r="Q1485" s="146"/>
      <c r="R1485" s="146"/>
      <c r="S1485" s="146"/>
      <c r="T1485" s="146"/>
      <c r="U1485" s="146"/>
      <c r="V1485" s="146"/>
      <c r="W1485" s="146"/>
      <c r="X1485" s="146"/>
      <c r="Y1485" s="146"/>
      <c r="Z1485" s="143"/>
    </row>
    <row r="1486" spans="1:26" s="149" customFormat="1" x14ac:dyDescent="0.25">
      <c r="A1486" s="203">
        <f t="shared" si="30"/>
        <v>1485</v>
      </c>
      <c r="B1486" s="133"/>
      <c r="C1486" s="263"/>
      <c r="D1486" s="264"/>
      <c r="E1486" s="133"/>
      <c r="F1486" s="141" t="s">
        <v>1933</v>
      </c>
      <c r="G1486" s="131"/>
      <c r="H1486" s="133"/>
      <c r="I1486" s="131" t="s">
        <v>131</v>
      </c>
      <c r="J1486" s="133">
        <v>18</v>
      </c>
      <c r="K1486" s="129">
        <v>4</v>
      </c>
      <c r="L1486" s="129">
        <v>5</v>
      </c>
      <c r="M1486" s="129" t="s">
        <v>82</v>
      </c>
      <c r="N1486" s="129" t="s">
        <v>83</v>
      </c>
      <c r="O1486" s="146"/>
      <c r="P1486" s="146"/>
      <c r="Q1486" s="146"/>
      <c r="R1486" s="146"/>
      <c r="S1486" s="146"/>
      <c r="T1486" s="146"/>
      <c r="U1486" s="146"/>
      <c r="V1486" s="146"/>
      <c r="W1486" s="146"/>
      <c r="X1486" s="146"/>
      <c r="Y1486" s="146"/>
      <c r="Z1486" s="143"/>
    </row>
    <row r="1487" spans="1:26" x14ac:dyDescent="0.25">
      <c r="A1487" s="203">
        <f t="shared" si="30"/>
        <v>1486</v>
      </c>
      <c r="B1487" s="133"/>
      <c r="C1487" s="263"/>
      <c r="D1487" s="264"/>
      <c r="E1487" s="133"/>
      <c r="F1487" s="141" t="s">
        <v>1933</v>
      </c>
      <c r="G1487" s="131"/>
      <c r="H1487" s="133"/>
      <c r="I1487" s="131" t="s">
        <v>131</v>
      </c>
      <c r="J1487" s="133">
        <v>18</v>
      </c>
      <c r="K1487" s="129">
        <v>4</v>
      </c>
      <c r="L1487" s="129">
        <v>6</v>
      </c>
      <c r="M1487" s="129" t="s">
        <v>82</v>
      </c>
      <c r="N1487" s="129" t="s">
        <v>83</v>
      </c>
      <c r="O1487" s="146"/>
      <c r="P1487" s="146"/>
      <c r="Q1487" s="146"/>
      <c r="R1487" s="146"/>
      <c r="S1487" s="146"/>
      <c r="T1487" s="146"/>
      <c r="U1487" s="146"/>
      <c r="V1487" s="146"/>
      <c r="W1487" s="146"/>
      <c r="X1487" s="146"/>
      <c r="Y1487" s="146"/>
      <c r="Z1487" s="143"/>
    </row>
    <row r="1488" spans="1:26" x14ac:dyDescent="0.25">
      <c r="A1488" s="203">
        <f t="shared" si="30"/>
        <v>1487</v>
      </c>
      <c r="B1488" s="133"/>
      <c r="C1488" s="263"/>
      <c r="D1488" s="264"/>
      <c r="E1488" s="133"/>
      <c r="F1488" s="141" t="s">
        <v>1933</v>
      </c>
      <c r="G1488" s="131"/>
      <c r="H1488" s="133"/>
      <c r="I1488" s="131" t="s">
        <v>131</v>
      </c>
      <c r="J1488" s="133">
        <v>18</v>
      </c>
      <c r="K1488" s="129">
        <v>4</v>
      </c>
      <c r="L1488" s="129">
        <v>7</v>
      </c>
      <c r="M1488" s="129" t="s">
        <v>82</v>
      </c>
      <c r="N1488" s="129" t="s">
        <v>83</v>
      </c>
      <c r="O1488" s="146"/>
      <c r="P1488" s="146"/>
      <c r="Q1488" s="146"/>
      <c r="R1488" s="146"/>
      <c r="S1488" s="146"/>
      <c r="T1488" s="146"/>
      <c r="U1488" s="146"/>
      <c r="V1488" s="146"/>
      <c r="W1488" s="146"/>
      <c r="X1488" s="146"/>
      <c r="Y1488" s="146"/>
      <c r="Z1488" s="143"/>
    </row>
    <row r="1489" spans="1:26" x14ac:dyDescent="0.25">
      <c r="A1489" s="203">
        <f t="shared" si="30"/>
        <v>1488</v>
      </c>
      <c r="B1489" s="133"/>
      <c r="C1489" s="263"/>
      <c r="D1489" s="264"/>
      <c r="E1489" s="133"/>
      <c r="F1489" s="141" t="s">
        <v>1933</v>
      </c>
      <c r="G1489" s="131"/>
      <c r="H1489" s="133"/>
      <c r="I1489" s="131" t="s">
        <v>131</v>
      </c>
      <c r="J1489" s="133">
        <v>18</v>
      </c>
      <c r="K1489" s="129">
        <v>4</v>
      </c>
      <c r="L1489" s="129">
        <v>8</v>
      </c>
      <c r="M1489" s="129" t="s">
        <v>82</v>
      </c>
      <c r="N1489" s="129" t="s">
        <v>83</v>
      </c>
      <c r="O1489" s="146"/>
      <c r="P1489" s="146"/>
      <c r="Q1489" s="146"/>
      <c r="R1489" s="146"/>
      <c r="S1489" s="146"/>
      <c r="T1489" s="146"/>
      <c r="U1489" s="146"/>
      <c r="V1489" s="146"/>
      <c r="W1489" s="146"/>
      <c r="X1489" s="146"/>
      <c r="Y1489" s="146"/>
      <c r="Z1489" s="143"/>
    </row>
    <row r="1490" spans="1:26" s="149" customFormat="1" x14ac:dyDescent="0.25">
      <c r="A1490" s="203">
        <f t="shared" si="30"/>
        <v>1489</v>
      </c>
      <c r="B1490" s="133"/>
      <c r="C1490" s="263"/>
      <c r="D1490" s="264"/>
      <c r="E1490" s="133"/>
      <c r="F1490" s="141" t="s">
        <v>1933</v>
      </c>
      <c r="G1490" s="131"/>
      <c r="H1490" s="133"/>
      <c r="I1490" s="131" t="s">
        <v>131</v>
      </c>
      <c r="J1490" s="133">
        <v>18</v>
      </c>
      <c r="K1490" s="129">
        <v>4</v>
      </c>
      <c r="L1490" s="129">
        <v>9</v>
      </c>
      <c r="M1490" s="129" t="s">
        <v>82</v>
      </c>
      <c r="N1490" s="129" t="s">
        <v>83</v>
      </c>
      <c r="O1490" s="146"/>
      <c r="P1490" s="146"/>
      <c r="Q1490" s="146"/>
      <c r="R1490" s="146"/>
      <c r="S1490" s="146"/>
      <c r="T1490" s="146"/>
      <c r="U1490" s="146"/>
      <c r="V1490" s="146"/>
      <c r="W1490" s="146"/>
      <c r="X1490" s="146"/>
      <c r="Y1490" s="146"/>
      <c r="Z1490" s="143"/>
    </row>
    <row r="1491" spans="1:26" s="149" customFormat="1" x14ac:dyDescent="0.25">
      <c r="A1491" s="203">
        <f t="shared" si="30"/>
        <v>1490</v>
      </c>
      <c r="B1491" s="133"/>
      <c r="C1491" s="263"/>
      <c r="D1491" s="264"/>
      <c r="E1491" s="133"/>
      <c r="F1491" s="141" t="s">
        <v>1933</v>
      </c>
      <c r="G1491" s="131"/>
      <c r="H1491" s="133"/>
      <c r="I1491" s="131" t="s">
        <v>131</v>
      </c>
      <c r="J1491" s="133">
        <v>18</v>
      </c>
      <c r="K1491" s="129">
        <v>4</v>
      </c>
      <c r="L1491" s="129">
        <v>10</v>
      </c>
      <c r="M1491" s="129" t="s">
        <v>82</v>
      </c>
      <c r="N1491" s="129" t="s">
        <v>83</v>
      </c>
      <c r="O1491" s="146"/>
      <c r="P1491" s="146"/>
      <c r="Q1491" s="146"/>
      <c r="R1491" s="146"/>
      <c r="S1491" s="146"/>
      <c r="T1491" s="146"/>
      <c r="U1491" s="146"/>
      <c r="V1491" s="146"/>
      <c r="W1491" s="146"/>
      <c r="X1491" s="146"/>
      <c r="Y1491" s="146"/>
      <c r="Z1491" s="143"/>
    </row>
    <row r="1492" spans="1:26" s="149" customFormat="1" x14ac:dyDescent="0.25">
      <c r="A1492" s="203">
        <f t="shared" si="30"/>
        <v>1491</v>
      </c>
      <c r="B1492" s="133"/>
      <c r="C1492" s="263"/>
      <c r="D1492" s="264"/>
      <c r="E1492" s="133"/>
      <c r="F1492" s="141" t="s">
        <v>1933</v>
      </c>
      <c r="G1492" s="131"/>
      <c r="H1492" s="133"/>
      <c r="I1492" s="131" t="s">
        <v>131</v>
      </c>
      <c r="J1492" s="133">
        <v>18</v>
      </c>
      <c r="K1492" s="129">
        <v>4</v>
      </c>
      <c r="L1492" s="129">
        <v>11</v>
      </c>
      <c r="M1492" s="129" t="s">
        <v>82</v>
      </c>
      <c r="N1492" s="129" t="s">
        <v>83</v>
      </c>
      <c r="O1492" s="146"/>
      <c r="P1492" s="146"/>
      <c r="Q1492" s="146"/>
      <c r="R1492" s="146"/>
      <c r="S1492" s="146"/>
      <c r="T1492" s="146"/>
      <c r="U1492" s="146"/>
      <c r="V1492" s="146"/>
      <c r="W1492" s="146"/>
      <c r="X1492" s="146"/>
      <c r="Y1492" s="146"/>
      <c r="Z1492" s="143"/>
    </row>
    <row r="1493" spans="1:26" s="149" customFormat="1" x14ac:dyDescent="0.25">
      <c r="A1493" s="203">
        <f t="shared" si="30"/>
        <v>1492</v>
      </c>
      <c r="B1493" s="133"/>
      <c r="C1493" s="263"/>
      <c r="D1493" s="264"/>
      <c r="E1493" s="133"/>
      <c r="F1493" s="141" t="s">
        <v>1933</v>
      </c>
      <c r="G1493" s="131"/>
      <c r="H1493" s="133"/>
      <c r="I1493" s="131" t="s">
        <v>131</v>
      </c>
      <c r="J1493" s="133">
        <v>18</v>
      </c>
      <c r="K1493" s="129">
        <v>4</v>
      </c>
      <c r="L1493" s="129">
        <v>12</v>
      </c>
      <c r="M1493" s="129" t="s">
        <v>82</v>
      </c>
      <c r="N1493" s="129" t="s">
        <v>83</v>
      </c>
      <c r="O1493" s="146"/>
      <c r="P1493" s="146"/>
      <c r="Q1493" s="146"/>
      <c r="R1493" s="146"/>
      <c r="S1493" s="146"/>
      <c r="T1493" s="146"/>
      <c r="U1493" s="146"/>
      <c r="V1493" s="146"/>
      <c r="W1493" s="146"/>
      <c r="X1493" s="146"/>
      <c r="Y1493" s="146"/>
      <c r="Z1493" s="143"/>
    </row>
    <row r="1494" spans="1:26" s="149" customFormat="1" x14ac:dyDescent="0.25">
      <c r="A1494" s="203">
        <f t="shared" si="30"/>
        <v>1493</v>
      </c>
      <c r="B1494" s="133"/>
      <c r="C1494" s="263"/>
      <c r="D1494" s="264"/>
      <c r="E1494" s="133"/>
      <c r="F1494" s="141" t="s">
        <v>1933</v>
      </c>
      <c r="G1494" s="131"/>
      <c r="H1494" s="133"/>
      <c r="I1494" s="131" t="s">
        <v>131</v>
      </c>
      <c r="J1494" s="133">
        <v>18</v>
      </c>
      <c r="K1494" s="129">
        <v>4</v>
      </c>
      <c r="L1494" s="129">
        <v>13</v>
      </c>
      <c r="M1494" s="129" t="s">
        <v>82</v>
      </c>
      <c r="N1494" s="129" t="s">
        <v>83</v>
      </c>
      <c r="O1494" s="146"/>
      <c r="P1494" s="146"/>
      <c r="Q1494" s="146"/>
      <c r="R1494" s="146"/>
      <c r="S1494" s="146"/>
      <c r="T1494" s="146"/>
      <c r="U1494" s="146"/>
      <c r="V1494" s="146"/>
      <c r="W1494" s="146"/>
      <c r="X1494" s="146"/>
      <c r="Y1494" s="146"/>
      <c r="Z1494" s="143"/>
    </row>
    <row r="1495" spans="1:26" x14ac:dyDescent="0.25">
      <c r="A1495" s="203">
        <f t="shared" si="30"/>
        <v>1494</v>
      </c>
      <c r="B1495" s="133"/>
      <c r="C1495" s="263"/>
      <c r="D1495" s="264"/>
      <c r="E1495" s="133"/>
      <c r="F1495" s="141" t="s">
        <v>1933</v>
      </c>
      <c r="G1495" s="131"/>
      <c r="H1495" s="133"/>
      <c r="I1495" s="131" t="s">
        <v>131</v>
      </c>
      <c r="J1495" s="133">
        <v>18</v>
      </c>
      <c r="K1495" s="129">
        <v>4</v>
      </c>
      <c r="L1495" s="129">
        <v>14</v>
      </c>
      <c r="M1495" s="129" t="s">
        <v>82</v>
      </c>
      <c r="N1495" s="129" t="s">
        <v>83</v>
      </c>
      <c r="O1495" s="146"/>
      <c r="P1495" s="146"/>
      <c r="Q1495" s="146"/>
      <c r="R1495" s="146"/>
      <c r="S1495" s="146"/>
      <c r="T1495" s="146"/>
      <c r="U1495" s="146"/>
      <c r="V1495" s="146"/>
      <c r="W1495" s="146"/>
      <c r="X1495" s="146"/>
      <c r="Y1495" s="146"/>
      <c r="Z1495" s="143"/>
    </row>
    <row r="1496" spans="1:26" x14ac:dyDescent="0.25">
      <c r="A1496" s="203">
        <f t="shared" si="30"/>
        <v>1495</v>
      </c>
      <c r="B1496" s="133"/>
      <c r="C1496" s="263"/>
      <c r="D1496" s="264"/>
      <c r="E1496" s="133"/>
      <c r="F1496" s="141" t="s">
        <v>1933</v>
      </c>
      <c r="G1496" s="131"/>
      <c r="H1496" s="133"/>
      <c r="I1496" s="131" t="s">
        <v>131</v>
      </c>
      <c r="J1496" s="133">
        <v>18</v>
      </c>
      <c r="K1496" s="129">
        <v>4</v>
      </c>
      <c r="L1496" s="129">
        <v>15</v>
      </c>
      <c r="M1496" s="129" t="s">
        <v>82</v>
      </c>
      <c r="N1496" s="129" t="s">
        <v>83</v>
      </c>
      <c r="O1496" s="146"/>
      <c r="P1496" s="146"/>
      <c r="Q1496" s="146"/>
      <c r="R1496" s="146"/>
      <c r="S1496" s="146"/>
      <c r="T1496" s="146"/>
      <c r="U1496" s="146"/>
      <c r="V1496" s="146"/>
      <c r="W1496" s="146"/>
      <c r="X1496" s="146"/>
      <c r="Y1496" s="146"/>
      <c r="Z1496" s="143"/>
    </row>
    <row r="1497" spans="1:26" x14ac:dyDescent="0.25">
      <c r="A1497" s="203">
        <f t="shared" si="30"/>
        <v>1496</v>
      </c>
      <c r="B1497" s="128"/>
      <c r="C1497" s="263"/>
      <c r="D1497" s="262"/>
      <c r="E1497" s="128"/>
      <c r="F1497" s="138" t="s">
        <v>1935</v>
      </c>
      <c r="G1497" s="131"/>
      <c r="H1497" s="128"/>
      <c r="I1497" s="131" t="s">
        <v>131</v>
      </c>
      <c r="J1497" s="133">
        <v>18</v>
      </c>
      <c r="K1497" s="129">
        <v>5</v>
      </c>
      <c r="L1497" s="129">
        <v>0</v>
      </c>
      <c r="M1497" s="129" t="s">
        <v>1936</v>
      </c>
      <c r="N1497" s="129" t="s">
        <v>295</v>
      </c>
      <c r="O1497" s="139"/>
      <c r="P1497" s="127"/>
      <c r="Q1497" s="127"/>
      <c r="R1497" s="127"/>
      <c r="S1497" s="127"/>
      <c r="T1497" s="127"/>
      <c r="U1497" s="127"/>
      <c r="V1497" s="127"/>
      <c r="W1497" s="127"/>
      <c r="X1497" s="127"/>
      <c r="Y1497" s="127"/>
      <c r="Z1497" s="140"/>
    </row>
    <row r="1498" spans="1:26" s="149" customFormat="1" x14ac:dyDescent="0.25">
      <c r="A1498" s="203">
        <f t="shared" si="30"/>
        <v>1497</v>
      </c>
      <c r="B1498" s="133"/>
      <c r="C1498" s="263"/>
      <c r="D1498" s="264"/>
      <c r="E1498" s="133"/>
      <c r="F1498" s="141" t="s">
        <v>1933</v>
      </c>
      <c r="G1498" s="131"/>
      <c r="H1498" s="133"/>
      <c r="I1498" s="131" t="s">
        <v>131</v>
      </c>
      <c r="J1498" s="133">
        <v>18</v>
      </c>
      <c r="K1498" s="129">
        <v>6</v>
      </c>
      <c r="L1498" s="129">
        <v>6</v>
      </c>
      <c r="M1498" s="129" t="s">
        <v>658</v>
      </c>
      <c r="N1498" s="129" t="s">
        <v>659</v>
      </c>
      <c r="O1498" s="160"/>
      <c r="P1498" s="146"/>
      <c r="Q1498" s="146"/>
      <c r="R1498" s="146"/>
      <c r="S1498" s="146"/>
      <c r="T1498" s="146"/>
      <c r="U1498" s="146"/>
      <c r="V1498" s="146"/>
      <c r="W1498" s="146"/>
      <c r="X1498" s="146"/>
      <c r="Y1498" s="146"/>
      <c r="Z1498" s="143"/>
    </row>
    <row r="1499" spans="1:26" s="149" customFormat="1" x14ac:dyDescent="0.25">
      <c r="A1499" s="203">
        <f t="shared" si="30"/>
        <v>1498</v>
      </c>
      <c r="B1499" s="133"/>
      <c r="C1499" s="263"/>
      <c r="D1499" s="264"/>
      <c r="E1499" s="133"/>
      <c r="F1499" s="141" t="s">
        <v>1933</v>
      </c>
      <c r="G1499" s="131"/>
      <c r="H1499" s="133"/>
      <c r="I1499" s="131" t="s">
        <v>131</v>
      </c>
      <c r="J1499" s="133">
        <v>18</v>
      </c>
      <c r="K1499" s="129">
        <v>6</v>
      </c>
      <c r="L1499" s="129">
        <v>7</v>
      </c>
      <c r="M1499" s="129" t="s">
        <v>658</v>
      </c>
      <c r="N1499" s="129" t="s">
        <v>659</v>
      </c>
      <c r="O1499" s="160"/>
      <c r="P1499" s="146"/>
      <c r="Q1499" s="146"/>
      <c r="R1499" s="146"/>
      <c r="S1499" s="146"/>
      <c r="T1499" s="146"/>
      <c r="U1499" s="146"/>
      <c r="V1499" s="146"/>
      <c r="W1499" s="146"/>
      <c r="X1499" s="146"/>
      <c r="Y1499" s="146"/>
      <c r="Z1499" s="143"/>
    </row>
    <row r="1500" spans="1:26" s="149" customFormat="1" x14ac:dyDescent="0.25">
      <c r="A1500" s="203">
        <f t="shared" si="30"/>
        <v>1499</v>
      </c>
      <c r="B1500" s="133"/>
      <c r="C1500" s="264" t="s">
        <v>1972</v>
      </c>
      <c r="D1500" s="264" t="s">
        <v>1973</v>
      </c>
      <c r="E1500" s="133"/>
      <c r="F1500" s="141" t="s">
        <v>1974</v>
      </c>
      <c r="G1500" s="131"/>
      <c r="H1500" s="133"/>
      <c r="I1500" s="131" t="s">
        <v>131</v>
      </c>
      <c r="J1500" s="133">
        <v>18</v>
      </c>
      <c r="K1500" s="129">
        <v>7</v>
      </c>
      <c r="L1500" s="129">
        <v>6</v>
      </c>
      <c r="M1500" s="129" t="s">
        <v>658</v>
      </c>
      <c r="N1500" s="129" t="s">
        <v>659</v>
      </c>
      <c r="O1500" s="160" t="s">
        <v>1975</v>
      </c>
      <c r="P1500" s="146"/>
      <c r="Q1500" s="146"/>
      <c r="R1500" s="146"/>
      <c r="S1500" s="146"/>
      <c r="T1500" s="146"/>
      <c r="U1500" s="146"/>
      <c r="V1500" s="146"/>
      <c r="W1500" s="146"/>
      <c r="X1500" s="146"/>
      <c r="Y1500" s="146"/>
      <c r="Z1500" s="143"/>
    </row>
    <row r="1501" spans="1:26" s="149" customFormat="1" x14ac:dyDescent="0.25">
      <c r="A1501" s="203">
        <f t="shared" ref="A1501:A1564" si="31">ROW()-1</f>
        <v>1500</v>
      </c>
      <c r="B1501" s="133"/>
      <c r="C1501" s="264" t="s">
        <v>1976</v>
      </c>
      <c r="D1501" s="264" t="s">
        <v>1977</v>
      </c>
      <c r="E1501" s="133"/>
      <c r="F1501" s="141" t="s">
        <v>1978</v>
      </c>
      <c r="G1501" s="131"/>
      <c r="H1501" s="133"/>
      <c r="I1501" s="131" t="s">
        <v>131</v>
      </c>
      <c r="J1501" s="133">
        <v>18</v>
      </c>
      <c r="K1501" s="129">
        <v>7</v>
      </c>
      <c r="L1501" s="129">
        <v>7</v>
      </c>
      <c r="M1501" s="129" t="s">
        <v>658</v>
      </c>
      <c r="N1501" s="129" t="s">
        <v>659</v>
      </c>
      <c r="O1501" s="160" t="s">
        <v>1975</v>
      </c>
      <c r="P1501" s="146"/>
      <c r="Q1501" s="146"/>
      <c r="R1501" s="146"/>
      <c r="S1501" s="146"/>
      <c r="T1501" s="146"/>
      <c r="U1501" s="146"/>
      <c r="V1501" s="146"/>
      <c r="W1501" s="146"/>
      <c r="X1501" s="146"/>
      <c r="Y1501" s="146"/>
      <c r="Z1501" s="143"/>
    </row>
    <row r="1502" spans="1:26" s="149" customFormat="1" x14ac:dyDescent="0.25">
      <c r="A1502" s="203">
        <f t="shared" si="31"/>
        <v>1501</v>
      </c>
      <c r="B1502" s="133"/>
      <c r="C1502" s="264" t="s">
        <v>1979</v>
      </c>
      <c r="D1502" s="264" t="s">
        <v>1980</v>
      </c>
      <c r="E1502" s="133"/>
      <c r="F1502" s="141" t="s">
        <v>1981</v>
      </c>
      <c r="G1502" s="131"/>
      <c r="H1502" s="133" t="s">
        <v>678</v>
      </c>
      <c r="I1502" s="131" t="s">
        <v>131</v>
      </c>
      <c r="J1502" s="133">
        <v>18</v>
      </c>
      <c r="K1502" s="129">
        <v>8</v>
      </c>
      <c r="L1502" s="129">
        <v>4</v>
      </c>
      <c r="M1502" s="129" t="s">
        <v>658</v>
      </c>
      <c r="N1502" s="129" t="s">
        <v>659</v>
      </c>
      <c r="O1502" s="160" t="s">
        <v>1982</v>
      </c>
      <c r="P1502" s="146"/>
      <c r="Q1502" s="146"/>
      <c r="R1502" s="146"/>
      <c r="S1502" s="146"/>
      <c r="T1502" s="146"/>
      <c r="U1502" s="146"/>
      <c r="V1502" s="146"/>
      <c r="W1502" s="146"/>
      <c r="X1502" s="146"/>
      <c r="Y1502" s="146"/>
      <c r="Z1502" s="143"/>
    </row>
    <row r="1503" spans="1:26" x14ac:dyDescent="0.25">
      <c r="A1503" s="203">
        <f t="shared" si="31"/>
        <v>1502</v>
      </c>
      <c r="B1503" s="133"/>
      <c r="C1503" s="264" t="s">
        <v>1983</v>
      </c>
      <c r="D1503" s="264" t="s">
        <v>1984</v>
      </c>
      <c r="E1503" s="133"/>
      <c r="F1503" s="141" t="s">
        <v>1985</v>
      </c>
      <c r="G1503" s="131"/>
      <c r="H1503" s="133" t="s">
        <v>678</v>
      </c>
      <c r="I1503" s="131" t="s">
        <v>131</v>
      </c>
      <c r="J1503" s="133">
        <v>18</v>
      </c>
      <c r="K1503" s="129">
        <v>8</v>
      </c>
      <c r="L1503" s="129">
        <v>5</v>
      </c>
      <c r="M1503" s="129" t="s">
        <v>658</v>
      </c>
      <c r="N1503" s="129" t="s">
        <v>659</v>
      </c>
      <c r="O1503" s="160" t="s">
        <v>1986</v>
      </c>
      <c r="P1503" s="146"/>
      <c r="Q1503" s="146"/>
      <c r="R1503" s="146"/>
      <c r="S1503" s="146"/>
      <c r="T1503" s="146"/>
      <c r="U1503" s="146"/>
      <c r="V1503" s="146"/>
      <c r="W1503" s="146"/>
      <c r="X1503" s="146"/>
      <c r="Y1503" s="146"/>
      <c r="Z1503" s="143"/>
    </row>
    <row r="1504" spans="1:26" x14ac:dyDescent="0.25">
      <c r="A1504" s="203">
        <f t="shared" si="31"/>
        <v>1503</v>
      </c>
      <c r="B1504" s="133"/>
      <c r="C1504" s="264" t="s">
        <v>1987</v>
      </c>
      <c r="D1504" s="264" t="s">
        <v>1988</v>
      </c>
      <c r="E1504" s="133"/>
      <c r="F1504" s="141" t="s">
        <v>1989</v>
      </c>
      <c r="G1504" s="131"/>
      <c r="H1504" s="133" t="s">
        <v>678</v>
      </c>
      <c r="I1504" s="131" t="s">
        <v>131</v>
      </c>
      <c r="J1504" s="133">
        <v>18</v>
      </c>
      <c r="K1504" s="129">
        <v>8</v>
      </c>
      <c r="L1504" s="129">
        <v>6</v>
      </c>
      <c r="M1504" s="129" t="s">
        <v>658</v>
      </c>
      <c r="N1504" s="129" t="s">
        <v>659</v>
      </c>
      <c r="O1504" s="160" t="s">
        <v>1986</v>
      </c>
      <c r="P1504" s="146"/>
      <c r="Q1504" s="146"/>
      <c r="R1504" s="146"/>
      <c r="S1504" s="146"/>
      <c r="T1504" s="146"/>
      <c r="U1504" s="146"/>
      <c r="V1504" s="146"/>
      <c r="W1504" s="146"/>
      <c r="X1504" s="146"/>
      <c r="Y1504" s="146"/>
      <c r="Z1504" s="143"/>
    </row>
    <row r="1505" spans="1:26" x14ac:dyDescent="0.25">
      <c r="A1505" s="203">
        <f t="shared" si="31"/>
        <v>1504</v>
      </c>
      <c r="B1505" s="133"/>
      <c r="C1505" s="263"/>
      <c r="D1505" s="264"/>
      <c r="E1505" s="133"/>
      <c r="F1505" s="4" t="s">
        <v>1933</v>
      </c>
      <c r="G1505" s="131"/>
      <c r="H1505" s="133"/>
      <c r="I1505" s="131" t="s">
        <v>131</v>
      </c>
      <c r="J1505" s="133">
        <v>18</v>
      </c>
      <c r="K1505" s="129">
        <v>8</v>
      </c>
      <c r="L1505" s="129">
        <v>7</v>
      </c>
      <c r="M1505" s="129" t="s">
        <v>658</v>
      </c>
      <c r="N1505" s="129" t="s">
        <v>659</v>
      </c>
      <c r="O1505" s="160"/>
      <c r="P1505" s="146"/>
      <c r="Q1505" s="146"/>
      <c r="R1505" s="146"/>
      <c r="S1505" s="146"/>
      <c r="T1505" s="146"/>
      <c r="U1505" s="146"/>
      <c r="V1505" s="146"/>
      <c r="W1505" s="146"/>
      <c r="X1505" s="146"/>
      <c r="Y1505" s="146"/>
      <c r="Z1505" s="143"/>
    </row>
    <row r="1506" spans="1:26" s="136" customFormat="1" x14ac:dyDescent="0.25">
      <c r="A1506" s="203">
        <f t="shared" si="31"/>
        <v>1505</v>
      </c>
      <c r="B1506" s="133"/>
      <c r="C1506" s="264"/>
      <c r="D1506" s="264"/>
      <c r="E1506" s="133"/>
      <c r="F1506" s="4" t="s">
        <v>1933</v>
      </c>
      <c r="G1506" s="131"/>
      <c r="H1506" s="133"/>
      <c r="I1506" s="131" t="s">
        <v>131</v>
      </c>
      <c r="J1506" s="133">
        <v>18</v>
      </c>
      <c r="K1506" s="129">
        <v>9</v>
      </c>
      <c r="L1506" s="129">
        <v>4</v>
      </c>
      <c r="M1506" s="129" t="s">
        <v>658</v>
      </c>
      <c r="N1506" s="129" t="s">
        <v>659</v>
      </c>
      <c r="O1506" s="160"/>
      <c r="P1506" s="146"/>
      <c r="Q1506" s="146"/>
      <c r="R1506" s="146"/>
      <c r="S1506" s="146"/>
      <c r="T1506" s="146"/>
      <c r="U1506" s="146"/>
      <c r="V1506" s="146"/>
      <c r="W1506" s="146"/>
      <c r="X1506" s="146"/>
      <c r="Y1506" s="146"/>
      <c r="Z1506" s="143" t="s">
        <v>1990</v>
      </c>
    </row>
    <row r="1507" spans="1:26" x14ac:dyDescent="0.25">
      <c r="A1507" s="203">
        <f t="shared" si="31"/>
        <v>1506</v>
      </c>
      <c r="B1507" s="133"/>
      <c r="C1507" s="264"/>
      <c r="D1507" s="264"/>
      <c r="E1507" s="133"/>
      <c r="F1507" s="4" t="s">
        <v>1933</v>
      </c>
      <c r="G1507" s="131"/>
      <c r="H1507" s="133"/>
      <c r="I1507" s="131" t="s">
        <v>131</v>
      </c>
      <c r="J1507" s="133">
        <v>18</v>
      </c>
      <c r="K1507" s="129">
        <v>9</v>
      </c>
      <c r="L1507" s="129">
        <v>5</v>
      </c>
      <c r="M1507" s="129" t="s">
        <v>658</v>
      </c>
      <c r="N1507" s="129" t="s">
        <v>659</v>
      </c>
      <c r="O1507" s="160"/>
      <c r="P1507" s="146"/>
      <c r="Q1507" s="146"/>
      <c r="R1507" s="146"/>
      <c r="S1507" s="146"/>
      <c r="T1507" s="146"/>
      <c r="U1507" s="146"/>
      <c r="V1507" s="146"/>
      <c r="W1507" s="146"/>
      <c r="X1507" s="146"/>
      <c r="Y1507" s="146"/>
      <c r="Z1507" s="143" t="s">
        <v>1990</v>
      </c>
    </row>
    <row r="1508" spans="1:26" s="149" customFormat="1" x14ac:dyDescent="0.25">
      <c r="A1508" s="203">
        <f t="shared" si="31"/>
        <v>1507</v>
      </c>
      <c r="B1508" s="133"/>
      <c r="C1508" s="264"/>
      <c r="D1508" s="264"/>
      <c r="E1508" s="133"/>
      <c r="F1508" s="4" t="s">
        <v>1933</v>
      </c>
      <c r="G1508" s="131"/>
      <c r="H1508" s="133"/>
      <c r="I1508" s="131" t="s">
        <v>131</v>
      </c>
      <c r="J1508" s="133">
        <v>18</v>
      </c>
      <c r="K1508" s="129">
        <v>9</v>
      </c>
      <c r="L1508" s="129">
        <v>6</v>
      </c>
      <c r="M1508" s="129" t="s">
        <v>658</v>
      </c>
      <c r="N1508" s="129" t="s">
        <v>659</v>
      </c>
      <c r="O1508" s="160"/>
      <c r="P1508" s="146"/>
      <c r="Q1508" s="146"/>
      <c r="R1508" s="146"/>
      <c r="S1508" s="146"/>
      <c r="T1508" s="146"/>
      <c r="U1508" s="146"/>
      <c r="V1508" s="146"/>
      <c r="W1508" s="146"/>
      <c r="X1508" s="146"/>
      <c r="Y1508" s="146"/>
      <c r="Z1508" s="143" t="s">
        <v>1990</v>
      </c>
    </row>
    <row r="1509" spans="1:26" s="149" customFormat="1" x14ac:dyDescent="0.25">
      <c r="A1509" s="203">
        <f t="shared" si="31"/>
        <v>1508</v>
      </c>
      <c r="B1509" s="133"/>
      <c r="C1509" s="263"/>
      <c r="D1509" s="264"/>
      <c r="E1509" s="133"/>
      <c r="F1509" s="4" t="s">
        <v>1933</v>
      </c>
      <c r="G1509" s="131"/>
      <c r="H1509" s="133"/>
      <c r="I1509" s="131" t="s">
        <v>131</v>
      </c>
      <c r="J1509" s="133">
        <v>18</v>
      </c>
      <c r="K1509" s="129">
        <v>9</v>
      </c>
      <c r="L1509" s="129">
        <v>7</v>
      </c>
      <c r="M1509" s="129" t="s">
        <v>658</v>
      </c>
      <c r="N1509" s="129" t="s">
        <v>659</v>
      </c>
      <c r="O1509" s="160"/>
      <c r="P1509" s="146"/>
      <c r="Q1509" s="146"/>
      <c r="R1509" s="146"/>
      <c r="S1509" s="146"/>
      <c r="T1509" s="146"/>
      <c r="U1509" s="146"/>
      <c r="V1509" s="146"/>
      <c r="W1509" s="146"/>
      <c r="X1509" s="146"/>
      <c r="Y1509" s="146"/>
      <c r="Z1509" s="143"/>
    </row>
    <row r="1510" spans="1:26" s="149" customFormat="1" x14ac:dyDescent="0.25">
      <c r="A1510" s="203">
        <f t="shared" si="31"/>
        <v>1509</v>
      </c>
      <c r="B1510" s="133"/>
      <c r="C1510" s="264"/>
      <c r="D1510" s="264"/>
      <c r="E1510" s="133"/>
      <c r="F1510" s="4" t="s">
        <v>1933</v>
      </c>
      <c r="G1510" s="131"/>
      <c r="H1510" s="133"/>
      <c r="I1510" s="131" t="s">
        <v>131</v>
      </c>
      <c r="J1510" s="133">
        <v>18</v>
      </c>
      <c r="K1510" s="129">
        <v>10</v>
      </c>
      <c r="L1510" s="129">
        <v>5</v>
      </c>
      <c r="M1510" s="129" t="s">
        <v>658</v>
      </c>
      <c r="N1510" s="129" t="s">
        <v>659</v>
      </c>
      <c r="O1510" s="160"/>
      <c r="P1510" s="146"/>
      <c r="Q1510" s="146"/>
      <c r="R1510" s="146"/>
      <c r="S1510" s="146"/>
      <c r="T1510" s="146"/>
      <c r="U1510" s="146"/>
      <c r="V1510" s="146"/>
      <c r="W1510" s="146"/>
      <c r="X1510" s="146"/>
      <c r="Y1510" s="146"/>
      <c r="Z1510" s="143" t="s">
        <v>1990</v>
      </c>
    </row>
    <row r="1511" spans="1:26" s="149" customFormat="1" x14ac:dyDescent="0.25">
      <c r="A1511" s="203">
        <f t="shared" si="31"/>
        <v>1510</v>
      </c>
      <c r="B1511" s="133"/>
      <c r="C1511" s="264"/>
      <c r="D1511" s="264"/>
      <c r="E1511" s="133"/>
      <c r="F1511" s="4" t="s">
        <v>1933</v>
      </c>
      <c r="G1511" s="131"/>
      <c r="H1511" s="133"/>
      <c r="I1511" s="131" t="s">
        <v>131</v>
      </c>
      <c r="J1511" s="133">
        <v>18</v>
      </c>
      <c r="K1511" s="129">
        <v>10</v>
      </c>
      <c r="L1511" s="129">
        <v>6</v>
      </c>
      <c r="M1511" s="129" t="s">
        <v>658</v>
      </c>
      <c r="N1511" s="129" t="s">
        <v>659</v>
      </c>
      <c r="O1511" s="160"/>
      <c r="P1511" s="146"/>
      <c r="Q1511" s="146"/>
      <c r="R1511" s="146"/>
      <c r="S1511" s="146"/>
      <c r="T1511" s="146"/>
      <c r="U1511" s="146"/>
      <c r="V1511" s="146"/>
      <c r="W1511" s="146"/>
      <c r="X1511" s="146"/>
      <c r="Y1511" s="146"/>
      <c r="Z1511" s="143" t="s">
        <v>1990</v>
      </c>
    </row>
    <row r="1512" spans="1:26" x14ac:dyDescent="0.25">
      <c r="A1512" s="203">
        <f t="shared" si="31"/>
        <v>1511</v>
      </c>
      <c r="B1512" s="133"/>
      <c r="C1512" s="263"/>
      <c r="D1512" s="264"/>
      <c r="E1512" s="133"/>
      <c r="F1512" s="4" t="s">
        <v>1933</v>
      </c>
      <c r="G1512" s="131"/>
      <c r="H1512" s="133"/>
      <c r="I1512" s="131" t="s">
        <v>131</v>
      </c>
      <c r="J1512" s="133">
        <v>18</v>
      </c>
      <c r="K1512" s="129">
        <v>10</v>
      </c>
      <c r="L1512" s="129">
        <v>7</v>
      </c>
      <c r="M1512" s="129" t="s">
        <v>658</v>
      </c>
      <c r="N1512" s="129" t="s">
        <v>659</v>
      </c>
      <c r="O1512" s="160"/>
      <c r="P1512" s="146"/>
      <c r="Q1512" s="146"/>
      <c r="R1512" s="146"/>
      <c r="S1512" s="146"/>
      <c r="T1512" s="146"/>
      <c r="U1512" s="146"/>
      <c r="V1512" s="146"/>
      <c r="W1512" s="146"/>
      <c r="X1512" s="146"/>
      <c r="Y1512" s="146"/>
      <c r="Z1512" s="143"/>
    </row>
    <row r="1513" spans="1:26" s="149" customFormat="1" x14ac:dyDescent="0.25">
      <c r="A1513" s="203">
        <f t="shared" si="31"/>
        <v>1512</v>
      </c>
      <c r="B1513" s="128"/>
      <c r="C1513" s="263"/>
      <c r="D1513" s="262"/>
      <c r="E1513" s="128"/>
      <c r="F1513" s="138" t="s">
        <v>1935</v>
      </c>
      <c r="G1513" s="131"/>
      <c r="H1513" s="128"/>
      <c r="I1513" s="131" t="s">
        <v>131</v>
      </c>
      <c r="J1513" s="133">
        <v>18</v>
      </c>
      <c r="K1513" s="129">
        <v>11</v>
      </c>
      <c r="L1513" s="129">
        <v>0</v>
      </c>
      <c r="M1513" s="129" t="s">
        <v>1936</v>
      </c>
      <c r="N1513" s="129" t="s">
        <v>295</v>
      </c>
      <c r="O1513" s="139"/>
      <c r="P1513" s="127"/>
      <c r="Q1513" s="127"/>
      <c r="R1513" s="127"/>
      <c r="S1513" s="127"/>
      <c r="T1513" s="127"/>
      <c r="U1513" s="127"/>
      <c r="V1513" s="127"/>
      <c r="W1513" s="127"/>
      <c r="X1513" s="127"/>
      <c r="Y1513" s="127"/>
      <c r="Z1513" s="140"/>
    </row>
    <row r="1514" spans="1:26" s="149" customFormat="1" x14ac:dyDescent="0.25">
      <c r="A1514" s="203">
        <f t="shared" si="31"/>
        <v>1513</v>
      </c>
      <c r="B1514" s="133"/>
      <c r="C1514" s="263"/>
      <c r="D1514" s="264"/>
      <c r="E1514" s="133"/>
      <c r="F1514" s="141" t="s">
        <v>1933</v>
      </c>
      <c r="G1514" s="131"/>
      <c r="H1514" s="133"/>
      <c r="I1514" s="131" t="s">
        <v>131</v>
      </c>
      <c r="J1514" s="133">
        <v>18</v>
      </c>
      <c r="K1514" s="129">
        <v>12</v>
      </c>
      <c r="L1514" s="129">
        <v>4</v>
      </c>
      <c r="M1514" s="129" t="s">
        <v>664</v>
      </c>
      <c r="N1514" s="129" t="s">
        <v>665</v>
      </c>
      <c r="O1514" s="160"/>
      <c r="P1514" s="146"/>
      <c r="Q1514" s="146"/>
      <c r="R1514" s="146"/>
      <c r="S1514" s="146"/>
      <c r="T1514" s="146"/>
      <c r="U1514" s="146"/>
      <c r="V1514" s="146"/>
      <c r="W1514" s="146"/>
      <c r="X1514" s="146"/>
      <c r="Y1514" s="146"/>
      <c r="Z1514" s="143"/>
    </row>
    <row r="1515" spans="1:26" s="149" customFormat="1" x14ac:dyDescent="0.25">
      <c r="A1515" s="203">
        <f t="shared" si="31"/>
        <v>1514</v>
      </c>
      <c r="B1515" s="133"/>
      <c r="C1515" s="263"/>
      <c r="D1515" s="264"/>
      <c r="E1515" s="133"/>
      <c r="F1515" s="141" t="s">
        <v>1933</v>
      </c>
      <c r="G1515" s="131"/>
      <c r="H1515" s="133"/>
      <c r="I1515" s="131" t="s">
        <v>131</v>
      </c>
      <c r="J1515" s="133">
        <v>18</v>
      </c>
      <c r="K1515" s="129">
        <v>12</v>
      </c>
      <c r="L1515" s="129">
        <v>5</v>
      </c>
      <c r="M1515" s="129" t="s">
        <v>664</v>
      </c>
      <c r="N1515" s="129" t="s">
        <v>665</v>
      </c>
      <c r="O1515" s="160"/>
      <c r="P1515" s="146"/>
      <c r="Q1515" s="146"/>
      <c r="R1515" s="146"/>
      <c r="S1515" s="146"/>
      <c r="T1515" s="146"/>
      <c r="U1515" s="146"/>
      <c r="V1515" s="146"/>
      <c r="W1515" s="146"/>
      <c r="X1515" s="146"/>
      <c r="Y1515" s="146"/>
      <c r="Z1515" s="143"/>
    </row>
    <row r="1516" spans="1:26" x14ac:dyDescent="0.25">
      <c r="A1516" s="203">
        <f t="shared" si="31"/>
        <v>1515</v>
      </c>
      <c r="B1516" s="133"/>
      <c r="C1516" s="263"/>
      <c r="D1516" s="264"/>
      <c r="E1516" s="133"/>
      <c r="F1516" s="141" t="s">
        <v>1933</v>
      </c>
      <c r="G1516" s="131"/>
      <c r="H1516" s="133"/>
      <c r="I1516" s="131" t="s">
        <v>131</v>
      </c>
      <c r="J1516" s="133">
        <v>18</v>
      </c>
      <c r="K1516" s="129">
        <v>12</v>
      </c>
      <c r="L1516" s="129">
        <v>6</v>
      </c>
      <c r="M1516" s="129" t="s">
        <v>664</v>
      </c>
      <c r="N1516" s="129" t="s">
        <v>665</v>
      </c>
      <c r="O1516" s="160"/>
      <c r="P1516" s="146"/>
      <c r="Q1516" s="146"/>
      <c r="R1516" s="146"/>
      <c r="S1516" s="146"/>
      <c r="T1516" s="146"/>
      <c r="U1516" s="146"/>
      <c r="V1516" s="146"/>
      <c r="W1516" s="146"/>
      <c r="X1516" s="146"/>
      <c r="Y1516" s="146"/>
      <c r="Z1516" s="143"/>
    </row>
    <row r="1517" spans="1:26" x14ac:dyDescent="0.25">
      <c r="A1517" s="203">
        <f t="shared" si="31"/>
        <v>1516</v>
      </c>
      <c r="B1517" s="133"/>
      <c r="C1517" s="263"/>
      <c r="D1517" s="264"/>
      <c r="E1517" s="133"/>
      <c r="F1517" s="141" t="s">
        <v>1933</v>
      </c>
      <c r="G1517" s="131"/>
      <c r="H1517" s="133"/>
      <c r="I1517" s="131" t="s">
        <v>131</v>
      </c>
      <c r="J1517" s="133">
        <v>18</v>
      </c>
      <c r="K1517" s="129">
        <v>12</v>
      </c>
      <c r="L1517" s="129">
        <v>7</v>
      </c>
      <c r="M1517" s="129" t="s">
        <v>664</v>
      </c>
      <c r="N1517" s="129" t="s">
        <v>665</v>
      </c>
      <c r="O1517" s="160"/>
      <c r="P1517" s="146"/>
      <c r="Q1517" s="146"/>
      <c r="R1517" s="146"/>
      <c r="S1517" s="146"/>
      <c r="T1517" s="146"/>
      <c r="U1517" s="146"/>
      <c r="V1517" s="146"/>
      <c r="W1517" s="146"/>
      <c r="X1517" s="146"/>
      <c r="Y1517" s="146"/>
      <c r="Z1517" s="143"/>
    </row>
    <row r="1518" spans="1:26" x14ac:dyDescent="0.25">
      <c r="A1518" s="203">
        <f t="shared" si="31"/>
        <v>1517</v>
      </c>
      <c r="B1518" s="133"/>
      <c r="C1518" s="263"/>
      <c r="D1518" s="264"/>
      <c r="E1518" s="133"/>
      <c r="F1518" s="141" t="s">
        <v>1933</v>
      </c>
      <c r="G1518" s="131"/>
      <c r="H1518" s="133"/>
      <c r="I1518" s="131" t="s">
        <v>131</v>
      </c>
      <c r="J1518" s="133">
        <v>18</v>
      </c>
      <c r="K1518" s="129">
        <v>13</v>
      </c>
      <c r="L1518" s="129">
        <v>4</v>
      </c>
      <c r="M1518" s="129" t="s">
        <v>664</v>
      </c>
      <c r="N1518" s="129" t="s">
        <v>665</v>
      </c>
      <c r="O1518" s="160"/>
      <c r="P1518" s="146"/>
      <c r="Q1518" s="146"/>
      <c r="R1518" s="146"/>
      <c r="S1518" s="146"/>
      <c r="T1518" s="146"/>
      <c r="U1518" s="146"/>
      <c r="V1518" s="146"/>
      <c r="W1518" s="146"/>
      <c r="X1518" s="146"/>
      <c r="Y1518" s="146"/>
      <c r="Z1518" s="143"/>
    </row>
    <row r="1519" spans="1:26" x14ac:dyDescent="0.25">
      <c r="A1519" s="203">
        <f t="shared" si="31"/>
        <v>1518</v>
      </c>
      <c r="B1519" s="133"/>
      <c r="C1519" s="263"/>
      <c r="D1519" s="264"/>
      <c r="E1519" s="133"/>
      <c r="F1519" s="141" t="s">
        <v>1933</v>
      </c>
      <c r="G1519" s="131"/>
      <c r="H1519" s="133"/>
      <c r="I1519" s="131" t="s">
        <v>131</v>
      </c>
      <c r="J1519" s="133">
        <v>18</v>
      </c>
      <c r="K1519" s="129">
        <v>13</v>
      </c>
      <c r="L1519" s="129">
        <v>5</v>
      </c>
      <c r="M1519" s="129" t="s">
        <v>664</v>
      </c>
      <c r="N1519" s="129" t="s">
        <v>665</v>
      </c>
      <c r="O1519" s="160"/>
      <c r="P1519" s="146"/>
      <c r="Q1519" s="146"/>
      <c r="R1519" s="146"/>
      <c r="S1519" s="146"/>
      <c r="T1519" s="146"/>
      <c r="U1519" s="146"/>
      <c r="V1519" s="146"/>
      <c r="W1519" s="146"/>
      <c r="X1519" s="146"/>
      <c r="Y1519" s="146"/>
      <c r="Z1519" s="143"/>
    </row>
    <row r="1520" spans="1:26" x14ac:dyDescent="0.25">
      <c r="A1520" s="203">
        <f t="shared" si="31"/>
        <v>1519</v>
      </c>
      <c r="B1520" s="133"/>
      <c r="C1520" s="263"/>
      <c r="D1520" s="264"/>
      <c r="E1520" s="133"/>
      <c r="F1520" s="141" t="s">
        <v>1933</v>
      </c>
      <c r="G1520" s="131"/>
      <c r="H1520" s="133"/>
      <c r="I1520" s="131" t="s">
        <v>131</v>
      </c>
      <c r="J1520" s="133">
        <v>18</v>
      </c>
      <c r="K1520" s="129">
        <v>13</v>
      </c>
      <c r="L1520" s="129">
        <v>6</v>
      </c>
      <c r="M1520" s="129" t="s">
        <v>664</v>
      </c>
      <c r="N1520" s="129" t="s">
        <v>665</v>
      </c>
      <c r="O1520" s="160"/>
      <c r="P1520" s="146"/>
      <c r="Q1520" s="146"/>
      <c r="R1520" s="146"/>
      <c r="S1520" s="146"/>
      <c r="T1520" s="146"/>
      <c r="U1520" s="146"/>
      <c r="V1520" s="146"/>
      <c r="W1520" s="146"/>
      <c r="X1520" s="146"/>
      <c r="Y1520" s="146"/>
      <c r="Z1520" s="143"/>
    </row>
    <row r="1521" spans="1:26" s="136" customFormat="1" x14ac:dyDescent="0.25">
      <c r="A1521" s="203">
        <f t="shared" si="31"/>
        <v>1520</v>
      </c>
      <c r="B1521" s="133"/>
      <c r="C1521" s="263"/>
      <c r="D1521" s="264"/>
      <c r="E1521" s="133"/>
      <c r="F1521" s="141" t="s">
        <v>1933</v>
      </c>
      <c r="G1521" s="131"/>
      <c r="H1521" s="133"/>
      <c r="I1521" s="131" t="s">
        <v>131</v>
      </c>
      <c r="J1521" s="133">
        <v>18</v>
      </c>
      <c r="K1521" s="129">
        <v>13</v>
      </c>
      <c r="L1521" s="129">
        <v>7</v>
      </c>
      <c r="M1521" s="129" t="s">
        <v>664</v>
      </c>
      <c r="N1521" s="129" t="s">
        <v>665</v>
      </c>
      <c r="O1521" s="160"/>
      <c r="P1521" s="146"/>
      <c r="Q1521" s="146"/>
      <c r="R1521" s="146"/>
      <c r="S1521" s="146"/>
      <c r="T1521" s="146"/>
      <c r="U1521" s="146"/>
      <c r="V1521" s="146"/>
      <c r="W1521" s="146"/>
      <c r="X1521" s="146"/>
      <c r="Y1521" s="146"/>
      <c r="Z1521" s="143"/>
    </row>
    <row r="1522" spans="1:26" x14ac:dyDescent="0.25">
      <c r="A1522" s="203">
        <f t="shared" si="31"/>
        <v>1521</v>
      </c>
      <c r="B1522" s="133"/>
      <c r="C1522" s="263"/>
      <c r="D1522" s="264"/>
      <c r="E1522" s="133"/>
      <c r="F1522" s="141" t="s">
        <v>1933</v>
      </c>
      <c r="G1522" s="131"/>
      <c r="H1522" s="133"/>
      <c r="I1522" s="131" t="s">
        <v>131</v>
      </c>
      <c r="J1522" s="133">
        <v>18</v>
      </c>
      <c r="K1522" s="129">
        <v>14</v>
      </c>
      <c r="L1522" s="129">
        <v>10</v>
      </c>
      <c r="M1522" s="129" t="s">
        <v>82</v>
      </c>
      <c r="N1522" s="129" t="s">
        <v>83</v>
      </c>
      <c r="O1522" s="146"/>
      <c r="P1522" s="146"/>
      <c r="Q1522" s="146"/>
      <c r="R1522" s="146"/>
      <c r="S1522" s="146"/>
      <c r="T1522" s="146"/>
      <c r="U1522" s="146"/>
      <c r="V1522" s="146"/>
      <c r="W1522" s="146"/>
      <c r="X1522" s="146"/>
      <c r="Y1522" s="146"/>
      <c r="Z1522" s="143"/>
    </row>
    <row r="1523" spans="1:26" x14ac:dyDescent="0.25">
      <c r="A1523" s="203">
        <f t="shared" si="31"/>
        <v>1522</v>
      </c>
      <c r="B1523" s="133"/>
      <c r="C1523" s="263"/>
      <c r="D1523" s="264"/>
      <c r="E1523" s="133"/>
      <c r="F1523" s="141" t="s">
        <v>1933</v>
      </c>
      <c r="G1523" s="131"/>
      <c r="H1523" s="133"/>
      <c r="I1523" s="131" t="s">
        <v>131</v>
      </c>
      <c r="J1523" s="133">
        <v>18</v>
      </c>
      <c r="K1523" s="129">
        <v>14</v>
      </c>
      <c r="L1523" s="129">
        <v>11</v>
      </c>
      <c r="M1523" s="129" t="s">
        <v>82</v>
      </c>
      <c r="N1523" s="129" t="s">
        <v>83</v>
      </c>
      <c r="O1523" s="146"/>
      <c r="P1523" s="146"/>
      <c r="Q1523" s="146"/>
      <c r="R1523" s="146"/>
      <c r="S1523" s="146"/>
      <c r="T1523" s="146"/>
      <c r="U1523" s="146"/>
      <c r="V1523" s="146"/>
      <c r="W1523" s="146"/>
      <c r="X1523" s="146"/>
      <c r="Y1523" s="146"/>
      <c r="Z1523" s="143"/>
    </row>
    <row r="1524" spans="1:26" x14ac:dyDescent="0.25">
      <c r="A1524" s="203">
        <f t="shared" si="31"/>
        <v>1523</v>
      </c>
      <c r="B1524" s="133"/>
      <c r="C1524" s="263"/>
      <c r="D1524" s="264"/>
      <c r="E1524" s="133"/>
      <c r="F1524" s="141" t="s">
        <v>1933</v>
      </c>
      <c r="G1524" s="131"/>
      <c r="H1524" s="133"/>
      <c r="I1524" s="131" t="s">
        <v>131</v>
      </c>
      <c r="J1524" s="133">
        <v>18</v>
      </c>
      <c r="K1524" s="129">
        <v>14</v>
      </c>
      <c r="L1524" s="129">
        <v>12</v>
      </c>
      <c r="M1524" s="129" t="s">
        <v>82</v>
      </c>
      <c r="N1524" s="129" t="s">
        <v>83</v>
      </c>
      <c r="O1524" s="146"/>
      <c r="P1524" s="146"/>
      <c r="Q1524" s="146"/>
      <c r="R1524" s="146"/>
      <c r="S1524" s="146"/>
      <c r="T1524" s="146"/>
      <c r="U1524" s="146"/>
      <c r="V1524" s="146"/>
      <c r="W1524" s="146"/>
      <c r="X1524" s="146"/>
      <c r="Y1524" s="146"/>
      <c r="Z1524" s="143"/>
    </row>
    <row r="1525" spans="1:26" x14ac:dyDescent="0.25">
      <c r="A1525" s="203">
        <f t="shared" si="31"/>
        <v>1524</v>
      </c>
      <c r="B1525" s="133"/>
      <c r="C1525" s="263"/>
      <c r="D1525" s="264"/>
      <c r="E1525" s="133"/>
      <c r="F1525" s="141" t="s">
        <v>1933</v>
      </c>
      <c r="G1525" s="131"/>
      <c r="H1525" s="133"/>
      <c r="I1525" s="131" t="s">
        <v>131</v>
      </c>
      <c r="J1525" s="133">
        <v>18</v>
      </c>
      <c r="K1525" s="129">
        <v>14</v>
      </c>
      <c r="L1525" s="129">
        <v>13</v>
      </c>
      <c r="M1525" s="129" t="s">
        <v>82</v>
      </c>
      <c r="N1525" s="129" t="s">
        <v>83</v>
      </c>
      <c r="O1525" s="146"/>
      <c r="P1525" s="146"/>
      <c r="Q1525" s="146"/>
      <c r="R1525" s="146"/>
      <c r="S1525" s="146"/>
      <c r="T1525" s="146"/>
      <c r="U1525" s="146"/>
      <c r="V1525" s="146"/>
      <c r="W1525" s="146"/>
      <c r="X1525" s="146"/>
      <c r="Y1525" s="146"/>
      <c r="Z1525" s="143"/>
    </row>
    <row r="1526" spans="1:26" x14ac:dyDescent="0.25">
      <c r="A1526" s="203">
        <f t="shared" si="31"/>
        <v>1525</v>
      </c>
      <c r="B1526" s="133"/>
      <c r="C1526" s="263"/>
      <c r="D1526" s="264"/>
      <c r="E1526" s="133"/>
      <c r="F1526" s="141" t="s">
        <v>1933</v>
      </c>
      <c r="G1526" s="131"/>
      <c r="H1526" s="133"/>
      <c r="I1526" s="131" t="s">
        <v>131</v>
      </c>
      <c r="J1526" s="133">
        <v>18</v>
      </c>
      <c r="K1526" s="129">
        <v>14</v>
      </c>
      <c r="L1526" s="129">
        <v>14</v>
      </c>
      <c r="M1526" s="129" t="s">
        <v>82</v>
      </c>
      <c r="N1526" s="129" t="s">
        <v>83</v>
      </c>
      <c r="O1526" s="146"/>
      <c r="P1526" s="146"/>
      <c r="Q1526" s="146"/>
      <c r="R1526" s="146"/>
      <c r="S1526" s="146"/>
      <c r="T1526" s="146"/>
      <c r="U1526" s="146"/>
      <c r="V1526" s="146"/>
      <c r="W1526" s="146"/>
      <c r="X1526" s="146"/>
      <c r="Y1526" s="146"/>
      <c r="Z1526" s="143"/>
    </row>
    <row r="1527" spans="1:26" x14ac:dyDescent="0.25">
      <c r="A1527" s="203">
        <f t="shared" si="31"/>
        <v>1526</v>
      </c>
      <c r="B1527" s="133"/>
      <c r="C1527" s="263"/>
      <c r="D1527" s="264"/>
      <c r="E1527" s="133"/>
      <c r="F1527" s="141" t="s">
        <v>1933</v>
      </c>
      <c r="G1527" s="131"/>
      <c r="H1527" s="133"/>
      <c r="I1527" s="131" t="s">
        <v>131</v>
      </c>
      <c r="J1527" s="133">
        <v>18</v>
      </c>
      <c r="K1527" s="129">
        <v>14</v>
      </c>
      <c r="L1527" s="129">
        <v>15</v>
      </c>
      <c r="M1527" s="129" t="s">
        <v>82</v>
      </c>
      <c r="N1527" s="129" t="s">
        <v>83</v>
      </c>
      <c r="O1527" s="146"/>
      <c r="P1527" s="146"/>
      <c r="Q1527" s="146"/>
      <c r="R1527" s="146"/>
      <c r="S1527" s="146"/>
      <c r="T1527" s="146"/>
      <c r="U1527" s="146"/>
      <c r="V1527" s="146"/>
      <c r="W1527" s="146"/>
      <c r="X1527" s="146"/>
      <c r="Y1527" s="146"/>
      <c r="Z1527" s="143"/>
    </row>
    <row r="1528" spans="1:26" x14ac:dyDescent="0.25">
      <c r="A1528" s="203">
        <f t="shared" si="31"/>
        <v>1527</v>
      </c>
      <c r="B1528" s="128"/>
      <c r="C1528" s="263"/>
      <c r="D1528" s="262"/>
      <c r="E1528" s="128"/>
      <c r="F1528" s="141" t="s">
        <v>1933</v>
      </c>
      <c r="G1528" s="131"/>
      <c r="H1528" s="128"/>
      <c r="I1528" s="131" t="s">
        <v>131</v>
      </c>
      <c r="J1528" s="133">
        <v>18</v>
      </c>
      <c r="K1528" s="129">
        <v>15</v>
      </c>
      <c r="L1528" s="129">
        <v>2</v>
      </c>
      <c r="M1528" s="129" t="s">
        <v>138</v>
      </c>
      <c r="N1528" s="129" t="s">
        <v>139</v>
      </c>
      <c r="O1528" s="139"/>
      <c r="P1528" s="127"/>
      <c r="Q1528" s="127"/>
      <c r="R1528" s="127"/>
      <c r="S1528" s="127"/>
      <c r="T1528" s="127"/>
      <c r="U1528" s="127"/>
      <c r="V1528" s="127"/>
      <c r="W1528" s="127"/>
      <c r="X1528" s="127"/>
      <c r="Y1528" s="127"/>
      <c r="Z1528" s="153"/>
    </row>
    <row r="1529" spans="1:26" s="136" customFormat="1" x14ac:dyDescent="0.25">
      <c r="A1529" s="203">
        <f t="shared" si="31"/>
        <v>1528</v>
      </c>
      <c r="B1529" s="128"/>
      <c r="C1529" s="263"/>
      <c r="D1529" s="262"/>
      <c r="E1529" s="128"/>
      <c r="F1529" s="141" t="s">
        <v>1933</v>
      </c>
      <c r="G1529" s="131"/>
      <c r="H1529" s="128"/>
      <c r="I1529" s="131" t="s">
        <v>131</v>
      </c>
      <c r="J1529" s="133">
        <v>18</v>
      </c>
      <c r="K1529" s="129">
        <v>15</v>
      </c>
      <c r="L1529" s="129">
        <v>3</v>
      </c>
      <c r="M1529" s="129" t="s">
        <v>138</v>
      </c>
      <c r="N1529" s="129" t="s">
        <v>139</v>
      </c>
      <c r="O1529" s="139"/>
      <c r="P1529" s="127"/>
      <c r="Q1529" s="127"/>
      <c r="R1529" s="127"/>
      <c r="S1529" s="127"/>
      <c r="T1529" s="127"/>
      <c r="U1529" s="127"/>
      <c r="V1529" s="127"/>
      <c r="W1529" s="127"/>
      <c r="X1529" s="127"/>
      <c r="Y1529" s="127"/>
      <c r="Z1529" s="153"/>
    </row>
    <row r="1530" spans="1:26" x14ac:dyDescent="0.25">
      <c r="A1530" s="203">
        <f t="shared" si="31"/>
        <v>1529</v>
      </c>
      <c r="B1530" s="128"/>
      <c r="C1530" s="263"/>
      <c r="D1530" s="262"/>
      <c r="E1530" s="128"/>
      <c r="F1530" s="141" t="s">
        <v>1933</v>
      </c>
      <c r="G1530" s="131"/>
      <c r="H1530" s="128"/>
      <c r="I1530" s="131" t="s">
        <v>131</v>
      </c>
      <c r="J1530" s="133">
        <v>18</v>
      </c>
      <c r="K1530" s="129">
        <v>15</v>
      </c>
      <c r="L1530" s="129">
        <v>4</v>
      </c>
      <c r="M1530" s="129" t="s">
        <v>138</v>
      </c>
      <c r="N1530" s="129" t="s">
        <v>139</v>
      </c>
      <c r="O1530" s="139"/>
      <c r="P1530" s="127"/>
      <c r="Q1530" s="127"/>
      <c r="R1530" s="127"/>
      <c r="S1530" s="127"/>
      <c r="T1530" s="127"/>
      <c r="U1530" s="127"/>
      <c r="V1530" s="127"/>
      <c r="W1530" s="127"/>
      <c r="X1530" s="127"/>
      <c r="Y1530" s="127"/>
      <c r="Z1530" s="153"/>
    </row>
    <row r="1531" spans="1:26" x14ac:dyDescent="0.25">
      <c r="A1531" s="203">
        <f t="shared" si="31"/>
        <v>1530</v>
      </c>
      <c r="B1531" s="128"/>
      <c r="C1531" s="263"/>
      <c r="D1531" s="262"/>
      <c r="E1531" s="128"/>
      <c r="F1531" s="141" t="s">
        <v>1933</v>
      </c>
      <c r="G1531" s="131"/>
      <c r="H1531" s="128"/>
      <c r="I1531" s="131" t="s">
        <v>131</v>
      </c>
      <c r="J1531" s="133">
        <v>18</v>
      </c>
      <c r="K1531" s="129">
        <v>15</v>
      </c>
      <c r="L1531" s="129">
        <v>5</v>
      </c>
      <c r="M1531" s="129" t="s">
        <v>138</v>
      </c>
      <c r="N1531" s="129" t="s">
        <v>139</v>
      </c>
      <c r="O1531" s="139"/>
      <c r="P1531" s="127"/>
      <c r="Q1531" s="127"/>
      <c r="R1531" s="127"/>
      <c r="S1531" s="127"/>
      <c r="T1531" s="127"/>
      <c r="U1531" s="127"/>
      <c r="V1531" s="127"/>
      <c r="W1531" s="127"/>
      <c r="X1531" s="127"/>
      <c r="Y1531" s="127"/>
      <c r="Z1531" s="153"/>
    </row>
    <row r="1532" spans="1:26" x14ac:dyDescent="0.25">
      <c r="A1532" s="203">
        <f t="shared" si="31"/>
        <v>1531</v>
      </c>
      <c r="B1532" s="128"/>
      <c r="C1532" s="263"/>
      <c r="D1532" s="262"/>
      <c r="E1532" s="128"/>
      <c r="F1532" s="141" t="s">
        <v>1933</v>
      </c>
      <c r="G1532" s="131"/>
      <c r="H1532" s="128"/>
      <c r="I1532" s="131" t="s">
        <v>131</v>
      </c>
      <c r="J1532" s="133">
        <v>18</v>
      </c>
      <c r="K1532" s="129">
        <v>15</v>
      </c>
      <c r="L1532" s="129">
        <v>6</v>
      </c>
      <c r="M1532" s="129" t="s">
        <v>138</v>
      </c>
      <c r="N1532" s="129" t="s">
        <v>139</v>
      </c>
      <c r="O1532" s="139"/>
      <c r="P1532" s="127"/>
      <c r="Z1532" s="220"/>
    </row>
    <row r="1533" spans="1:26" x14ac:dyDescent="0.25">
      <c r="A1533" s="203">
        <f t="shared" si="31"/>
        <v>1532</v>
      </c>
      <c r="B1533" s="128"/>
      <c r="C1533" s="263"/>
      <c r="D1533" s="262"/>
      <c r="E1533" s="128"/>
      <c r="F1533" s="141" t="s">
        <v>1933</v>
      </c>
      <c r="G1533" s="131"/>
      <c r="H1533" s="128"/>
      <c r="I1533" s="131" t="s">
        <v>131</v>
      </c>
      <c r="J1533" s="133">
        <v>18</v>
      </c>
      <c r="K1533" s="129">
        <v>15</v>
      </c>
      <c r="L1533" s="129">
        <v>7</v>
      </c>
      <c r="M1533" s="129" t="s">
        <v>138</v>
      </c>
      <c r="N1533" s="129" t="s">
        <v>139</v>
      </c>
      <c r="O1533" s="139"/>
      <c r="P1533" s="127"/>
      <c r="Q1533" s="127"/>
      <c r="R1533" s="127"/>
      <c r="S1533" s="127"/>
      <c r="T1533" s="127"/>
      <c r="U1533" s="127"/>
      <c r="V1533" s="127"/>
      <c r="W1533" s="127"/>
      <c r="X1533" s="127"/>
      <c r="Y1533" s="127"/>
      <c r="Z1533" s="153"/>
    </row>
    <row r="1534" spans="1:26" x14ac:dyDescent="0.25">
      <c r="A1534" s="203">
        <f t="shared" si="31"/>
        <v>1533</v>
      </c>
      <c r="B1534" s="133"/>
      <c r="C1534" s="263"/>
      <c r="D1534" s="264"/>
      <c r="E1534" s="133"/>
      <c r="F1534" s="141" t="s">
        <v>1933</v>
      </c>
      <c r="G1534" s="131"/>
      <c r="H1534" s="133"/>
      <c r="I1534" s="142" t="s">
        <v>1169</v>
      </c>
      <c r="J1534" s="133">
        <v>19</v>
      </c>
      <c r="K1534" s="129">
        <v>2</v>
      </c>
      <c r="L1534" s="129">
        <v>12</v>
      </c>
      <c r="M1534" s="129" t="s">
        <v>31</v>
      </c>
      <c r="N1534" s="129" t="s">
        <v>32</v>
      </c>
      <c r="O1534" s="146"/>
      <c r="P1534" s="146"/>
      <c r="Q1534" s="146"/>
      <c r="R1534" s="146"/>
      <c r="S1534" s="146"/>
      <c r="T1534" s="146"/>
      <c r="U1534" s="146"/>
      <c r="V1534" s="146"/>
      <c r="W1534" s="146"/>
      <c r="X1534" s="146"/>
      <c r="Y1534" s="146"/>
      <c r="Z1534" s="143"/>
    </row>
    <row r="1535" spans="1:26" x14ac:dyDescent="0.25">
      <c r="A1535" s="203">
        <f t="shared" si="31"/>
        <v>1534</v>
      </c>
      <c r="B1535" s="133"/>
      <c r="C1535" s="263"/>
      <c r="D1535" s="264"/>
      <c r="E1535" s="133"/>
      <c r="F1535" s="141" t="s">
        <v>1933</v>
      </c>
      <c r="G1535" s="131"/>
      <c r="H1535" s="133"/>
      <c r="I1535" s="142" t="s">
        <v>1169</v>
      </c>
      <c r="J1535" s="133">
        <v>19</v>
      </c>
      <c r="K1535" s="129">
        <v>2</v>
      </c>
      <c r="L1535" s="129">
        <v>13</v>
      </c>
      <c r="M1535" s="129" t="s">
        <v>31</v>
      </c>
      <c r="N1535" s="129" t="s">
        <v>32</v>
      </c>
      <c r="O1535" s="146"/>
      <c r="P1535" s="146"/>
      <c r="Q1535" s="146"/>
      <c r="R1535" s="146"/>
      <c r="S1535" s="146"/>
      <c r="T1535" s="146"/>
      <c r="U1535" s="146"/>
      <c r="V1535" s="146"/>
      <c r="W1535" s="146"/>
      <c r="X1535" s="146"/>
      <c r="Y1535" s="146"/>
      <c r="Z1535" s="143"/>
    </row>
    <row r="1536" spans="1:26" x14ac:dyDescent="0.25">
      <c r="A1536" s="203">
        <f t="shared" si="31"/>
        <v>1535</v>
      </c>
      <c r="B1536" s="133"/>
      <c r="C1536" s="263"/>
      <c r="D1536" s="264"/>
      <c r="E1536" s="133"/>
      <c r="F1536" s="141" t="s">
        <v>1933</v>
      </c>
      <c r="G1536" s="131"/>
      <c r="H1536" s="133"/>
      <c r="I1536" s="142" t="s">
        <v>1169</v>
      </c>
      <c r="J1536" s="133">
        <v>19</v>
      </c>
      <c r="K1536" s="129">
        <v>2</v>
      </c>
      <c r="L1536" s="129">
        <v>14</v>
      </c>
      <c r="M1536" s="129" t="s">
        <v>31</v>
      </c>
      <c r="N1536" s="129" t="s">
        <v>32</v>
      </c>
      <c r="O1536" s="146"/>
      <c r="P1536" s="146"/>
      <c r="Q1536" s="146"/>
      <c r="R1536" s="146"/>
      <c r="S1536" s="146"/>
      <c r="T1536" s="146"/>
      <c r="U1536" s="146"/>
      <c r="V1536" s="146"/>
      <c r="W1536" s="146"/>
      <c r="X1536" s="146"/>
      <c r="Y1536" s="146"/>
      <c r="Z1536" s="143"/>
    </row>
    <row r="1537" spans="1:26" x14ac:dyDescent="0.25">
      <c r="A1537" s="203">
        <f t="shared" si="31"/>
        <v>1536</v>
      </c>
      <c r="B1537" s="133"/>
      <c r="C1537" s="263"/>
      <c r="D1537" s="264"/>
      <c r="E1537" s="133"/>
      <c r="F1537" s="141" t="s">
        <v>1933</v>
      </c>
      <c r="G1537" s="131"/>
      <c r="H1537" s="133"/>
      <c r="I1537" s="142" t="s">
        <v>1169</v>
      </c>
      <c r="J1537" s="133">
        <v>19</v>
      </c>
      <c r="K1537" s="129">
        <v>2</v>
      </c>
      <c r="L1537" s="129">
        <v>15</v>
      </c>
      <c r="M1537" s="129" t="s">
        <v>31</v>
      </c>
      <c r="N1537" s="129" t="s">
        <v>32</v>
      </c>
      <c r="O1537" s="146"/>
      <c r="P1537" s="146"/>
      <c r="Q1537" s="146"/>
      <c r="R1537" s="146"/>
      <c r="S1537" s="146"/>
      <c r="T1537" s="146"/>
      <c r="U1537" s="146"/>
      <c r="V1537" s="146"/>
      <c r="W1537" s="146"/>
      <c r="X1537" s="146"/>
      <c r="Y1537" s="146"/>
      <c r="Z1537" s="143"/>
    </row>
    <row r="1538" spans="1:26" s="136" customFormat="1" x14ac:dyDescent="0.25">
      <c r="A1538" s="203">
        <f t="shared" si="31"/>
        <v>1537</v>
      </c>
      <c r="B1538" s="133"/>
      <c r="C1538" s="263"/>
      <c r="D1538" s="264"/>
      <c r="E1538" s="133"/>
      <c r="F1538" s="141" t="s">
        <v>1933</v>
      </c>
      <c r="G1538" s="131"/>
      <c r="H1538" s="133"/>
      <c r="I1538" s="142" t="s">
        <v>1169</v>
      </c>
      <c r="J1538" s="133">
        <v>19</v>
      </c>
      <c r="K1538" s="129">
        <v>3</v>
      </c>
      <c r="L1538" s="129">
        <v>12</v>
      </c>
      <c r="M1538" s="129" t="s">
        <v>31</v>
      </c>
      <c r="N1538" s="129" t="s">
        <v>32</v>
      </c>
      <c r="O1538" s="146"/>
      <c r="P1538" s="146"/>
      <c r="Q1538" s="146"/>
      <c r="R1538" s="146"/>
      <c r="S1538" s="146"/>
      <c r="T1538" s="146"/>
      <c r="U1538" s="146"/>
      <c r="V1538" s="146"/>
      <c r="W1538" s="146"/>
      <c r="X1538" s="146"/>
      <c r="Y1538" s="146"/>
      <c r="Z1538" s="143"/>
    </row>
    <row r="1539" spans="1:26" x14ac:dyDescent="0.25">
      <c r="A1539" s="203">
        <f t="shared" si="31"/>
        <v>1538</v>
      </c>
      <c r="B1539" s="133"/>
      <c r="C1539" s="263"/>
      <c r="D1539" s="264"/>
      <c r="E1539" s="133"/>
      <c r="F1539" s="141" t="s">
        <v>1933</v>
      </c>
      <c r="G1539" s="131"/>
      <c r="H1539" s="133"/>
      <c r="I1539" s="142" t="s">
        <v>1169</v>
      </c>
      <c r="J1539" s="133">
        <v>19</v>
      </c>
      <c r="K1539" s="129">
        <v>3</v>
      </c>
      <c r="L1539" s="129">
        <v>13</v>
      </c>
      <c r="M1539" s="129" t="s">
        <v>31</v>
      </c>
      <c r="N1539" s="129" t="s">
        <v>32</v>
      </c>
      <c r="O1539" s="146"/>
      <c r="P1539" s="146"/>
      <c r="Q1539" s="146"/>
      <c r="R1539" s="146"/>
      <c r="S1539" s="146"/>
      <c r="T1539" s="146"/>
      <c r="U1539" s="146"/>
      <c r="V1539" s="146"/>
      <c r="W1539" s="146"/>
      <c r="X1539" s="146"/>
      <c r="Y1539" s="146"/>
      <c r="Z1539" s="143"/>
    </row>
    <row r="1540" spans="1:26" x14ac:dyDescent="0.25">
      <c r="A1540" s="203">
        <f t="shared" si="31"/>
        <v>1539</v>
      </c>
      <c r="B1540" s="133"/>
      <c r="C1540" s="263"/>
      <c r="D1540" s="264"/>
      <c r="E1540" s="133"/>
      <c r="F1540" s="141" t="s">
        <v>1933</v>
      </c>
      <c r="G1540" s="131"/>
      <c r="H1540" s="133"/>
      <c r="I1540" s="142" t="s">
        <v>1169</v>
      </c>
      <c r="J1540" s="133">
        <v>19</v>
      </c>
      <c r="K1540" s="129">
        <v>3</v>
      </c>
      <c r="L1540" s="129">
        <v>14</v>
      </c>
      <c r="M1540" s="129" t="s">
        <v>31</v>
      </c>
      <c r="N1540" s="129" t="s">
        <v>32</v>
      </c>
      <c r="O1540" s="146"/>
      <c r="P1540" s="146"/>
      <c r="Q1540" s="146"/>
      <c r="R1540" s="146"/>
      <c r="S1540" s="146"/>
      <c r="T1540" s="146"/>
      <c r="U1540" s="146"/>
      <c r="V1540" s="146"/>
      <c r="W1540" s="146"/>
      <c r="X1540" s="146"/>
      <c r="Y1540" s="146"/>
      <c r="Z1540" s="143"/>
    </row>
    <row r="1541" spans="1:26" x14ac:dyDescent="0.25">
      <c r="A1541" s="203">
        <f t="shared" si="31"/>
        <v>1540</v>
      </c>
      <c r="B1541" s="133"/>
      <c r="C1541" s="263"/>
      <c r="D1541" s="264"/>
      <c r="E1541" s="133"/>
      <c r="F1541" s="141" t="s">
        <v>1933</v>
      </c>
      <c r="G1541" s="131"/>
      <c r="H1541" s="133"/>
      <c r="I1541" s="142" t="s">
        <v>1169</v>
      </c>
      <c r="J1541" s="133">
        <v>19</v>
      </c>
      <c r="K1541" s="129">
        <v>3</v>
      </c>
      <c r="L1541" s="129">
        <v>15</v>
      </c>
      <c r="M1541" s="129" t="s">
        <v>31</v>
      </c>
      <c r="N1541" s="129" t="s">
        <v>32</v>
      </c>
      <c r="O1541" s="146"/>
      <c r="P1541" s="146"/>
      <c r="Q1541" s="146"/>
      <c r="R1541" s="146"/>
      <c r="S1541" s="146"/>
      <c r="T1541" s="146"/>
      <c r="U1541" s="146"/>
      <c r="V1541" s="146"/>
      <c r="W1541" s="146"/>
      <c r="X1541" s="146"/>
      <c r="Y1541" s="146"/>
      <c r="Z1541" s="143"/>
    </row>
    <row r="1542" spans="1:26" x14ac:dyDescent="0.25">
      <c r="A1542" s="203">
        <f t="shared" si="31"/>
        <v>1541</v>
      </c>
      <c r="B1542" s="133"/>
      <c r="C1542" s="263"/>
      <c r="D1542" s="264"/>
      <c r="E1542" s="133"/>
      <c r="F1542" s="141" t="s">
        <v>1935</v>
      </c>
      <c r="G1542" s="142"/>
      <c r="H1542" s="133"/>
      <c r="I1542" s="142" t="s">
        <v>1169</v>
      </c>
      <c r="J1542" s="133">
        <v>19</v>
      </c>
      <c r="K1542" s="133">
        <v>4</v>
      </c>
      <c r="L1542" s="133">
        <v>0</v>
      </c>
      <c r="M1542" s="133" t="s">
        <v>1936</v>
      </c>
      <c r="N1542" s="129" t="s">
        <v>295</v>
      </c>
      <c r="O1542" s="139"/>
      <c r="P1542" s="127"/>
      <c r="Q1542" s="127"/>
      <c r="R1542" s="127"/>
      <c r="S1542" s="127"/>
      <c r="T1542" s="127"/>
      <c r="U1542" s="127"/>
      <c r="V1542" s="127"/>
      <c r="W1542" s="127"/>
      <c r="X1542" s="127"/>
      <c r="Y1542" s="127"/>
      <c r="Z1542" s="140"/>
    </row>
    <row r="1543" spans="1:26" x14ac:dyDescent="0.25">
      <c r="A1543" s="203">
        <f t="shared" si="31"/>
        <v>1542</v>
      </c>
      <c r="B1543" s="133"/>
      <c r="C1543" s="263"/>
      <c r="D1543" s="264"/>
      <c r="E1543" s="133"/>
      <c r="F1543" s="141" t="s">
        <v>1933</v>
      </c>
      <c r="G1543" s="131"/>
      <c r="H1543" s="133"/>
      <c r="I1543" s="142" t="s">
        <v>1169</v>
      </c>
      <c r="J1543" s="133">
        <v>19</v>
      </c>
      <c r="K1543" s="129">
        <v>5</v>
      </c>
      <c r="L1543" s="129">
        <v>14</v>
      </c>
      <c r="M1543" s="129" t="s">
        <v>82</v>
      </c>
      <c r="N1543" s="129" t="s">
        <v>83</v>
      </c>
      <c r="O1543" s="146"/>
      <c r="P1543" s="146"/>
      <c r="Q1543" s="146"/>
      <c r="R1543" s="146"/>
      <c r="S1543" s="146"/>
      <c r="T1543" s="146"/>
      <c r="U1543" s="146"/>
      <c r="V1543" s="146"/>
      <c r="W1543" s="146"/>
      <c r="X1543" s="146"/>
      <c r="Y1543" s="146"/>
      <c r="Z1543" s="143"/>
    </row>
    <row r="1544" spans="1:26" x14ac:dyDescent="0.25">
      <c r="A1544" s="203">
        <f t="shared" si="31"/>
        <v>1543</v>
      </c>
      <c r="B1544" s="133"/>
      <c r="C1544" s="263"/>
      <c r="D1544" s="264"/>
      <c r="E1544" s="133"/>
      <c r="F1544" s="141" t="s">
        <v>1933</v>
      </c>
      <c r="G1544" s="131"/>
      <c r="H1544" s="133"/>
      <c r="I1544" s="142" t="s">
        <v>1169</v>
      </c>
      <c r="J1544" s="133">
        <v>19</v>
      </c>
      <c r="K1544" s="129">
        <v>5</v>
      </c>
      <c r="L1544" s="129">
        <v>15</v>
      </c>
      <c r="M1544" s="129" t="s">
        <v>82</v>
      </c>
      <c r="N1544" s="129" t="s">
        <v>83</v>
      </c>
      <c r="O1544" s="146"/>
      <c r="P1544" s="146"/>
      <c r="Q1544" s="146"/>
      <c r="R1544" s="146"/>
      <c r="S1544" s="146"/>
      <c r="T1544" s="146"/>
      <c r="U1544" s="146"/>
      <c r="V1544" s="146"/>
      <c r="W1544" s="146"/>
      <c r="X1544" s="146"/>
      <c r="Y1544" s="146"/>
      <c r="Z1544" s="143"/>
    </row>
    <row r="1545" spans="1:26" x14ac:dyDescent="0.25">
      <c r="A1545" s="203">
        <f t="shared" si="31"/>
        <v>1544</v>
      </c>
      <c r="B1545" s="133"/>
      <c r="C1545" s="263"/>
      <c r="D1545" s="264"/>
      <c r="E1545" s="133"/>
      <c r="F1545" s="141" t="s">
        <v>1933</v>
      </c>
      <c r="G1545" s="131"/>
      <c r="H1545" s="133"/>
      <c r="I1545" s="142" t="s">
        <v>1169</v>
      </c>
      <c r="J1545" s="133">
        <v>19</v>
      </c>
      <c r="K1545" s="129">
        <v>6</v>
      </c>
      <c r="L1545" s="129">
        <v>8</v>
      </c>
      <c r="M1545" s="129" t="s">
        <v>82</v>
      </c>
      <c r="N1545" s="129" t="s">
        <v>83</v>
      </c>
      <c r="O1545" s="146"/>
      <c r="P1545" s="146"/>
      <c r="Q1545" s="146"/>
      <c r="R1545" s="146"/>
      <c r="S1545" s="146"/>
      <c r="T1545" s="146"/>
      <c r="U1545" s="146"/>
      <c r="V1545" s="146"/>
      <c r="W1545" s="146"/>
      <c r="X1545" s="146"/>
      <c r="Y1545" s="146"/>
      <c r="Z1545" s="143"/>
    </row>
    <row r="1546" spans="1:26" s="136" customFormat="1" x14ac:dyDescent="0.25">
      <c r="A1546" s="203">
        <f t="shared" si="31"/>
        <v>1545</v>
      </c>
      <c r="B1546" s="133"/>
      <c r="C1546" s="263"/>
      <c r="D1546" s="264"/>
      <c r="E1546" s="133"/>
      <c r="F1546" s="141" t="s">
        <v>1933</v>
      </c>
      <c r="G1546" s="131"/>
      <c r="H1546" s="133"/>
      <c r="I1546" s="142" t="s">
        <v>1169</v>
      </c>
      <c r="J1546" s="133">
        <v>19</v>
      </c>
      <c r="K1546" s="129">
        <v>6</v>
      </c>
      <c r="L1546" s="129">
        <v>9</v>
      </c>
      <c r="M1546" s="129" t="s">
        <v>82</v>
      </c>
      <c r="N1546" s="129" t="s">
        <v>83</v>
      </c>
      <c r="O1546" s="146"/>
      <c r="P1546" s="146"/>
      <c r="Q1546" s="146"/>
      <c r="R1546" s="146"/>
      <c r="S1546" s="146"/>
      <c r="T1546" s="146"/>
      <c r="U1546" s="146"/>
      <c r="V1546" s="146"/>
      <c r="W1546" s="146"/>
      <c r="X1546" s="146"/>
      <c r="Y1546" s="146"/>
      <c r="Z1546" s="143"/>
    </row>
    <row r="1547" spans="1:26" x14ac:dyDescent="0.25">
      <c r="A1547" s="203">
        <f t="shared" si="31"/>
        <v>1546</v>
      </c>
      <c r="B1547" s="133"/>
      <c r="C1547" s="263"/>
      <c r="D1547" s="264"/>
      <c r="E1547" s="133"/>
      <c r="F1547" s="141" t="s">
        <v>1933</v>
      </c>
      <c r="G1547" s="131"/>
      <c r="H1547" s="133"/>
      <c r="I1547" s="142" t="s">
        <v>1169</v>
      </c>
      <c r="J1547" s="133">
        <v>19</v>
      </c>
      <c r="K1547" s="129">
        <v>6</v>
      </c>
      <c r="L1547" s="129">
        <v>10</v>
      </c>
      <c r="M1547" s="129" t="s">
        <v>82</v>
      </c>
      <c r="N1547" s="129" t="s">
        <v>83</v>
      </c>
      <c r="O1547" s="146"/>
      <c r="P1547" s="146"/>
      <c r="Q1547" s="146"/>
      <c r="R1547" s="146"/>
      <c r="S1547" s="146"/>
      <c r="T1547" s="146"/>
      <c r="U1547" s="146"/>
      <c r="V1547" s="146"/>
      <c r="W1547" s="146"/>
      <c r="X1547" s="146"/>
      <c r="Y1547" s="146"/>
      <c r="Z1547" s="143"/>
    </row>
    <row r="1548" spans="1:26" x14ac:dyDescent="0.25">
      <c r="A1548" s="203">
        <f t="shared" si="31"/>
        <v>1547</v>
      </c>
      <c r="B1548" s="133"/>
      <c r="C1548" s="263"/>
      <c r="D1548" s="264"/>
      <c r="E1548" s="133"/>
      <c r="F1548" s="141" t="s">
        <v>1933</v>
      </c>
      <c r="G1548" s="131"/>
      <c r="H1548" s="133"/>
      <c r="I1548" s="142" t="s">
        <v>1169</v>
      </c>
      <c r="J1548" s="133">
        <v>19</v>
      </c>
      <c r="K1548" s="129">
        <v>6</v>
      </c>
      <c r="L1548" s="129">
        <v>11</v>
      </c>
      <c r="M1548" s="129" t="s">
        <v>82</v>
      </c>
      <c r="N1548" s="129" t="s">
        <v>83</v>
      </c>
      <c r="O1548" s="146"/>
      <c r="P1548" s="146"/>
      <c r="Q1548" s="146"/>
      <c r="R1548" s="146"/>
      <c r="S1548" s="146"/>
      <c r="T1548" s="146"/>
      <c r="U1548" s="146"/>
      <c r="V1548" s="146"/>
      <c r="W1548" s="146"/>
      <c r="X1548" s="146"/>
      <c r="Y1548" s="146"/>
      <c r="Z1548" s="143"/>
    </row>
    <row r="1549" spans="1:26" x14ac:dyDescent="0.25">
      <c r="A1549" s="203">
        <f t="shared" si="31"/>
        <v>1548</v>
      </c>
      <c r="B1549" s="133"/>
      <c r="C1549" s="263"/>
      <c r="D1549" s="264"/>
      <c r="E1549" s="133"/>
      <c r="F1549" s="141" t="s">
        <v>1933</v>
      </c>
      <c r="G1549" s="131"/>
      <c r="H1549" s="133"/>
      <c r="I1549" s="142" t="s">
        <v>1169</v>
      </c>
      <c r="J1549" s="133">
        <v>19</v>
      </c>
      <c r="K1549" s="129">
        <v>6</v>
      </c>
      <c r="L1549" s="129">
        <v>12</v>
      </c>
      <c r="M1549" s="129" t="s">
        <v>82</v>
      </c>
      <c r="N1549" s="129" t="s">
        <v>83</v>
      </c>
      <c r="O1549" s="146"/>
      <c r="P1549" s="146"/>
      <c r="Q1549" s="146"/>
      <c r="R1549" s="146"/>
      <c r="S1549" s="146"/>
      <c r="T1549" s="146"/>
      <c r="U1549" s="146"/>
      <c r="V1549" s="146"/>
      <c r="W1549" s="146"/>
      <c r="X1549" s="146"/>
      <c r="Y1549" s="146"/>
      <c r="Z1549" s="143"/>
    </row>
    <row r="1550" spans="1:26" x14ac:dyDescent="0.25">
      <c r="A1550" s="203">
        <f t="shared" si="31"/>
        <v>1549</v>
      </c>
      <c r="B1550" s="133"/>
      <c r="C1550" s="263"/>
      <c r="D1550" s="264"/>
      <c r="E1550" s="133"/>
      <c r="F1550" s="141" t="s">
        <v>1933</v>
      </c>
      <c r="G1550" s="131"/>
      <c r="H1550" s="133"/>
      <c r="I1550" s="142" t="s">
        <v>1169</v>
      </c>
      <c r="J1550" s="133">
        <v>19</v>
      </c>
      <c r="K1550" s="129">
        <v>6</v>
      </c>
      <c r="L1550" s="129">
        <v>13</v>
      </c>
      <c r="M1550" s="129" t="s">
        <v>82</v>
      </c>
      <c r="N1550" s="129" t="s">
        <v>83</v>
      </c>
      <c r="O1550" s="146"/>
      <c r="P1550" s="146"/>
      <c r="Q1550" s="146"/>
      <c r="R1550" s="146"/>
      <c r="S1550" s="146"/>
      <c r="T1550" s="146"/>
      <c r="U1550" s="146"/>
      <c r="V1550" s="146"/>
      <c r="W1550" s="146"/>
      <c r="X1550" s="146"/>
      <c r="Y1550" s="146"/>
      <c r="Z1550" s="143"/>
    </row>
    <row r="1551" spans="1:26" x14ac:dyDescent="0.25">
      <c r="A1551" s="203">
        <f t="shared" si="31"/>
        <v>1550</v>
      </c>
      <c r="B1551" s="133"/>
      <c r="C1551" s="263"/>
      <c r="D1551" s="264"/>
      <c r="E1551" s="133"/>
      <c r="F1551" s="141" t="s">
        <v>1933</v>
      </c>
      <c r="G1551" s="131"/>
      <c r="H1551" s="133"/>
      <c r="I1551" s="142" t="s">
        <v>1169</v>
      </c>
      <c r="J1551" s="133">
        <v>19</v>
      </c>
      <c r="K1551" s="129">
        <v>6</v>
      </c>
      <c r="L1551" s="129">
        <v>14</v>
      </c>
      <c r="M1551" s="129" t="s">
        <v>82</v>
      </c>
      <c r="N1551" s="129" t="s">
        <v>83</v>
      </c>
      <c r="O1551" s="146"/>
      <c r="P1551" s="146"/>
      <c r="Q1551" s="146"/>
      <c r="R1551" s="146"/>
      <c r="S1551" s="146"/>
      <c r="T1551" s="146"/>
      <c r="U1551" s="146"/>
      <c r="V1551" s="146"/>
      <c r="W1551" s="146"/>
      <c r="X1551" s="146"/>
      <c r="Y1551" s="146"/>
      <c r="Z1551" s="143"/>
    </row>
    <row r="1552" spans="1:26" x14ac:dyDescent="0.25">
      <c r="A1552" s="203">
        <f t="shared" si="31"/>
        <v>1551</v>
      </c>
      <c r="B1552" s="133"/>
      <c r="C1552" s="263"/>
      <c r="D1552" s="264"/>
      <c r="E1552" s="133"/>
      <c r="F1552" s="141" t="s">
        <v>1933</v>
      </c>
      <c r="G1552" s="131"/>
      <c r="H1552" s="133"/>
      <c r="I1552" s="142" t="s">
        <v>1169</v>
      </c>
      <c r="J1552" s="133">
        <v>19</v>
      </c>
      <c r="K1552" s="129">
        <v>6</v>
      </c>
      <c r="L1552" s="129">
        <v>15</v>
      </c>
      <c r="M1552" s="129" t="s">
        <v>82</v>
      </c>
      <c r="N1552" s="129" t="s">
        <v>83</v>
      </c>
      <c r="O1552" s="146"/>
      <c r="P1552" s="146"/>
      <c r="Q1552" s="146"/>
      <c r="R1552" s="146"/>
      <c r="S1552" s="146"/>
      <c r="T1552" s="146"/>
      <c r="U1552" s="146"/>
      <c r="V1552" s="146"/>
      <c r="W1552" s="146"/>
      <c r="X1552" s="146"/>
      <c r="Y1552" s="146"/>
      <c r="Z1552" s="143"/>
    </row>
    <row r="1553" spans="1:26" x14ac:dyDescent="0.25">
      <c r="A1553" s="203">
        <f t="shared" si="31"/>
        <v>1552</v>
      </c>
      <c r="B1553" s="128" t="s">
        <v>1620</v>
      </c>
      <c r="C1553" s="263"/>
      <c r="D1553" s="262"/>
      <c r="E1553" s="128"/>
      <c r="F1553" s="141" t="s">
        <v>1933</v>
      </c>
      <c r="G1553" s="131"/>
      <c r="H1553" s="133"/>
      <c r="I1553" s="142" t="s">
        <v>1169</v>
      </c>
      <c r="J1553" s="133">
        <v>19</v>
      </c>
      <c r="K1553" s="129">
        <v>7</v>
      </c>
      <c r="L1553" s="129">
        <v>4</v>
      </c>
      <c r="M1553" s="129" t="s">
        <v>82</v>
      </c>
      <c r="N1553" s="129" t="s">
        <v>83</v>
      </c>
      <c r="O1553" s="139"/>
      <c r="P1553" s="127"/>
      <c r="Q1553" s="127"/>
      <c r="R1553" s="127"/>
      <c r="S1553" s="127"/>
      <c r="T1553" s="127"/>
      <c r="U1553" s="127"/>
      <c r="V1553" s="127"/>
      <c r="W1553" s="127"/>
      <c r="X1553" s="127"/>
      <c r="Y1553" s="127"/>
      <c r="Z1553" s="140"/>
    </row>
    <row r="1554" spans="1:26" x14ac:dyDescent="0.25">
      <c r="A1554" s="203">
        <f t="shared" si="31"/>
        <v>1553</v>
      </c>
      <c r="B1554" s="128" t="s">
        <v>1623</v>
      </c>
      <c r="C1554" s="263"/>
      <c r="D1554" s="262"/>
      <c r="E1554" s="128"/>
      <c r="F1554" s="141" t="s">
        <v>1933</v>
      </c>
      <c r="G1554" s="131"/>
      <c r="H1554" s="133"/>
      <c r="I1554" s="142" t="s">
        <v>1169</v>
      </c>
      <c r="J1554" s="133">
        <v>19</v>
      </c>
      <c r="K1554" s="129">
        <v>7</v>
      </c>
      <c r="L1554" s="129">
        <v>5</v>
      </c>
      <c r="M1554" s="129" t="s">
        <v>82</v>
      </c>
      <c r="N1554" s="129" t="s">
        <v>83</v>
      </c>
      <c r="O1554" s="139"/>
      <c r="P1554" s="127"/>
      <c r="Q1554" s="127"/>
      <c r="R1554" s="127"/>
      <c r="S1554" s="127"/>
      <c r="T1554" s="127"/>
      <c r="U1554" s="127"/>
      <c r="V1554" s="127"/>
      <c r="W1554" s="127"/>
      <c r="X1554" s="127"/>
      <c r="Y1554" s="127"/>
      <c r="Z1554" s="140"/>
    </row>
    <row r="1555" spans="1:26" x14ac:dyDescent="0.25">
      <c r="A1555" s="203">
        <f t="shared" si="31"/>
        <v>1554</v>
      </c>
      <c r="B1555" s="133"/>
      <c r="C1555" s="263"/>
      <c r="D1555" s="264"/>
      <c r="E1555" s="133"/>
      <c r="F1555" s="141" t="s">
        <v>1933</v>
      </c>
      <c r="G1555" s="131"/>
      <c r="H1555" s="133"/>
      <c r="I1555" s="142" t="s">
        <v>1169</v>
      </c>
      <c r="J1555" s="133">
        <v>19</v>
      </c>
      <c r="K1555" s="129">
        <v>7</v>
      </c>
      <c r="L1555" s="129">
        <v>6</v>
      </c>
      <c r="M1555" s="129" t="s">
        <v>82</v>
      </c>
      <c r="N1555" s="129" t="s">
        <v>83</v>
      </c>
      <c r="O1555" s="146"/>
      <c r="P1555" s="146"/>
      <c r="Q1555" s="146"/>
      <c r="R1555" s="146"/>
      <c r="S1555" s="146"/>
      <c r="T1555" s="146"/>
      <c r="U1555" s="146"/>
      <c r="V1555" s="146"/>
      <c r="W1555" s="146"/>
      <c r="X1555" s="146"/>
      <c r="Y1555" s="146"/>
      <c r="Z1555" s="143"/>
    </row>
    <row r="1556" spans="1:26" x14ac:dyDescent="0.25">
      <c r="A1556" s="203">
        <f t="shared" si="31"/>
        <v>1555</v>
      </c>
      <c r="B1556" s="133"/>
      <c r="C1556" s="263"/>
      <c r="D1556" s="264"/>
      <c r="E1556" s="133"/>
      <c r="F1556" s="141" t="s">
        <v>1933</v>
      </c>
      <c r="G1556" s="131"/>
      <c r="H1556" s="133"/>
      <c r="I1556" s="142" t="s">
        <v>1169</v>
      </c>
      <c r="J1556" s="133">
        <v>19</v>
      </c>
      <c r="K1556" s="129">
        <v>7</v>
      </c>
      <c r="L1556" s="129">
        <v>7</v>
      </c>
      <c r="M1556" s="129" t="s">
        <v>82</v>
      </c>
      <c r="N1556" s="129" t="s">
        <v>83</v>
      </c>
      <c r="O1556" s="146"/>
      <c r="P1556" s="146"/>
      <c r="Q1556" s="146"/>
      <c r="R1556" s="146"/>
      <c r="S1556" s="146"/>
      <c r="T1556" s="146"/>
      <c r="U1556" s="146"/>
      <c r="V1556" s="146"/>
      <c r="W1556" s="146"/>
      <c r="X1556" s="146"/>
      <c r="Y1556" s="146"/>
      <c r="Z1556" s="143"/>
    </row>
    <row r="1557" spans="1:26" x14ac:dyDescent="0.25">
      <c r="A1557" s="203">
        <f t="shared" si="31"/>
        <v>1556</v>
      </c>
      <c r="B1557" s="133"/>
      <c r="C1557" s="263"/>
      <c r="D1557" s="264"/>
      <c r="E1557" s="133"/>
      <c r="F1557" s="141" t="s">
        <v>1933</v>
      </c>
      <c r="G1557" s="131"/>
      <c r="H1557" s="133"/>
      <c r="I1557" s="142" t="s">
        <v>1169</v>
      </c>
      <c r="J1557" s="133">
        <v>19</v>
      </c>
      <c r="K1557" s="129">
        <v>7</v>
      </c>
      <c r="L1557" s="129">
        <v>8</v>
      </c>
      <c r="M1557" s="129" t="s">
        <v>82</v>
      </c>
      <c r="N1557" s="129" t="s">
        <v>83</v>
      </c>
      <c r="O1557" s="146"/>
      <c r="P1557" s="146"/>
      <c r="Q1557" s="260"/>
      <c r="R1557" s="260"/>
      <c r="S1557" s="260"/>
      <c r="T1557" s="260"/>
      <c r="U1557" s="260"/>
      <c r="V1557" s="260"/>
      <c r="W1557" s="260"/>
      <c r="X1557" s="260"/>
      <c r="Y1557" s="260"/>
      <c r="Z1557" s="261"/>
    </row>
    <row r="1558" spans="1:26" x14ac:dyDescent="0.25">
      <c r="A1558" s="203">
        <f t="shared" si="31"/>
        <v>1557</v>
      </c>
      <c r="B1558" s="133"/>
      <c r="C1558" s="263"/>
      <c r="D1558" s="264"/>
      <c r="E1558" s="133"/>
      <c r="F1558" s="141" t="s">
        <v>1933</v>
      </c>
      <c r="G1558" s="131"/>
      <c r="H1558" s="133"/>
      <c r="I1558" s="142" t="s">
        <v>1169</v>
      </c>
      <c r="J1558" s="133">
        <v>19</v>
      </c>
      <c r="K1558" s="129">
        <v>7</v>
      </c>
      <c r="L1558" s="129">
        <v>9</v>
      </c>
      <c r="M1558" s="129" t="s">
        <v>82</v>
      </c>
      <c r="N1558" s="129" t="s">
        <v>83</v>
      </c>
      <c r="O1558" s="146"/>
      <c r="P1558" s="146"/>
      <c r="Q1558" s="146"/>
      <c r="R1558" s="146"/>
      <c r="S1558" s="146"/>
      <c r="T1558" s="146"/>
      <c r="U1558" s="146"/>
      <c r="V1558" s="146"/>
      <c r="W1558" s="146"/>
      <c r="X1558" s="146"/>
      <c r="Y1558" s="146"/>
      <c r="Z1558" s="143"/>
    </row>
    <row r="1559" spans="1:26" x14ac:dyDescent="0.25">
      <c r="A1559" s="203">
        <f t="shared" si="31"/>
        <v>1558</v>
      </c>
      <c r="B1559" s="133"/>
      <c r="C1559" s="263"/>
      <c r="D1559" s="264"/>
      <c r="E1559" s="133"/>
      <c r="F1559" s="141" t="s">
        <v>1933</v>
      </c>
      <c r="G1559" s="131"/>
      <c r="H1559" s="133"/>
      <c r="I1559" s="142" t="s">
        <v>1169</v>
      </c>
      <c r="J1559" s="133">
        <v>19</v>
      </c>
      <c r="K1559" s="129">
        <v>7</v>
      </c>
      <c r="L1559" s="129">
        <v>10</v>
      </c>
      <c r="M1559" s="129" t="s">
        <v>82</v>
      </c>
      <c r="N1559" s="129" t="s">
        <v>83</v>
      </c>
      <c r="O1559" s="146"/>
      <c r="P1559" s="146"/>
      <c r="Q1559" s="146"/>
      <c r="R1559" s="146"/>
      <c r="S1559" s="146"/>
      <c r="T1559" s="146"/>
      <c r="U1559" s="146"/>
      <c r="V1559" s="146"/>
      <c r="W1559" s="146"/>
      <c r="X1559" s="146"/>
      <c r="Y1559" s="146"/>
      <c r="Z1559" s="143"/>
    </row>
    <row r="1560" spans="1:26" x14ac:dyDescent="0.25">
      <c r="A1560" s="203">
        <f t="shared" si="31"/>
        <v>1559</v>
      </c>
      <c r="B1560" s="133"/>
      <c r="C1560" s="263"/>
      <c r="D1560" s="264"/>
      <c r="E1560" s="133"/>
      <c r="F1560" s="141" t="s">
        <v>1933</v>
      </c>
      <c r="G1560" s="131"/>
      <c r="H1560" s="133"/>
      <c r="I1560" s="142" t="s">
        <v>1169</v>
      </c>
      <c r="J1560" s="133">
        <v>19</v>
      </c>
      <c r="K1560" s="129">
        <v>7</v>
      </c>
      <c r="L1560" s="129">
        <v>11</v>
      </c>
      <c r="M1560" s="129" t="s">
        <v>82</v>
      </c>
      <c r="N1560" s="129" t="s">
        <v>83</v>
      </c>
      <c r="O1560" s="146"/>
      <c r="P1560" s="146"/>
      <c r="Q1560" s="146"/>
      <c r="R1560" s="146"/>
      <c r="S1560" s="146"/>
      <c r="T1560" s="146"/>
      <c r="U1560" s="146"/>
      <c r="V1560" s="146"/>
      <c r="W1560" s="146"/>
      <c r="X1560" s="146"/>
      <c r="Y1560" s="146"/>
      <c r="Z1560" s="143"/>
    </row>
    <row r="1561" spans="1:26" x14ac:dyDescent="0.25">
      <c r="A1561" s="203">
        <f t="shared" si="31"/>
        <v>1560</v>
      </c>
      <c r="B1561" s="133"/>
      <c r="C1561" s="263"/>
      <c r="D1561" s="264"/>
      <c r="E1561" s="133"/>
      <c r="F1561" s="141" t="s">
        <v>1933</v>
      </c>
      <c r="G1561" s="131"/>
      <c r="H1561" s="133"/>
      <c r="I1561" s="142" t="s">
        <v>1169</v>
      </c>
      <c r="J1561" s="133">
        <v>19</v>
      </c>
      <c r="K1561" s="129">
        <v>7</v>
      </c>
      <c r="L1561" s="129">
        <v>12</v>
      </c>
      <c r="M1561" s="129" t="s">
        <v>82</v>
      </c>
      <c r="N1561" s="129" t="s">
        <v>83</v>
      </c>
      <c r="O1561" s="146"/>
      <c r="P1561" s="146"/>
      <c r="Q1561" s="146"/>
      <c r="R1561" s="146"/>
      <c r="S1561" s="146"/>
      <c r="T1561" s="146"/>
      <c r="U1561" s="146"/>
      <c r="V1561" s="146"/>
      <c r="W1561" s="146"/>
      <c r="X1561" s="146"/>
      <c r="Y1561" s="146"/>
      <c r="Z1561" s="143"/>
    </row>
    <row r="1562" spans="1:26" x14ac:dyDescent="0.25">
      <c r="A1562" s="203">
        <f t="shared" si="31"/>
        <v>1561</v>
      </c>
      <c r="B1562" s="133"/>
      <c r="C1562" s="263"/>
      <c r="D1562" s="264"/>
      <c r="E1562" s="133"/>
      <c r="F1562" s="141" t="s">
        <v>1933</v>
      </c>
      <c r="G1562" s="131"/>
      <c r="H1562" s="133"/>
      <c r="I1562" s="142" t="s">
        <v>1169</v>
      </c>
      <c r="J1562" s="133">
        <v>19</v>
      </c>
      <c r="K1562" s="129">
        <v>7</v>
      </c>
      <c r="L1562" s="129">
        <v>13</v>
      </c>
      <c r="M1562" s="129" t="s">
        <v>82</v>
      </c>
      <c r="N1562" s="129" t="s">
        <v>83</v>
      </c>
      <c r="O1562" s="146"/>
      <c r="P1562" s="146"/>
      <c r="Q1562" s="146"/>
      <c r="R1562" s="146"/>
      <c r="S1562" s="146"/>
      <c r="T1562" s="146"/>
      <c r="U1562" s="146"/>
      <c r="V1562" s="146"/>
      <c r="W1562" s="146"/>
      <c r="X1562" s="146"/>
      <c r="Y1562" s="146"/>
      <c r="Z1562" s="143"/>
    </row>
    <row r="1563" spans="1:26" x14ac:dyDescent="0.25">
      <c r="A1563" s="203">
        <f t="shared" si="31"/>
        <v>1562</v>
      </c>
      <c r="B1563" s="133"/>
      <c r="C1563" s="263"/>
      <c r="D1563" s="264"/>
      <c r="E1563" s="133"/>
      <c r="F1563" s="141" t="s">
        <v>1933</v>
      </c>
      <c r="G1563" s="131"/>
      <c r="H1563" s="133"/>
      <c r="I1563" s="142" t="s">
        <v>1169</v>
      </c>
      <c r="J1563" s="133">
        <v>19</v>
      </c>
      <c r="K1563" s="129">
        <v>7</v>
      </c>
      <c r="L1563" s="129">
        <v>14</v>
      </c>
      <c r="M1563" s="129" t="s">
        <v>82</v>
      </c>
      <c r="N1563" s="129" t="s">
        <v>83</v>
      </c>
      <c r="O1563" s="146"/>
      <c r="P1563" s="146"/>
      <c r="Q1563" s="146"/>
      <c r="R1563" s="146"/>
      <c r="S1563" s="146"/>
      <c r="T1563" s="146"/>
      <c r="U1563" s="146"/>
      <c r="V1563" s="146"/>
      <c r="W1563" s="146"/>
      <c r="X1563" s="146"/>
      <c r="Y1563" s="146"/>
      <c r="Z1563" s="143"/>
    </row>
    <row r="1564" spans="1:26" x14ac:dyDescent="0.25">
      <c r="A1564" s="203">
        <f t="shared" si="31"/>
        <v>1563</v>
      </c>
      <c r="B1564" s="133"/>
      <c r="C1564" s="263"/>
      <c r="D1564" s="264"/>
      <c r="E1564" s="133"/>
      <c r="F1564" s="141" t="s">
        <v>1933</v>
      </c>
      <c r="G1564" s="131"/>
      <c r="H1564" s="133"/>
      <c r="I1564" s="142" t="s">
        <v>1169</v>
      </c>
      <c r="J1564" s="133">
        <v>19</v>
      </c>
      <c r="K1564" s="129">
        <v>7</v>
      </c>
      <c r="L1564" s="129">
        <v>15</v>
      </c>
      <c r="M1564" s="129" t="s">
        <v>82</v>
      </c>
      <c r="N1564" s="129" t="s">
        <v>83</v>
      </c>
      <c r="O1564" s="146"/>
      <c r="P1564" s="146"/>
      <c r="Q1564" s="146"/>
      <c r="R1564" s="146"/>
      <c r="S1564" s="146"/>
      <c r="T1564" s="146"/>
      <c r="U1564" s="146"/>
      <c r="V1564" s="146"/>
      <c r="W1564" s="146"/>
      <c r="X1564" s="146"/>
      <c r="Y1564" s="146"/>
      <c r="Z1564" s="143"/>
    </row>
    <row r="1565" spans="1:26" x14ac:dyDescent="0.25">
      <c r="A1565" s="203">
        <f t="shared" ref="A1565:A1621" si="32">ROW()-1</f>
        <v>1564</v>
      </c>
      <c r="B1565" s="128"/>
      <c r="C1565" s="263"/>
      <c r="D1565" s="262"/>
      <c r="E1565" s="128"/>
      <c r="F1565" s="138" t="s">
        <v>1935</v>
      </c>
      <c r="G1565" s="131"/>
      <c r="H1565" s="128"/>
      <c r="I1565" s="142" t="s">
        <v>1169</v>
      </c>
      <c r="J1565" s="133">
        <v>19</v>
      </c>
      <c r="K1565" s="129">
        <v>8</v>
      </c>
      <c r="L1565" s="129">
        <v>0</v>
      </c>
      <c r="M1565" s="129" t="s">
        <v>1936</v>
      </c>
      <c r="N1565" s="129" t="s">
        <v>295</v>
      </c>
      <c r="O1565" s="139"/>
      <c r="P1565" s="127"/>
      <c r="Q1565" s="127"/>
      <c r="R1565" s="127"/>
      <c r="S1565" s="127"/>
      <c r="T1565" s="127"/>
      <c r="U1565" s="127"/>
      <c r="V1565" s="127"/>
      <c r="W1565" s="127"/>
      <c r="X1565" s="127"/>
      <c r="Y1565" s="127"/>
      <c r="Z1565" s="140"/>
    </row>
    <row r="1566" spans="1:26" x14ac:dyDescent="0.25">
      <c r="A1566" s="203">
        <f t="shared" si="32"/>
        <v>1565</v>
      </c>
      <c r="B1566" s="133"/>
      <c r="C1566" s="263"/>
      <c r="D1566" s="264"/>
      <c r="E1566" s="133"/>
      <c r="F1566" s="141" t="s">
        <v>1933</v>
      </c>
      <c r="G1566" s="131"/>
      <c r="H1566" s="133"/>
      <c r="I1566" s="142" t="s">
        <v>1169</v>
      </c>
      <c r="J1566" s="133">
        <v>19</v>
      </c>
      <c r="K1566" s="129">
        <v>9</v>
      </c>
      <c r="L1566" s="129">
        <v>7</v>
      </c>
      <c r="M1566" s="129" t="s">
        <v>658</v>
      </c>
      <c r="N1566" s="129" t="s">
        <v>659</v>
      </c>
      <c r="O1566" s="160"/>
      <c r="P1566" s="146"/>
      <c r="Q1566" s="146"/>
      <c r="R1566" s="146"/>
      <c r="S1566" s="146"/>
      <c r="T1566" s="146"/>
      <c r="U1566" s="146"/>
      <c r="V1566" s="146"/>
      <c r="W1566" s="146"/>
      <c r="X1566" s="146"/>
      <c r="Y1566" s="146"/>
      <c r="Z1566" s="143"/>
    </row>
    <row r="1567" spans="1:26" x14ac:dyDescent="0.25">
      <c r="A1567" s="203">
        <f t="shared" si="32"/>
        <v>1566</v>
      </c>
      <c r="B1567" s="133"/>
      <c r="C1567" s="263"/>
      <c r="D1567" s="264"/>
      <c r="E1567" s="133"/>
      <c r="F1567" s="141" t="s">
        <v>1933</v>
      </c>
      <c r="G1567" s="131"/>
      <c r="H1567" s="133"/>
      <c r="I1567" s="142" t="s">
        <v>1169</v>
      </c>
      <c r="J1567" s="133">
        <v>19</v>
      </c>
      <c r="K1567" s="129">
        <v>10</v>
      </c>
      <c r="L1567" s="129">
        <v>3</v>
      </c>
      <c r="M1567" s="129" t="s">
        <v>658</v>
      </c>
      <c r="N1567" s="129" t="s">
        <v>659</v>
      </c>
      <c r="O1567" s="160"/>
      <c r="P1567" s="146"/>
      <c r="Q1567" s="146"/>
      <c r="R1567" s="146"/>
      <c r="S1567" s="146"/>
      <c r="T1567" s="146"/>
      <c r="U1567" s="146"/>
      <c r="V1567" s="146"/>
      <c r="W1567" s="146"/>
      <c r="X1567" s="146"/>
      <c r="Y1567" s="146"/>
      <c r="Z1567" s="143"/>
    </row>
    <row r="1568" spans="1:26" x14ac:dyDescent="0.25">
      <c r="A1568" s="203">
        <f t="shared" si="32"/>
        <v>1567</v>
      </c>
      <c r="B1568" s="133"/>
      <c r="C1568" s="263"/>
      <c r="D1568" s="264"/>
      <c r="E1568" s="133"/>
      <c r="F1568" s="141" t="s">
        <v>1933</v>
      </c>
      <c r="G1568" s="131"/>
      <c r="H1568" s="133"/>
      <c r="I1568" s="142" t="s">
        <v>1169</v>
      </c>
      <c r="J1568" s="133">
        <v>19</v>
      </c>
      <c r="K1568" s="129">
        <v>10</v>
      </c>
      <c r="L1568" s="129">
        <v>4</v>
      </c>
      <c r="M1568" s="129" t="s">
        <v>658</v>
      </c>
      <c r="N1568" s="129" t="s">
        <v>659</v>
      </c>
      <c r="O1568" s="160"/>
      <c r="P1568" s="146"/>
      <c r="Q1568" s="146"/>
      <c r="R1568" s="146"/>
      <c r="S1568" s="146"/>
      <c r="T1568" s="146"/>
      <c r="U1568" s="146"/>
      <c r="V1568" s="146"/>
      <c r="W1568" s="146"/>
      <c r="X1568" s="146"/>
      <c r="Y1568" s="146"/>
      <c r="Z1568" s="143"/>
    </row>
    <row r="1569" spans="1:26" x14ac:dyDescent="0.25">
      <c r="A1569" s="203">
        <f t="shared" si="32"/>
        <v>1568</v>
      </c>
      <c r="B1569" s="133"/>
      <c r="C1569" s="263"/>
      <c r="D1569" s="264"/>
      <c r="E1569" s="133"/>
      <c r="F1569" s="141" t="s">
        <v>1933</v>
      </c>
      <c r="G1569" s="131"/>
      <c r="H1569" s="133"/>
      <c r="I1569" s="142" t="s">
        <v>1169</v>
      </c>
      <c r="J1569" s="133">
        <v>19</v>
      </c>
      <c r="K1569" s="129">
        <v>10</v>
      </c>
      <c r="L1569" s="129">
        <v>5</v>
      </c>
      <c r="M1569" s="129" t="s">
        <v>658</v>
      </c>
      <c r="N1569" s="129" t="s">
        <v>659</v>
      </c>
      <c r="O1569" s="160"/>
      <c r="P1569" s="146"/>
      <c r="Q1569" s="146"/>
      <c r="R1569" s="146"/>
      <c r="S1569" s="146"/>
      <c r="T1569" s="146"/>
      <c r="U1569" s="146"/>
      <c r="V1569" s="146"/>
      <c r="W1569" s="146"/>
      <c r="X1569" s="146"/>
      <c r="Y1569" s="146"/>
      <c r="Z1569" s="143"/>
    </row>
    <row r="1570" spans="1:26" x14ac:dyDescent="0.25">
      <c r="A1570" s="203">
        <f t="shared" si="32"/>
        <v>1569</v>
      </c>
      <c r="B1570" s="133"/>
      <c r="C1570" s="263"/>
      <c r="D1570" s="264"/>
      <c r="E1570" s="133"/>
      <c r="F1570" s="141" t="s">
        <v>1933</v>
      </c>
      <c r="G1570" s="131"/>
      <c r="H1570" s="133"/>
      <c r="I1570" s="142" t="s">
        <v>1169</v>
      </c>
      <c r="J1570" s="133">
        <v>19</v>
      </c>
      <c r="K1570" s="129">
        <v>10</v>
      </c>
      <c r="L1570" s="129">
        <v>6</v>
      </c>
      <c r="M1570" s="129" t="s">
        <v>658</v>
      </c>
      <c r="N1570" s="129" t="s">
        <v>659</v>
      </c>
      <c r="O1570" s="160"/>
      <c r="P1570" s="146"/>
      <c r="Q1570" s="146"/>
      <c r="R1570" s="146"/>
      <c r="S1570" s="146"/>
      <c r="T1570" s="146"/>
      <c r="U1570" s="146"/>
      <c r="V1570" s="146"/>
      <c r="W1570" s="146"/>
      <c r="X1570" s="146"/>
      <c r="Y1570" s="146"/>
      <c r="Z1570" s="143"/>
    </row>
    <row r="1571" spans="1:26" x14ac:dyDescent="0.25">
      <c r="A1571" s="203">
        <f t="shared" si="32"/>
        <v>1570</v>
      </c>
      <c r="B1571" s="133"/>
      <c r="C1571" s="263"/>
      <c r="D1571" s="264"/>
      <c r="E1571" s="133"/>
      <c r="F1571" s="141" t="s">
        <v>1933</v>
      </c>
      <c r="G1571" s="131"/>
      <c r="H1571" s="133"/>
      <c r="I1571" s="142" t="s">
        <v>1169</v>
      </c>
      <c r="J1571" s="133">
        <v>19</v>
      </c>
      <c r="K1571" s="129">
        <v>10</v>
      </c>
      <c r="L1571" s="129">
        <v>7</v>
      </c>
      <c r="M1571" s="129" t="s">
        <v>658</v>
      </c>
      <c r="N1571" s="129" t="s">
        <v>659</v>
      </c>
      <c r="O1571" s="160"/>
      <c r="P1571" s="146"/>
      <c r="Q1571" s="146"/>
      <c r="R1571" s="146"/>
      <c r="S1571" s="146"/>
      <c r="T1571" s="146"/>
      <c r="U1571" s="146"/>
      <c r="V1571" s="146"/>
      <c r="W1571" s="146"/>
      <c r="X1571" s="146"/>
      <c r="Y1571" s="146"/>
      <c r="Z1571" s="143"/>
    </row>
    <row r="1572" spans="1:26" x14ac:dyDescent="0.25">
      <c r="A1572" s="203">
        <f t="shared" si="32"/>
        <v>1571</v>
      </c>
      <c r="B1572" s="133"/>
      <c r="C1572" s="263"/>
      <c r="D1572" s="264"/>
      <c r="E1572" s="133"/>
      <c r="F1572" s="141" t="s">
        <v>1933</v>
      </c>
      <c r="G1572" s="131"/>
      <c r="H1572" s="133"/>
      <c r="I1572" s="142" t="s">
        <v>1169</v>
      </c>
      <c r="J1572" s="133">
        <v>19</v>
      </c>
      <c r="K1572" s="129">
        <v>11</v>
      </c>
      <c r="L1572" s="129">
        <v>3</v>
      </c>
      <c r="M1572" s="129" t="s">
        <v>658</v>
      </c>
      <c r="N1572" s="129" t="s">
        <v>659</v>
      </c>
      <c r="O1572" s="160"/>
      <c r="P1572" s="146"/>
      <c r="Q1572" s="146"/>
      <c r="R1572" s="146"/>
      <c r="S1572" s="146"/>
      <c r="T1572" s="146"/>
      <c r="U1572" s="146"/>
      <c r="V1572" s="146"/>
      <c r="W1572" s="146"/>
      <c r="X1572" s="146"/>
      <c r="Y1572" s="146"/>
      <c r="Z1572" s="143"/>
    </row>
    <row r="1573" spans="1:26" x14ac:dyDescent="0.25">
      <c r="A1573" s="203">
        <f t="shared" si="32"/>
        <v>1572</v>
      </c>
      <c r="B1573" s="133"/>
      <c r="C1573" s="263"/>
      <c r="D1573" s="264"/>
      <c r="E1573" s="133"/>
      <c r="F1573" s="141" t="s">
        <v>1933</v>
      </c>
      <c r="G1573" s="131"/>
      <c r="H1573" s="133"/>
      <c r="I1573" s="142" t="s">
        <v>1169</v>
      </c>
      <c r="J1573" s="133">
        <v>19</v>
      </c>
      <c r="K1573" s="129">
        <v>11</v>
      </c>
      <c r="L1573" s="129">
        <v>4</v>
      </c>
      <c r="M1573" s="129" t="s">
        <v>658</v>
      </c>
      <c r="N1573" s="129" t="s">
        <v>659</v>
      </c>
      <c r="O1573" s="160"/>
      <c r="P1573" s="146"/>
      <c r="Q1573" s="146"/>
      <c r="R1573" s="146"/>
      <c r="S1573" s="146"/>
      <c r="T1573" s="146"/>
      <c r="U1573" s="146"/>
      <c r="V1573" s="146"/>
      <c r="W1573" s="146"/>
      <c r="X1573" s="146"/>
      <c r="Y1573" s="146"/>
      <c r="Z1573" s="143"/>
    </row>
    <row r="1574" spans="1:26" x14ac:dyDescent="0.25">
      <c r="A1574" s="203">
        <f t="shared" si="32"/>
        <v>1573</v>
      </c>
      <c r="B1574" s="133"/>
      <c r="C1574" s="263"/>
      <c r="D1574" s="264"/>
      <c r="E1574" s="133"/>
      <c r="F1574" s="141" t="s">
        <v>1933</v>
      </c>
      <c r="G1574" s="131"/>
      <c r="H1574" s="133"/>
      <c r="I1574" s="142" t="s">
        <v>1169</v>
      </c>
      <c r="J1574" s="133">
        <v>19</v>
      </c>
      <c r="K1574" s="129">
        <v>11</v>
      </c>
      <c r="L1574" s="129">
        <v>5</v>
      </c>
      <c r="M1574" s="129" t="s">
        <v>658</v>
      </c>
      <c r="N1574" s="129" t="s">
        <v>659</v>
      </c>
      <c r="O1574" s="160"/>
      <c r="P1574" s="146"/>
      <c r="Q1574" s="146"/>
      <c r="R1574" s="146"/>
      <c r="S1574" s="146"/>
      <c r="T1574" s="146"/>
      <c r="U1574" s="146"/>
      <c r="V1574" s="146"/>
      <c r="W1574" s="146"/>
      <c r="X1574" s="146"/>
      <c r="Y1574" s="146"/>
      <c r="Z1574" s="143"/>
    </row>
    <row r="1575" spans="1:26" x14ac:dyDescent="0.25">
      <c r="A1575" s="203">
        <f t="shared" si="32"/>
        <v>1574</v>
      </c>
      <c r="B1575" s="133"/>
      <c r="C1575" s="263"/>
      <c r="D1575" s="264"/>
      <c r="E1575" s="133"/>
      <c r="F1575" s="141" t="s">
        <v>1933</v>
      </c>
      <c r="G1575" s="131"/>
      <c r="H1575" s="133"/>
      <c r="I1575" s="142" t="s">
        <v>1169</v>
      </c>
      <c r="J1575" s="133">
        <v>19</v>
      </c>
      <c r="K1575" s="129">
        <v>11</v>
      </c>
      <c r="L1575" s="129">
        <v>6</v>
      </c>
      <c r="M1575" s="129" t="s">
        <v>658</v>
      </c>
      <c r="N1575" s="129" t="s">
        <v>659</v>
      </c>
      <c r="O1575" s="160"/>
      <c r="P1575" s="146"/>
      <c r="Q1575" s="146"/>
      <c r="R1575" s="146"/>
      <c r="S1575" s="146"/>
      <c r="T1575" s="146"/>
      <c r="U1575" s="146"/>
      <c r="V1575" s="146"/>
      <c r="W1575" s="146"/>
      <c r="X1575" s="146"/>
      <c r="Y1575" s="146"/>
      <c r="Z1575" s="143"/>
    </row>
    <row r="1576" spans="1:26" x14ac:dyDescent="0.25">
      <c r="A1576" s="203">
        <f t="shared" si="32"/>
        <v>1575</v>
      </c>
      <c r="B1576" s="133"/>
      <c r="C1576" s="263"/>
      <c r="D1576" s="264"/>
      <c r="E1576" s="133"/>
      <c r="F1576" s="141" t="s">
        <v>1933</v>
      </c>
      <c r="G1576" s="131"/>
      <c r="H1576" s="133"/>
      <c r="I1576" s="142" t="s">
        <v>1169</v>
      </c>
      <c r="J1576" s="133">
        <v>19</v>
      </c>
      <c r="K1576" s="129">
        <v>11</v>
      </c>
      <c r="L1576" s="129">
        <v>7</v>
      </c>
      <c r="M1576" s="129" t="s">
        <v>658</v>
      </c>
      <c r="N1576" s="129" t="s">
        <v>659</v>
      </c>
      <c r="O1576" s="160"/>
      <c r="P1576" s="146"/>
      <c r="Q1576" s="146"/>
      <c r="R1576" s="146"/>
      <c r="S1576" s="146"/>
      <c r="T1576" s="146"/>
      <c r="U1576" s="146"/>
      <c r="V1576" s="146"/>
      <c r="W1576" s="146"/>
      <c r="X1576" s="146"/>
      <c r="Y1576" s="146"/>
      <c r="Z1576" s="143"/>
    </row>
    <row r="1577" spans="1:26" x14ac:dyDescent="0.25">
      <c r="A1577" s="203">
        <f t="shared" si="32"/>
        <v>1576</v>
      </c>
      <c r="B1577" s="128"/>
      <c r="C1577" s="263"/>
      <c r="D1577" s="262"/>
      <c r="E1577" s="128"/>
      <c r="F1577" s="138" t="s">
        <v>1935</v>
      </c>
      <c r="G1577" s="131"/>
      <c r="H1577" s="128"/>
      <c r="I1577" s="142" t="s">
        <v>1169</v>
      </c>
      <c r="J1577" s="133">
        <v>19</v>
      </c>
      <c r="K1577" s="129">
        <v>12</v>
      </c>
      <c r="L1577" s="129">
        <v>0</v>
      </c>
      <c r="M1577" s="129" t="s">
        <v>1936</v>
      </c>
      <c r="N1577" s="129" t="s">
        <v>295</v>
      </c>
      <c r="O1577" s="139"/>
      <c r="P1577" s="127"/>
      <c r="Q1577" s="127"/>
      <c r="R1577" s="127"/>
      <c r="S1577" s="127"/>
      <c r="T1577" s="127"/>
      <c r="U1577" s="127"/>
      <c r="V1577" s="127"/>
      <c r="W1577" s="127"/>
      <c r="X1577" s="127"/>
      <c r="Y1577" s="127"/>
      <c r="Z1577" s="140"/>
    </row>
    <row r="1578" spans="1:26" x14ac:dyDescent="0.25">
      <c r="A1578" s="203">
        <f t="shared" si="32"/>
        <v>1577</v>
      </c>
      <c r="B1578" s="133"/>
      <c r="C1578" s="263"/>
      <c r="D1578" s="264"/>
      <c r="E1578" s="133"/>
      <c r="F1578" s="141" t="s">
        <v>1933</v>
      </c>
      <c r="G1578" s="131"/>
      <c r="H1578" s="133"/>
      <c r="I1578" s="142" t="s">
        <v>1169</v>
      </c>
      <c r="J1578" s="133">
        <v>19</v>
      </c>
      <c r="K1578" s="129">
        <v>13</v>
      </c>
      <c r="L1578" s="129">
        <v>4</v>
      </c>
      <c r="M1578" s="129" t="s">
        <v>664</v>
      </c>
      <c r="N1578" s="129" t="s">
        <v>665</v>
      </c>
      <c r="O1578" s="160"/>
      <c r="P1578" s="146"/>
      <c r="Q1578" s="146"/>
      <c r="R1578" s="146"/>
      <c r="S1578" s="146"/>
      <c r="T1578" s="146"/>
      <c r="U1578" s="146"/>
      <c r="V1578" s="146"/>
      <c r="W1578" s="146"/>
      <c r="X1578" s="146"/>
      <c r="Y1578" s="146"/>
      <c r="Z1578" s="143"/>
    </row>
    <row r="1579" spans="1:26" x14ac:dyDescent="0.25">
      <c r="A1579" s="203">
        <f t="shared" si="32"/>
        <v>1578</v>
      </c>
      <c r="B1579" s="133"/>
      <c r="C1579" s="263"/>
      <c r="D1579" s="264"/>
      <c r="E1579" s="133"/>
      <c r="F1579" s="141" t="s">
        <v>1933</v>
      </c>
      <c r="G1579" s="131"/>
      <c r="H1579" s="133"/>
      <c r="I1579" s="142" t="s">
        <v>1169</v>
      </c>
      <c r="J1579" s="133">
        <v>19</v>
      </c>
      <c r="K1579" s="129">
        <v>13</v>
      </c>
      <c r="L1579" s="129">
        <v>5</v>
      </c>
      <c r="M1579" s="129" t="s">
        <v>664</v>
      </c>
      <c r="N1579" s="129" t="s">
        <v>665</v>
      </c>
      <c r="O1579" s="160"/>
      <c r="P1579" s="146"/>
      <c r="Q1579" s="146"/>
      <c r="R1579" s="146"/>
      <c r="S1579" s="146"/>
      <c r="T1579" s="146"/>
      <c r="U1579" s="146"/>
      <c r="V1579" s="146"/>
      <c r="W1579" s="146"/>
      <c r="X1579" s="146"/>
      <c r="Y1579" s="146"/>
      <c r="Z1579" s="143"/>
    </row>
    <row r="1580" spans="1:26" x14ac:dyDescent="0.25">
      <c r="A1580" s="203">
        <f t="shared" si="32"/>
        <v>1579</v>
      </c>
      <c r="B1580" s="133"/>
      <c r="C1580" s="263"/>
      <c r="D1580" s="264"/>
      <c r="E1580" s="133"/>
      <c r="F1580" s="141" t="s">
        <v>1933</v>
      </c>
      <c r="G1580" s="131"/>
      <c r="H1580" s="133"/>
      <c r="I1580" s="142" t="s">
        <v>1169</v>
      </c>
      <c r="J1580" s="133">
        <v>19</v>
      </c>
      <c r="K1580" s="129">
        <v>13</v>
      </c>
      <c r="L1580" s="129">
        <v>6</v>
      </c>
      <c r="M1580" s="129" t="s">
        <v>664</v>
      </c>
      <c r="N1580" s="129" t="s">
        <v>665</v>
      </c>
      <c r="O1580" s="160"/>
      <c r="P1580" s="146"/>
      <c r="Q1580" s="146"/>
      <c r="R1580" s="146"/>
      <c r="S1580" s="146"/>
      <c r="T1580" s="146"/>
      <c r="U1580" s="146"/>
      <c r="V1580" s="146"/>
      <c r="W1580" s="146"/>
      <c r="X1580" s="146"/>
      <c r="Y1580" s="146"/>
      <c r="Z1580" s="143"/>
    </row>
    <row r="1581" spans="1:26" x14ac:dyDescent="0.25">
      <c r="A1581" s="203">
        <f t="shared" si="32"/>
        <v>1580</v>
      </c>
      <c r="B1581" s="133"/>
      <c r="C1581" s="263"/>
      <c r="D1581" s="264"/>
      <c r="E1581" s="133"/>
      <c r="F1581" s="141" t="s">
        <v>1933</v>
      </c>
      <c r="G1581" s="131"/>
      <c r="H1581" s="133"/>
      <c r="I1581" s="142" t="s">
        <v>1169</v>
      </c>
      <c r="J1581" s="133">
        <v>19</v>
      </c>
      <c r="K1581" s="129">
        <v>13</v>
      </c>
      <c r="L1581" s="129">
        <v>7</v>
      </c>
      <c r="M1581" s="129" t="s">
        <v>664</v>
      </c>
      <c r="N1581" s="129" t="s">
        <v>665</v>
      </c>
      <c r="O1581" s="160"/>
      <c r="P1581" s="146"/>
      <c r="Q1581" s="146"/>
      <c r="R1581" s="146"/>
      <c r="S1581" s="146"/>
      <c r="T1581" s="146"/>
      <c r="U1581" s="146"/>
      <c r="V1581" s="146"/>
      <c r="W1581" s="146"/>
      <c r="X1581" s="146"/>
      <c r="Y1581" s="146"/>
      <c r="Z1581" s="143"/>
    </row>
    <row r="1582" spans="1:26" x14ac:dyDescent="0.25">
      <c r="A1582" s="203">
        <f t="shared" si="32"/>
        <v>1581</v>
      </c>
      <c r="B1582" s="133"/>
      <c r="C1582" s="263"/>
      <c r="D1582" s="264"/>
      <c r="E1582" s="133"/>
      <c r="F1582" s="141" t="s">
        <v>1933</v>
      </c>
      <c r="G1582" s="131"/>
      <c r="H1582" s="133"/>
      <c r="I1582" s="142" t="s">
        <v>1169</v>
      </c>
      <c r="J1582" s="133">
        <v>19</v>
      </c>
      <c r="K1582" s="129">
        <v>14</v>
      </c>
      <c r="L1582" s="129">
        <v>1</v>
      </c>
      <c r="M1582" s="129" t="s">
        <v>1930</v>
      </c>
      <c r="N1582" s="129" t="s">
        <v>1931</v>
      </c>
      <c r="O1582" s="160"/>
      <c r="P1582" s="146"/>
      <c r="Q1582" s="146"/>
      <c r="R1582" s="146"/>
      <c r="S1582" s="146"/>
      <c r="T1582" s="146"/>
      <c r="U1582" s="146"/>
      <c r="V1582" s="146"/>
      <c r="W1582" s="146"/>
      <c r="X1582" s="146"/>
      <c r="Y1582" s="146"/>
      <c r="Z1582" s="143"/>
    </row>
    <row r="1583" spans="1:26" x14ac:dyDescent="0.25">
      <c r="A1583" s="203">
        <f t="shared" si="32"/>
        <v>1582</v>
      </c>
      <c r="B1583" s="133"/>
      <c r="C1583" s="263"/>
      <c r="D1583" s="264"/>
      <c r="E1583" s="133"/>
      <c r="F1583" s="141" t="s">
        <v>1933</v>
      </c>
      <c r="G1583" s="131"/>
      <c r="H1583" s="133"/>
      <c r="I1583" s="142" t="s">
        <v>1169</v>
      </c>
      <c r="J1583" s="133">
        <v>19</v>
      </c>
      <c r="K1583" s="129">
        <v>14</v>
      </c>
      <c r="L1583" s="129">
        <v>2</v>
      </c>
      <c r="M1583" s="129" t="s">
        <v>1930</v>
      </c>
      <c r="N1583" s="129" t="s">
        <v>1931</v>
      </c>
      <c r="O1583" s="160"/>
      <c r="P1583" s="146"/>
      <c r="Q1583" s="146"/>
      <c r="R1583" s="146"/>
      <c r="S1583" s="146"/>
      <c r="T1583" s="146"/>
      <c r="U1583" s="146"/>
      <c r="V1583" s="146"/>
      <c r="W1583" s="146"/>
      <c r="X1583" s="146"/>
      <c r="Y1583" s="146"/>
      <c r="Z1583" s="143"/>
    </row>
    <row r="1584" spans="1:26" x14ac:dyDescent="0.25">
      <c r="A1584" s="203">
        <f t="shared" si="32"/>
        <v>1583</v>
      </c>
      <c r="B1584" s="133"/>
      <c r="C1584" s="263"/>
      <c r="D1584" s="264"/>
      <c r="E1584" s="133"/>
      <c r="F1584" s="141" t="s">
        <v>1933</v>
      </c>
      <c r="G1584" s="131"/>
      <c r="H1584" s="133"/>
      <c r="I1584" s="142" t="s">
        <v>1169</v>
      </c>
      <c r="J1584" s="133">
        <v>19</v>
      </c>
      <c r="K1584" s="129">
        <v>14</v>
      </c>
      <c r="L1584" s="129">
        <v>3</v>
      </c>
      <c r="M1584" s="129" t="s">
        <v>1930</v>
      </c>
      <c r="N1584" s="129" t="s">
        <v>1931</v>
      </c>
      <c r="O1584" s="160"/>
      <c r="P1584" s="146"/>
      <c r="Q1584" s="146"/>
      <c r="R1584" s="146"/>
      <c r="S1584" s="146"/>
      <c r="T1584" s="146"/>
      <c r="U1584" s="146"/>
      <c r="V1584" s="146"/>
      <c r="W1584" s="146"/>
      <c r="X1584" s="146"/>
      <c r="Y1584" s="146"/>
      <c r="Z1584" s="143"/>
    </row>
    <row r="1585" spans="1:26" x14ac:dyDescent="0.25">
      <c r="A1585" s="203">
        <f t="shared" si="32"/>
        <v>1584</v>
      </c>
      <c r="B1585" s="128"/>
      <c r="C1585" s="263"/>
      <c r="D1585" s="262"/>
      <c r="E1585" s="128"/>
      <c r="F1585" s="138" t="s">
        <v>1933</v>
      </c>
      <c r="G1585" s="131"/>
      <c r="H1585" s="128"/>
      <c r="I1585" s="132" t="s">
        <v>1803</v>
      </c>
      <c r="J1585" s="133">
        <v>20</v>
      </c>
      <c r="K1585" s="129">
        <v>0</v>
      </c>
      <c r="L1585" s="129">
        <v>6</v>
      </c>
      <c r="M1585" s="129" t="s">
        <v>31</v>
      </c>
      <c r="N1585" s="129" t="s">
        <v>32</v>
      </c>
      <c r="O1585" s="139"/>
      <c r="P1585" s="127"/>
      <c r="Q1585" s="127"/>
      <c r="R1585" s="127"/>
      <c r="S1585" s="127"/>
      <c r="T1585" s="127"/>
      <c r="U1585" s="127"/>
      <c r="V1585" s="127"/>
      <c r="W1585" s="127"/>
      <c r="X1585" s="127"/>
      <c r="Y1585" s="127"/>
      <c r="Z1585" s="140" t="s">
        <v>33</v>
      </c>
    </row>
    <row r="1586" spans="1:26" x14ac:dyDescent="0.25">
      <c r="A1586" s="203">
        <f t="shared" si="32"/>
        <v>1585</v>
      </c>
      <c r="B1586" s="128"/>
      <c r="C1586" s="263"/>
      <c r="D1586" s="262"/>
      <c r="E1586" s="128"/>
      <c r="F1586" s="138" t="s">
        <v>1933</v>
      </c>
      <c r="G1586" s="131"/>
      <c r="H1586" s="128"/>
      <c r="I1586" s="132" t="s">
        <v>1803</v>
      </c>
      <c r="J1586" s="133">
        <v>20</v>
      </c>
      <c r="K1586" s="129">
        <v>0</v>
      </c>
      <c r="L1586" s="129">
        <v>7</v>
      </c>
      <c r="M1586" s="129" t="s">
        <v>31</v>
      </c>
      <c r="N1586" s="129" t="s">
        <v>32</v>
      </c>
      <c r="O1586" s="139"/>
      <c r="P1586" s="127"/>
      <c r="Q1586" s="127"/>
      <c r="R1586" s="127"/>
      <c r="S1586" s="127"/>
      <c r="T1586" s="127"/>
      <c r="U1586" s="127"/>
      <c r="V1586" s="127"/>
      <c r="W1586" s="127"/>
      <c r="X1586" s="127"/>
      <c r="Y1586" s="127"/>
      <c r="Z1586" s="140" t="s">
        <v>33</v>
      </c>
    </row>
    <row r="1587" spans="1:26" x14ac:dyDescent="0.25">
      <c r="A1587" s="203">
        <f t="shared" si="32"/>
        <v>1586</v>
      </c>
      <c r="B1587" s="128"/>
      <c r="C1587" s="263"/>
      <c r="D1587" s="262"/>
      <c r="E1587" s="128"/>
      <c r="F1587" s="138" t="s">
        <v>1933</v>
      </c>
      <c r="G1587" s="131"/>
      <c r="H1587" s="128"/>
      <c r="I1587" s="132" t="s">
        <v>1803</v>
      </c>
      <c r="J1587" s="133">
        <v>20</v>
      </c>
      <c r="K1587" s="129">
        <v>0</v>
      </c>
      <c r="L1587" s="129">
        <v>8</v>
      </c>
      <c r="M1587" s="129" t="s">
        <v>31</v>
      </c>
      <c r="N1587" s="129" t="s">
        <v>32</v>
      </c>
      <c r="O1587" s="139"/>
      <c r="P1587" s="127"/>
      <c r="Q1587" s="127"/>
      <c r="R1587" s="127"/>
      <c r="S1587" s="127"/>
      <c r="T1587" s="127"/>
      <c r="U1587" s="127"/>
      <c r="V1587" s="127"/>
      <c r="W1587" s="127"/>
      <c r="X1587" s="127"/>
      <c r="Y1587" s="127"/>
      <c r="Z1587" s="140" t="s">
        <v>33</v>
      </c>
    </row>
    <row r="1588" spans="1:26" x14ac:dyDescent="0.25">
      <c r="A1588" s="203">
        <f t="shared" si="32"/>
        <v>1587</v>
      </c>
      <c r="B1588" s="128"/>
      <c r="C1588" s="263"/>
      <c r="D1588" s="262"/>
      <c r="E1588" s="128"/>
      <c r="F1588" s="138" t="s">
        <v>1933</v>
      </c>
      <c r="G1588" s="131"/>
      <c r="H1588" s="128"/>
      <c r="I1588" s="132" t="s">
        <v>1803</v>
      </c>
      <c r="J1588" s="133">
        <v>20</v>
      </c>
      <c r="K1588" s="129">
        <v>0</v>
      </c>
      <c r="L1588" s="129">
        <v>9</v>
      </c>
      <c r="M1588" s="129" t="s">
        <v>31</v>
      </c>
      <c r="N1588" s="129" t="s">
        <v>32</v>
      </c>
      <c r="O1588" s="139"/>
      <c r="P1588" s="127"/>
      <c r="Q1588" s="127"/>
      <c r="R1588" s="127"/>
      <c r="S1588" s="127"/>
      <c r="T1588" s="127"/>
      <c r="U1588" s="127"/>
      <c r="V1588" s="127"/>
      <c r="W1588" s="127"/>
      <c r="X1588" s="127"/>
      <c r="Y1588" s="127"/>
      <c r="Z1588" s="140" t="s">
        <v>33</v>
      </c>
    </row>
    <row r="1589" spans="1:26" x14ac:dyDescent="0.25">
      <c r="A1589" s="203">
        <f t="shared" si="32"/>
        <v>1588</v>
      </c>
      <c r="B1589" s="128"/>
      <c r="C1589" s="263"/>
      <c r="D1589" s="262"/>
      <c r="E1589" s="128"/>
      <c r="F1589" s="138" t="s">
        <v>1933</v>
      </c>
      <c r="G1589" s="131"/>
      <c r="H1589" s="128"/>
      <c r="I1589" s="132" t="s">
        <v>1803</v>
      </c>
      <c r="J1589" s="133">
        <v>20</v>
      </c>
      <c r="K1589" s="129">
        <v>0</v>
      </c>
      <c r="L1589" s="129">
        <v>10</v>
      </c>
      <c r="M1589" s="129" t="s">
        <v>31</v>
      </c>
      <c r="N1589" s="129" t="s">
        <v>32</v>
      </c>
      <c r="O1589" s="139"/>
      <c r="P1589" s="127"/>
      <c r="Q1589" s="127"/>
      <c r="R1589" s="127"/>
      <c r="S1589" s="127"/>
      <c r="T1589" s="127"/>
      <c r="U1589" s="127"/>
      <c r="V1589" s="127"/>
      <c r="W1589" s="127"/>
      <c r="X1589" s="127"/>
      <c r="Y1589" s="127"/>
      <c r="Z1589" s="140" t="s">
        <v>33</v>
      </c>
    </row>
    <row r="1590" spans="1:26" x14ac:dyDescent="0.25">
      <c r="A1590" s="203">
        <f t="shared" si="32"/>
        <v>1589</v>
      </c>
      <c r="B1590" s="128"/>
      <c r="C1590" s="263"/>
      <c r="D1590" s="262"/>
      <c r="E1590" s="128"/>
      <c r="F1590" s="138" t="s">
        <v>1933</v>
      </c>
      <c r="G1590" s="131"/>
      <c r="H1590" s="128"/>
      <c r="I1590" s="132" t="s">
        <v>1803</v>
      </c>
      <c r="J1590" s="133">
        <v>20</v>
      </c>
      <c r="K1590" s="129">
        <v>0</v>
      </c>
      <c r="L1590" s="129">
        <v>11</v>
      </c>
      <c r="M1590" s="129" t="s">
        <v>31</v>
      </c>
      <c r="N1590" s="129" t="s">
        <v>32</v>
      </c>
      <c r="O1590" s="139"/>
      <c r="P1590" s="127"/>
      <c r="Q1590" s="127"/>
      <c r="R1590" s="127"/>
      <c r="S1590" s="127"/>
      <c r="T1590" s="127"/>
      <c r="U1590" s="127"/>
      <c r="V1590" s="127"/>
      <c r="W1590" s="127"/>
      <c r="X1590" s="127"/>
      <c r="Y1590" s="127"/>
      <c r="Z1590" s="140" t="s">
        <v>33</v>
      </c>
    </row>
    <row r="1591" spans="1:26" x14ac:dyDescent="0.25">
      <c r="A1591" s="203">
        <f t="shared" si="32"/>
        <v>1590</v>
      </c>
      <c r="B1591" s="128"/>
      <c r="C1591" s="263"/>
      <c r="D1591" s="262"/>
      <c r="E1591" s="128"/>
      <c r="F1591" s="138" t="s">
        <v>1933</v>
      </c>
      <c r="G1591" s="131"/>
      <c r="H1591" s="128"/>
      <c r="I1591" s="132" t="s">
        <v>1803</v>
      </c>
      <c r="J1591" s="133">
        <v>20</v>
      </c>
      <c r="K1591" s="129">
        <v>0</v>
      </c>
      <c r="L1591" s="129">
        <v>12</v>
      </c>
      <c r="M1591" s="129" t="s">
        <v>31</v>
      </c>
      <c r="N1591" s="129" t="s">
        <v>32</v>
      </c>
      <c r="O1591" s="139"/>
      <c r="P1591" s="127"/>
      <c r="Q1591" s="127"/>
      <c r="R1591" s="127"/>
      <c r="S1591" s="127"/>
      <c r="T1591" s="127"/>
      <c r="U1591" s="127"/>
      <c r="V1591" s="127"/>
      <c r="W1591" s="127"/>
      <c r="X1591" s="127"/>
      <c r="Y1591" s="127"/>
      <c r="Z1591" s="140" t="s">
        <v>33</v>
      </c>
    </row>
    <row r="1592" spans="1:26" x14ac:dyDescent="0.25">
      <c r="A1592" s="203">
        <f t="shared" si="32"/>
        <v>1591</v>
      </c>
      <c r="B1592" s="128"/>
      <c r="C1592" s="263"/>
      <c r="D1592" s="262"/>
      <c r="E1592" s="128"/>
      <c r="F1592" s="138" t="s">
        <v>1933</v>
      </c>
      <c r="G1592" s="131"/>
      <c r="H1592" s="128"/>
      <c r="I1592" s="132" t="s">
        <v>1803</v>
      </c>
      <c r="J1592" s="133">
        <v>20</v>
      </c>
      <c r="K1592" s="129">
        <v>0</v>
      </c>
      <c r="L1592" s="129">
        <v>13</v>
      </c>
      <c r="M1592" s="129" t="s">
        <v>31</v>
      </c>
      <c r="N1592" s="129" t="s">
        <v>32</v>
      </c>
      <c r="O1592" s="139"/>
      <c r="P1592" s="127"/>
      <c r="Q1592" s="127"/>
      <c r="R1592" s="127"/>
      <c r="S1592" s="127"/>
      <c r="T1592" s="127"/>
      <c r="U1592" s="127"/>
      <c r="V1592" s="127"/>
      <c r="W1592" s="127"/>
      <c r="X1592" s="127"/>
      <c r="Y1592" s="127"/>
      <c r="Z1592" s="140" t="s">
        <v>33</v>
      </c>
    </row>
    <row r="1593" spans="1:26" x14ac:dyDescent="0.25">
      <c r="A1593" s="203">
        <f t="shared" si="32"/>
        <v>1592</v>
      </c>
      <c r="B1593" s="128"/>
      <c r="C1593" s="263"/>
      <c r="D1593" s="262"/>
      <c r="E1593" s="128"/>
      <c r="F1593" s="138" t="s">
        <v>1933</v>
      </c>
      <c r="G1593" s="131"/>
      <c r="H1593" s="128"/>
      <c r="I1593" s="132" t="s">
        <v>1803</v>
      </c>
      <c r="J1593" s="133">
        <v>20</v>
      </c>
      <c r="K1593" s="129">
        <v>0</v>
      </c>
      <c r="L1593" s="129">
        <v>14</v>
      </c>
      <c r="M1593" s="129" t="s">
        <v>31</v>
      </c>
      <c r="N1593" s="129" t="s">
        <v>32</v>
      </c>
      <c r="O1593" s="139"/>
      <c r="P1593" s="127"/>
      <c r="Q1593" s="127"/>
      <c r="R1593" s="127"/>
      <c r="S1593" s="127"/>
      <c r="T1593" s="127"/>
      <c r="U1593" s="127"/>
      <c r="V1593" s="127"/>
      <c r="W1593" s="127"/>
      <c r="X1593" s="127"/>
      <c r="Y1593" s="127"/>
      <c r="Z1593" s="140" t="s">
        <v>33</v>
      </c>
    </row>
    <row r="1594" spans="1:26" x14ac:dyDescent="0.25">
      <c r="A1594" s="203">
        <f t="shared" si="32"/>
        <v>1593</v>
      </c>
      <c r="B1594" s="128"/>
      <c r="C1594" s="263"/>
      <c r="D1594" s="262"/>
      <c r="E1594" s="128"/>
      <c r="F1594" s="138" t="s">
        <v>1933</v>
      </c>
      <c r="G1594" s="131"/>
      <c r="H1594" s="128"/>
      <c r="I1594" s="132" t="s">
        <v>1803</v>
      </c>
      <c r="J1594" s="133">
        <v>20</v>
      </c>
      <c r="K1594" s="129">
        <v>0</v>
      </c>
      <c r="L1594" s="129">
        <v>15</v>
      </c>
      <c r="M1594" s="129" t="s">
        <v>31</v>
      </c>
      <c r="N1594" s="129" t="s">
        <v>32</v>
      </c>
      <c r="O1594" s="139"/>
      <c r="P1594" s="127"/>
      <c r="Q1594" s="127"/>
      <c r="R1594" s="127"/>
      <c r="S1594" s="127"/>
      <c r="T1594" s="127"/>
      <c r="U1594" s="127"/>
      <c r="V1594" s="127"/>
      <c r="W1594" s="127"/>
      <c r="X1594" s="127"/>
      <c r="Y1594" s="127"/>
      <c r="Z1594" s="140" t="s">
        <v>33</v>
      </c>
    </row>
    <row r="1595" spans="1:26" x14ac:dyDescent="0.25">
      <c r="A1595" s="203">
        <f t="shared" si="32"/>
        <v>1594</v>
      </c>
      <c r="B1595" s="128"/>
      <c r="C1595" s="263"/>
      <c r="D1595" s="262"/>
      <c r="E1595" s="128"/>
      <c r="F1595" s="138" t="s">
        <v>1933</v>
      </c>
      <c r="G1595" s="131"/>
      <c r="H1595" s="128"/>
      <c r="I1595" s="132" t="s">
        <v>1803</v>
      </c>
      <c r="J1595" s="133">
        <v>20</v>
      </c>
      <c r="K1595" s="129">
        <v>1</v>
      </c>
      <c r="L1595" s="129">
        <v>3</v>
      </c>
      <c r="M1595" s="129" t="s">
        <v>82</v>
      </c>
      <c r="N1595" s="129" t="s">
        <v>83</v>
      </c>
      <c r="O1595" s="139"/>
      <c r="P1595" s="127"/>
      <c r="Q1595" s="127"/>
      <c r="R1595" s="127"/>
      <c r="S1595" s="127"/>
      <c r="T1595" s="127"/>
      <c r="U1595" s="127"/>
      <c r="V1595" s="127"/>
      <c r="W1595" s="127"/>
      <c r="X1595" s="127"/>
      <c r="Y1595" s="127"/>
      <c r="Z1595" s="140" t="s">
        <v>33</v>
      </c>
    </row>
    <row r="1596" spans="1:26" x14ac:dyDescent="0.25">
      <c r="A1596" s="203">
        <f t="shared" si="32"/>
        <v>1595</v>
      </c>
      <c r="B1596" s="128"/>
      <c r="C1596" s="263"/>
      <c r="D1596" s="262"/>
      <c r="E1596" s="128"/>
      <c r="F1596" s="138" t="s">
        <v>1933</v>
      </c>
      <c r="G1596" s="131"/>
      <c r="H1596" s="128"/>
      <c r="I1596" s="132" t="s">
        <v>1803</v>
      </c>
      <c r="J1596" s="133">
        <v>20</v>
      </c>
      <c r="K1596" s="129">
        <v>1</v>
      </c>
      <c r="L1596" s="129">
        <v>4</v>
      </c>
      <c r="M1596" s="129" t="s">
        <v>82</v>
      </c>
      <c r="N1596" s="129" t="s">
        <v>83</v>
      </c>
      <c r="O1596" s="139"/>
      <c r="P1596" s="127"/>
      <c r="Q1596" s="127"/>
      <c r="R1596" s="127"/>
      <c r="S1596" s="127"/>
      <c r="T1596" s="127"/>
      <c r="U1596" s="127"/>
      <c r="V1596" s="127"/>
      <c r="W1596" s="127"/>
      <c r="X1596" s="127"/>
      <c r="Y1596" s="127"/>
      <c r="Z1596" s="140" t="s">
        <v>33</v>
      </c>
    </row>
    <row r="1597" spans="1:26" x14ac:dyDescent="0.25">
      <c r="A1597" s="203">
        <f t="shared" si="32"/>
        <v>1596</v>
      </c>
      <c r="B1597" s="128"/>
      <c r="C1597" s="263"/>
      <c r="D1597" s="262"/>
      <c r="E1597" s="128"/>
      <c r="F1597" s="138" t="s">
        <v>1933</v>
      </c>
      <c r="G1597" s="131"/>
      <c r="H1597" s="128"/>
      <c r="I1597" s="132" t="s">
        <v>1803</v>
      </c>
      <c r="J1597" s="133">
        <v>20</v>
      </c>
      <c r="K1597" s="129">
        <v>1</v>
      </c>
      <c r="L1597" s="129">
        <v>5</v>
      </c>
      <c r="M1597" s="129" t="s">
        <v>82</v>
      </c>
      <c r="N1597" s="129" t="s">
        <v>83</v>
      </c>
      <c r="O1597" s="139"/>
      <c r="P1597" s="127"/>
      <c r="Q1597" s="127"/>
      <c r="R1597" s="127"/>
      <c r="S1597" s="127"/>
      <c r="T1597" s="127"/>
      <c r="U1597" s="127"/>
      <c r="V1597" s="127"/>
      <c r="W1597" s="127"/>
      <c r="X1597" s="127"/>
      <c r="Y1597" s="127"/>
      <c r="Z1597" s="140" t="s">
        <v>33</v>
      </c>
    </row>
    <row r="1598" spans="1:26" x14ac:dyDescent="0.25">
      <c r="A1598" s="203">
        <f t="shared" si="32"/>
        <v>1597</v>
      </c>
      <c r="B1598" s="128"/>
      <c r="C1598" s="263"/>
      <c r="D1598" s="262"/>
      <c r="E1598" s="128"/>
      <c r="F1598" s="138" t="s">
        <v>1933</v>
      </c>
      <c r="G1598" s="131"/>
      <c r="H1598" s="128"/>
      <c r="I1598" s="132" t="s">
        <v>1803</v>
      </c>
      <c r="J1598" s="133">
        <v>20</v>
      </c>
      <c r="K1598" s="129">
        <v>1</v>
      </c>
      <c r="L1598" s="129">
        <v>6</v>
      </c>
      <c r="M1598" s="129" t="s">
        <v>82</v>
      </c>
      <c r="N1598" s="129" t="s">
        <v>83</v>
      </c>
      <c r="O1598" s="139"/>
      <c r="P1598" s="127"/>
      <c r="Q1598" s="127"/>
      <c r="R1598" s="127"/>
      <c r="S1598" s="127"/>
      <c r="T1598" s="127"/>
      <c r="U1598" s="127"/>
      <c r="V1598" s="127"/>
      <c r="W1598" s="127"/>
      <c r="X1598" s="127"/>
      <c r="Y1598" s="127"/>
      <c r="Z1598" s="140" t="s">
        <v>33</v>
      </c>
    </row>
    <row r="1599" spans="1:26" x14ac:dyDescent="0.25">
      <c r="A1599" s="203">
        <f t="shared" si="32"/>
        <v>1598</v>
      </c>
      <c r="B1599" s="128"/>
      <c r="C1599" s="263"/>
      <c r="D1599" s="262"/>
      <c r="E1599" s="128"/>
      <c r="F1599" s="138" t="s">
        <v>1933</v>
      </c>
      <c r="G1599" s="131"/>
      <c r="H1599" s="128"/>
      <c r="I1599" s="132" t="s">
        <v>1803</v>
      </c>
      <c r="J1599" s="133">
        <v>20</v>
      </c>
      <c r="K1599" s="129">
        <v>1</v>
      </c>
      <c r="L1599" s="129">
        <v>7</v>
      </c>
      <c r="M1599" s="129" t="s">
        <v>82</v>
      </c>
      <c r="N1599" s="129" t="s">
        <v>83</v>
      </c>
      <c r="O1599" s="139"/>
      <c r="P1599" s="127"/>
      <c r="Q1599" s="127"/>
      <c r="R1599" s="127"/>
      <c r="S1599" s="127"/>
      <c r="T1599" s="127"/>
      <c r="U1599" s="127"/>
      <c r="V1599" s="127"/>
      <c r="W1599" s="127"/>
      <c r="X1599" s="127"/>
      <c r="Y1599" s="127"/>
      <c r="Z1599" s="140" t="s">
        <v>33</v>
      </c>
    </row>
    <row r="1600" spans="1:26" x14ac:dyDescent="0.25">
      <c r="A1600" s="203">
        <f t="shared" si="32"/>
        <v>1599</v>
      </c>
      <c r="B1600" s="128"/>
      <c r="C1600" s="263"/>
      <c r="D1600" s="262"/>
      <c r="E1600" s="128"/>
      <c r="F1600" s="138" t="s">
        <v>1933</v>
      </c>
      <c r="G1600" s="131"/>
      <c r="H1600" s="128"/>
      <c r="I1600" s="132" t="s">
        <v>1803</v>
      </c>
      <c r="J1600" s="133">
        <v>20</v>
      </c>
      <c r="K1600" s="129">
        <v>1</v>
      </c>
      <c r="L1600" s="129">
        <v>8</v>
      </c>
      <c r="M1600" s="129" t="s">
        <v>82</v>
      </c>
      <c r="N1600" s="129" t="s">
        <v>83</v>
      </c>
      <c r="O1600" s="139"/>
      <c r="P1600" s="127"/>
      <c r="Q1600" s="127"/>
      <c r="R1600" s="127"/>
      <c r="S1600" s="127"/>
      <c r="T1600" s="127"/>
      <c r="U1600" s="127"/>
      <c r="V1600" s="127"/>
      <c r="W1600" s="127"/>
      <c r="X1600" s="127"/>
      <c r="Y1600" s="127"/>
      <c r="Z1600" s="140" t="s">
        <v>33</v>
      </c>
    </row>
    <row r="1601" spans="1:26" x14ac:dyDescent="0.25">
      <c r="A1601" s="203">
        <f t="shared" si="32"/>
        <v>1600</v>
      </c>
      <c r="B1601" s="128"/>
      <c r="C1601" s="263"/>
      <c r="D1601" s="262"/>
      <c r="E1601" s="128"/>
      <c r="F1601" s="138" t="s">
        <v>1933</v>
      </c>
      <c r="G1601" s="131"/>
      <c r="H1601" s="128"/>
      <c r="I1601" s="132" t="s">
        <v>1803</v>
      </c>
      <c r="J1601" s="133">
        <v>20</v>
      </c>
      <c r="K1601" s="129">
        <v>1</v>
      </c>
      <c r="L1601" s="129">
        <v>9</v>
      </c>
      <c r="M1601" s="129" t="s">
        <v>82</v>
      </c>
      <c r="N1601" s="129" t="s">
        <v>83</v>
      </c>
      <c r="O1601" s="139"/>
      <c r="P1601" s="127"/>
      <c r="Q1601" s="127"/>
      <c r="R1601" s="127"/>
      <c r="S1601" s="127"/>
      <c r="T1601" s="127"/>
      <c r="U1601" s="127"/>
      <c r="V1601" s="127"/>
      <c r="W1601" s="127"/>
      <c r="X1601" s="127"/>
      <c r="Y1601" s="127"/>
      <c r="Z1601" s="140" t="s">
        <v>33</v>
      </c>
    </row>
    <row r="1602" spans="1:26" x14ac:dyDescent="0.25">
      <c r="A1602" s="203">
        <f t="shared" si="32"/>
        <v>1601</v>
      </c>
      <c r="B1602" s="128"/>
      <c r="C1602" s="263"/>
      <c r="D1602" s="262"/>
      <c r="E1602" s="128"/>
      <c r="F1602" s="138" t="s">
        <v>1933</v>
      </c>
      <c r="G1602" s="131"/>
      <c r="H1602" s="128"/>
      <c r="I1602" s="132" t="s">
        <v>1803</v>
      </c>
      <c r="J1602" s="133">
        <v>20</v>
      </c>
      <c r="K1602" s="129">
        <v>1</v>
      </c>
      <c r="L1602" s="129">
        <v>10</v>
      </c>
      <c r="M1602" s="129" t="s">
        <v>82</v>
      </c>
      <c r="N1602" s="129" t="s">
        <v>83</v>
      </c>
      <c r="O1602" s="139"/>
      <c r="P1602" s="127"/>
      <c r="Q1602" s="127"/>
      <c r="R1602" s="127"/>
      <c r="S1602" s="127"/>
      <c r="T1602" s="127"/>
      <c r="U1602" s="127"/>
      <c r="V1602" s="127"/>
      <c r="W1602" s="127"/>
      <c r="X1602" s="127"/>
      <c r="Y1602" s="127"/>
      <c r="Z1602" s="140" t="s">
        <v>33</v>
      </c>
    </row>
    <row r="1603" spans="1:26" x14ac:dyDescent="0.25">
      <c r="A1603" s="203">
        <f t="shared" si="32"/>
        <v>1602</v>
      </c>
      <c r="B1603" s="128"/>
      <c r="C1603" s="263"/>
      <c r="D1603" s="262"/>
      <c r="E1603" s="128"/>
      <c r="F1603" s="138" t="s">
        <v>1933</v>
      </c>
      <c r="G1603" s="131"/>
      <c r="H1603" s="128"/>
      <c r="I1603" s="132" t="s">
        <v>1803</v>
      </c>
      <c r="J1603" s="133">
        <v>20</v>
      </c>
      <c r="K1603" s="129">
        <v>1</v>
      </c>
      <c r="L1603" s="129">
        <v>11</v>
      </c>
      <c r="M1603" s="129" t="s">
        <v>82</v>
      </c>
      <c r="N1603" s="129" t="s">
        <v>83</v>
      </c>
      <c r="O1603" s="139"/>
      <c r="P1603" s="127"/>
      <c r="Q1603" s="127"/>
      <c r="R1603" s="127"/>
      <c r="S1603" s="127"/>
      <c r="T1603" s="127"/>
      <c r="U1603" s="127"/>
      <c r="V1603" s="127"/>
      <c r="W1603" s="127"/>
      <c r="X1603" s="127"/>
      <c r="Y1603" s="127"/>
      <c r="Z1603" s="140" t="s">
        <v>33</v>
      </c>
    </row>
    <row r="1604" spans="1:26" x14ac:dyDescent="0.25">
      <c r="A1604" s="203">
        <f t="shared" si="32"/>
        <v>1603</v>
      </c>
      <c r="B1604" s="128"/>
      <c r="C1604" s="263"/>
      <c r="D1604" s="262"/>
      <c r="E1604" s="128"/>
      <c r="F1604" s="138" t="s">
        <v>1933</v>
      </c>
      <c r="G1604" s="131"/>
      <c r="H1604" s="128"/>
      <c r="I1604" s="132" t="s">
        <v>1803</v>
      </c>
      <c r="J1604" s="133">
        <v>20</v>
      </c>
      <c r="K1604" s="129">
        <v>1</v>
      </c>
      <c r="L1604" s="129">
        <v>12</v>
      </c>
      <c r="M1604" s="129" t="s">
        <v>82</v>
      </c>
      <c r="N1604" s="129" t="s">
        <v>83</v>
      </c>
      <c r="O1604" s="139"/>
      <c r="P1604" s="127"/>
      <c r="Q1604" s="127"/>
      <c r="R1604" s="127"/>
      <c r="S1604" s="127"/>
      <c r="T1604" s="127"/>
      <c r="U1604" s="127"/>
      <c r="V1604" s="127"/>
      <c r="W1604" s="127"/>
      <c r="X1604" s="127"/>
      <c r="Y1604" s="127"/>
      <c r="Z1604" s="140" t="s">
        <v>33</v>
      </c>
    </row>
    <row r="1605" spans="1:26" x14ac:dyDescent="0.25">
      <c r="A1605" s="203">
        <f t="shared" si="32"/>
        <v>1604</v>
      </c>
      <c r="B1605" s="128"/>
      <c r="C1605" s="263"/>
      <c r="D1605" s="262"/>
      <c r="E1605" s="128"/>
      <c r="F1605" s="138" t="s">
        <v>1933</v>
      </c>
      <c r="G1605" s="131"/>
      <c r="H1605" s="128"/>
      <c r="I1605" s="132" t="s">
        <v>1803</v>
      </c>
      <c r="J1605" s="133">
        <v>20</v>
      </c>
      <c r="K1605" s="129">
        <v>1</v>
      </c>
      <c r="L1605" s="129">
        <v>13</v>
      </c>
      <c r="M1605" s="129" t="s">
        <v>82</v>
      </c>
      <c r="N1605" s="129" t="s">
        <v>83</v>
      </c>
      <c r="O1605" s="139"/>
      <c r="P1605" s="127"/>
      <c r="Q1605" s="127"/>
      <c r="R1605" s="127"/>
      <c r="S1605" s="127"/>
      <c r="T1605" s="127"/>
      <c r="U1605" s="127"/>
      <c r="V1605" s="127"/>
      <c r="W1605" s="127"/>
      <c r="X1605" s="127"/>
      <c r="Y1605" s="127"/>
      <c r="Z1605" s="140" t="s">
        <v>33</v>
      </c>
    </row>
    <row r="1606" spans="1:26" x14ac:dyDescent="0.25">
      <c r="A1606" s="203">
        <f t="shared" si="32"/>
        <v>1605</v>
      </c>
      <c r="B1606" s="128"/>
      <c r="C1606" s="263"/>
      <c r="D1606" s="262"/>
      <c r="E1606" s="128"/>
      <c r="F1606" s="138" t="s">
        <v>1933</v>
      </c>
      <c r="G1606" s="131"/>
      <c r="H1606" s="128"/>
      <c r="I1606" s="132" t="s">
        <v>1803</v>
      </c>
      <c r="J1606" s="133">
        <v>20</v>
      </c>
      <c r="K1606" s="129">
        <v>1</v>
      </c>
      <c r="L1606" s="129">
        <v>14</v>
      </c>
      <c r="M1606" s="129" t="s">
        <v>82</v>
      </c>
      <c r="N1606" s="129" t="s">
        <v>83</v>
      </c>
      <c r="O1606" s="139"/>
      <c r="P1606" s="127"/>
      <c r="Q1606" s="127"/>
      <c r="R1606" s="127"/>
      <c r="S1606" s="127"/>
      <c r="T1606" s="127"/>
      <c r="U1606" s="127"/>
      <c r="V1606" s="127"/>
      <c r="W1606" s="127"/>
      <c r="X1606" s="127"/>
      <c r="Y1606" s="127"/>
      <c r="Z1606" s="140" t="s">
        <v>33</v>
      </c>
    </row>
    <row r="1607" spans="1:26" x14ac:dyDescent="0.25">
      <c r="A1607" s="203">
        <f t="shared" si="32"/>
        <v>1606</v>
      </c>
      <c r="B1607" s="128"/>
      <c r="C1607" s="263"/>
      <c r="D1607" s="262"/>
      <c r="E1607" s="128"/>
      <c r="F1607" s="138" t="s">
        <v>1933</v>
      </c>
      <c r="G1607" s="131"/>
      <c r="H1607" s="128"/>
      <c r="I1607" s="132" t="s">
        <v>1803</v>
      </c>
      <c r="J1607" s="133">
        <v>20</v>
      </c>
      <c r="K1607" s="129">
        <v>1</v>
      </c>
      <c r="L1607" s="129">
        <v>15</v>
      </c>
      <c r="M1607" s="129" t="s">
        <v>82</v>
      </c>
      <c r="N1607" s="129" t="s">
        <v>83</v>
      </c>
      <c r="O1607" s="139"/>
      <c r="P1607" s="127"/>
      <c r="Q1607" s="127"/>
      <c r="R1607" s="127"/>
      <c r="S1607" s="127"/>
      <c r="T1607" s="127"/>
      <c r="U1607" s="127"/>
      <c r="V1607" s="127"/>
      <c r="W1607" s="127"/>
      <c r="X1607" s="127"/>
      <c r="Y1607" s="127"/>
      <c r="Z1607" s="140" t="s">
        <v>33</v>
      </c>
    </row>
    <row r="1608" spans="1:26" x14ac:dyDescent="0.25">
      <c r="A1608" s="203">
        <f t="shared" si="32"/>
        <v>1607</v>
      </c>
      <c r="B1608" s="128"/>
      <c r="C1608" s="263"/>
      <c r="D1608" s="262"/>
      <c r="E1608" s="128"/>
      <c r="F1608" s="138" t="s">
        <v>1933</v>
      </c>
      <c r="G1608" s="131"/>
      <c r="H1608" s="128"/>
      <c r="I1608" s="132" t="s">
        <v>1803</v>
      </c>
      <c r="J1608" s="133">
        <v>20</v>
      </c>
      <c r="K1608" s="129">
        <v>3</v>
      </c>
      <c r="L1608" s="129">
        <v>1</v>
      </c>
      <c r="M1608" s="129" t="s">
        <v>658</v>
      </c>
      <c r="N1608" s="129" t="s">
        <v>659</v>
      </c>
      <c r="O1608" s="139"/>
      <c r="P1608" s="127"/>
      <c r="Q1608" s="127"/>
      <c r="R1608" s="127"/>
      <c r="S1608" s="127"/>
      <c r="T1608" s="127"/>
      <c r="U1608" s="127"/>
      <c r="V1608" s="127"/>
      <c r="W1608" s="127"/>
      <c r="X1608" s="127"/>
      <c r="Y1608" s="127"/>
      <c r="Z1608" s="140" t="s">
        <v>33</v>
      </c>
    </row>
    <row r="1609" spans="1:26" x14ac:dyDescent="0.25">
      <c r="A1609" s="203">
        <f t="shared" si="32"/>
        <v>1608</v>
      </c>
      <c r="B1609" s="128"/>
      <c r="C1609" s="263"/>
      <c r="D1609" s="262"/>
      <c r="E1609" s="128"/>
      <c r="F1609" s="138" t="s">
        <v>1933</v>
      </c>
      <c r="G1609" s="131"/>
      <c r="H1609" s="128"/>
      <c r="I1609" s="132" t="s">
        <v>1803</v>
      </c>
      <c r="J1609" s="133">
        <v>20</v>
      </c>
      <c r="K1609" s="129">
        <v>3</v>
      </c>
      <c r="L1609" s="129">
        <v>2</v>
      </c>
      <c r="M1609" s="129" t="s">
        <v>658</v>
      </c>
      <c r="N1609" s="129" t="s">
        <v>659</v>
      </c>
      <c r="O1609" s="139"/>
      <c r="P1609" s="127"/>
      <c r="Q1609" s="127"/>
      <c r="R1609" s="127"/>
      <c r="S1609" s="127"/>
      <c r="T1609" s="127"/>
      <c r="U1609" s="127"/>
      <c r="V1609" s="127"/>
      <c r="W1609" s="127"/>
      <c r="X1609" s="127"/>
      <c r="Y1609" s="127"/>
      <c r="Z1609" s="140" t="s">
        <v>33</v>
      </c>
    </row>
    <row r="1610" spans="1:26" x14ac:dyDescent="0.25">
      <c r="A1610" s="203">
        <f t="shared" si="32"/>
        <v>1609</v>
      </c>
      <c r="B1610" s="128"/>
      <c r="C1610" s="263"/>
      <c r="D1610" s="262"/>
      <c r="E1610" s="128"/>
      <c r="F1610" s="138" t="s">
        <v>1933</v>
      </c>
      <c r="G1610" s="131"/>
      <c r="H1610" s="128"/>
      <c r="I1610" s="132" t="s">
        <v>1803</v>
      </c>
      <c r="J1610" s="133">
        <v>20</v>
      </c>
      <c r="K1610" s="129">
        <v>3</v>
      </c>
      <c r="L1610" s="129">
        <v>3</v>
      </c>
      <c r="M1610" s="129" t="s">
        <v>658</v>
      </c>
      <c r="N1610" s="129" t="s">
        <v>659</v>
      </c>
      <c r="O1610" s="139"/>
      <c r="P1610" s="127"/>
      <c r="Q1610" s="127"/>
      <c r="R1610" s="127"/>
      <c r="S1610" s="127"/>
      <c r="T1610" s="127"/>
      <c r="U1610" s="127"/>
      <c r="V1610" s="127"/>
      <c r="W1610" s="127"/>
      <c r="X1610" s="127"/>
      <c r="Y1610" s="127"/>
      <c r="Z1610" s="140" t="s">
        <v>33</v>
      </c>
    </row>
    <row r="1611" spans="1:26" x14ac:dyDescent="0.25">
      <c r="A1611" s="203">
        <f t="shared" si="32"/>
        <v>1610</v>
      </c>
      <c r="B1611" s="128"/>
      <c r="C1611" s="263"/>
      <c r="D1611" s="262"/>
      <c r="E1611" s="128"/>
      <c r="F1611" s="138" t="s">
        <v>1933</v>
      </c>
      <c r="G1611" s="131"/>
      <c r="H1611" s="128"/>
      <c r="I1611" s="132" t="s">
        <v>1803</v>
      </c>
      <c r="J1611" s="133">
        <v>20</v>
      </c>
      <c r="K1611" s="129">
        <v>3</v>
      </c>
      <c r="L1611" s="129">
        <v>4</v>
      </c>
      <c r="M1611" s="129" t="s">
        <v>658</v>
      </c>
      <c r="N1611" s="129" t="s">
        <v>659</v>
      </c>
      <c r="O1611" s="139"/>
      <c r="P1611" s="127"/>
      <c r="Q1611" s="127"/>
      <c r="R1611" s="127"/>
      <c r="S1611" s="127"/>
      <c r="T1611" s="127"/>
      <c r="U1611" s="127"/>
      <c r="V1611" s="127"/>
      <c r="W1611" s="127"/>
      <c r="X1611" s="127"/>
      <c r="Y1611" s="127"/>
      <c r="Z1611" s="140" t="s">
        <v>33</v>
      </c>
    </row>
    <row r="1612" spans="1:26" x14ac:dyDescent="0.25">
      <c r="A1612" s="203">
        <f t="shared" si="32"/>
        <v>1611</v>
      </c>
      <c r="B1612" s="128"/>
      <c r="C1612" s="263"/>
      <c r="D1612" s="262"/>
      <c r="E1612" s="128"/>
      <c r="F1612" s="138" t="s">
        <v>1933</v>
      </c>
      <c r="G1612" s="131"/>
      <c r="H1612" s="128"/>
      <c r="I1612" s="132" t="s">
        <v>1803</v>
      </c>
      <c r="J1612" s="133">
        <v>20</v>
      </c>
      <c r="K1612" s="129">
        <v>3</v>
      </c>
      <c r="L1612" s="129">
        <v>5</v>
      </c>
      <c r="M1612" s="129" t="s">
        <v>658</v>
      </c>
      <c r="N1612" s="129" t="s">
        <v>659</v>
      </c>
      <c r="O1612" s="139"/>
      <c r="P1612" s="127"/>
      <c r="Q1612" s="127"/>
      <c r="R1612" s="127"/>
      <c r="S1612" s="127"/>
      <c r="T1612" s="127"/>
      <c r="U1612" s="127"/>
      <c r="V1612" s="127"/>
      <c r="W1612" s="127"/>
      <c r="X1612" s="127"/>
      <c r="Y1612" s="127"/>
      <c r="Z1612" s="140" t="s">
        <v>33</v>
      </c>
    </row>
    <row r="1613" spans="1:26" x14ac:dyDescent="0.25">
      <c r="A1613" s="203">
        <f t="shared" si="32"/>
        <v>1612</v>
      </c>
      <c r="B1613" s="128"/>
      <c r="C1613" s="263"/>
      <c r="D1613" s="262"/>
      <c r="E1613" s="128"/>
      <c r="F1613" s="138" t="s">
        <v>1933</v>
      </c>
      <c r="G1613" s="131"/>
      <c r="H1613" s="128"/>
      <c r="I1613" s="132" t="s">
        <v>1803</v>
      </c>
      <c r="J1613" s="133">
        <v>20</v>
      </c>
      <c r="K1613" s="129">
        <v>3</v>
      </c>
      <c r="L1613" s="129">
        <v>6</v>
      </c>
      <c r="M1613" s="129" t="s">
        <v>658</v>
      </c>
      <c r="N1613" s="129" t="s">
        <v>659</v>
      </c>
      <c r="O1613" s="139"/>
      <c r="P1613" s="127"/>
      <c r="Q1613" s="127"/>
      <c r="R1613" s="127"/>
      <c r="S1613" s="127"/>
      <c r="T1613" s="127"/>
      <c r="U1613" s="127"/>
      <c r="V1613" s="127"/>
      <c r="W1613" s="127"/>
      <c r="X1613" s="127"/>
      <c r="Y1613" s="127"/>
      <c r="Z1613" s="140" t="s">
        <v>33</v>
      </c>
    </row>
    <row r="1614" spans="1:26" x14ac:dyDescent="0.25">
      <c r="A1614" s="203">
        <f t="shared" si="32"/>
        <v>1613</v>
      </c>
      <c r="B1614" s="128"/>
      <c r="C1614" s="263"/>
      <c r="D1614" s="262"/>
      <c r="E1614" s="128"/>
      <c r="F1614" s="138" t="s">
        <v>1933</v>
      </c>
      <c r="G1614" s="131"/>
      <c r="H1614" s="128"/>
      <c r="I1614" s="132" t="s">
        <v>1803</v>
      </c>
      <c r="J1614" s="133">
        <v>20</v>
      </c>
      <c r="K1614" s="129">
        <v>3</v>
      </c>
      <c r="L1614" s="129">
        <v>7</v>
      </c>
      <c r="M1614" s="129" t="s">
        <v>658</v>
      </c>
      <c r="N1614" s="129" t="s">
        <v>659</v>
      </c>
      <c r="O1614" s="139"/>
      <c r="P1614" s="127"/>
      <c r="Q1614" s="127"/>
      <c r="R1614" s="127"/>
      <c r="S1614" s="127"/>
      <c r="T1614" s="127"/>
      <c r="U1614" s="127"/>
      <c r="V1614" s="127"/>
      <c r="W1614" s="127"/>
      <c r="X1614" s="127"/>
      <c r="Y1614" s="127"/>
      <c r="Z1614" s="140" t="s">
        <v>33</v>
      </c>
    </row>
    <row r="1615" spans="1:26" x14ac:dyDescent="0.25">
      <c r="A1615" s="203">
        <f t="shared" si="32"/>
        <v>1614</v>
      </c>
      <c r="B1615" s="128"/>
      <c r="C1615" s="263"/>
      <c r="D1615" s="262"/>
      <c r="E1615" s="128"/>
      <c r="F1615" s="138" t="s">
        <v>1933</v>
      </c>
      <c r="G1615" s="131"/>
      <c r="H1615" s="128"/>
      <c r="I1615" s="132" t="s">
        <v>1803</v>
      </c>
      <c r="J1615" s="133">
        <v>20</v>
      </c>
      <c r="K1615" s="129">
        <v>4</v>
      </c>
      <c r="L1615" s="129">
        <v>1</v>
      </c>
      <c r="M1615" s="129" t="s">
        <v>664</v>
      </c>
      <c r="N1615" s="129" t="s">
        <v>665</v>
      </c>
      <c r="O1615" s="139"/>
      <c r="P1615" s="127"/>
      <c r="Q1615" s="127"/>
      <c r="R1615" s="127"/>
      <c r="S1615" s="127"/>
      <c r="T1615" s="127"/>
      <c r="U1615" s="127"/>
      <c r="V1615" s="127"/>
      <c r="W1615" s="127"/>
      <c r="X1615" s="127"/>
      <c r="Y1615" s="127"/>
      <c r="Z1615" s="140" t="s">
        <v>33</v>
      </c>
    </row>
    <row r="1616" spans="1:26" x14ac:dyDescent="0.25">
      <c r="A1616" s="203">
        <f t="shared" si="32"/>
        <v>1615</v>
      </c>
      <c r="B1616" s="128"/>
      <c r="C1616" s="263"/>
      <c r="D1616" s="262"/>
      <c r="E1616" s="128"/>
      <c r="F1616" s="138" t="s">
        <v>1933</v>
      </c>
      <c r="G1616" s="131"/>
      <c r="H1616" s="128"/>
      <c r="I1616" s="132" t="s">
        <v>1803</v>
      </c>
      <c r="J1616" s="133">
        <v>20</v>
      </c>
      <c r="K1616" s="129">
        <v>4</v>
      </c>
      <c r="L1616" s="129">
        <v>2</v>
      </c>
      <c r="M1616" s="129" t="s">
        <v>664</v>
      </c>
      <c r="N1616" s="129" t="s">
        <v>665</v>
      </c>
      <c r="O1616" s="139"/>
      <c r="P1616" s="127"/>
      <c r="Q1616" s="127"/>
      <c r="R1616" s="127"/>
      <c r="S1616" s="127"/>
      <c r="T1616" s="127"/>
      <c r="U1616" s="127"/>
      <c r="V1616" s="127"/>
      <c r="W1616" s="127"/>
      <c r="X1616" s="127"/>
      <c r="Y1616" s="127"/>
      <c r="Z1616" s="140" t="s">
        <v>33</v>
      </c>
    </row>
    <row r="1617" spans="1:26" x14ac:dyDescent="0.25">
      <c r="A1617" s="203">
        <f t="shared" si="32"/>
        <v>1616</v>
      </c>
      <c r="B1617" s="128"/>
      <c r="C1617" s="263"/>
      <c r="D1617" s="262"/>
      <c r="E1617" s="128"/>
      <c r="F1617" s="138" t="s">
        <v>1933</v>
      </c>
      <c r="G1617" s="131"/>
      <c r="H1617" s="128"/>
      <c r="I1617" s="132" t="s">
        <v>1803</v>
      </c>
      <c r="J1617" s="133">
        <v>20</v>
      </c>
      <c r="K1617" s="129">
        <v>4</v>
      </c>
      <c r="L1617" s="129">
        <v>3</v>
      </c>
      <c r="M1617" s="129" t="s">
        <v>664</v>
      </c>
      <c r="N1617" s="129" t="s">
        <v>665</v>
      </c>
      <c r="O1617" s="139"/>
      <c r="P1617" s="127"/>
      <c r="Q1617" s="127"/>
      <c r="R1617" s="127"/>
      <c r="S1617" s="127"/>
      <c r="T1617" s="127"/>
      <c r="U1617" s="127"/>
      <c r="V1617" s="127"/>
      <c r="W1617" s="127"/>
      <c r="X1617" s="127"/>
      <c r="Y1617" s="127"/>
      <c r="Z1617" s="140" t="s">
        <v>33</v>
      </c>
    </row>
    <row r="1618" spans="1:26" s="136" customFormat="1" x14ac:dyDescent="0.25">
      <c r="A1618" s="203">
        <f t="shared" si="32"/>
        <v>1617</v>
      </c>
      <c r="B1618" s="128"/>
      <c r="C1618" s="263"/>
      <c r="D1618" s="262"/>
      <c r="E1618" s="128"/>
      <c r="F1618" s="138" t="s">
        <v>1933</v>
      </c>
      <c r="G1618" s="131"/>
      <c r="H1618" s="128"/>
      <c r="I1618" s="132" t="s">
        <v>1803</v>
      </c>
      <c r="J1618" s="133">
        <v>20</v>
      </c>
      <c r="K1618" s="129">
        <v>4</v>
      </c>
      <c r="L1618" s="129">
        <v>4</v>
      </c>
      <c r="M1618" s="129" t="s">
        <v>664</v>
      </c>
      <c r="N1618" s="129" t="s">
        <v>665</v>
      </c>
      <c r="O1618" s="139"/>
      <c r="P1618" s="127"/>
      <c r="Q1618" s="127"/>
      <c r="R1618" s="127"/>
      <c r="S1618" s="127"/>
      <c r="T1618" s="127"/>
      <c r="U1618" s="127"/>
      <c r="V1618" s="127"/>
      <c r="W1618" s="127"/>
      <c r="X1618" s="127"/>
      <c r="Y1618" s="127"/>
      <c r="Z1618" s="140" t="s">
        <v>33</v>
      </c>
    </row>
    <row r="1619" spans="1:26" x14ac:dyDescent="0.25">
      <c r="A1619" s="203">
        <f t="shared" si="32"/>
        <v>1618</v>
      </c>
      <c r="B1619" s="128"/>
      <c r="C1619" s="263"/>
      <c r="D1619" s="262"/>
      <c r="E1619" s="128"/>
      <c r="F1619" s="138" t="s">
        <v>1933</v>
      </c>
      <c r="G1619" s="131"/>
      <c r="H1619" s="128"/>
      <c r="I1619" s="132" t="s">
        <v>1803</v>
      </c>
      <c r="J1619" s="133">
        <v>20</v>
      </c>
      <c r="K1619" s="129">
        <v>4</v>
      </c>
      <c r="L1619" s="129">
        <v>5</v>
      </c>
      <c r="M1619" s="129" t="s">
        <v>664</v>
      </c>
      <c r="N1619" s="129" t="s">
        <v>665</v>
      </c>
      <c r="O1619" s="139"/>
      <c r="P1619" s="127"/>
      <c r="Q1619" s="127"/>
      <c r="R1619" s="127"/>
      <c r="S1619" s="127"/>
      <c r="T1619" s="127"/>
      <c r="U1619" s="127"/>
      <c r="V1619" s="127"/>
      <c r="W1619" s="127"/>
      <c r="X1619" s="127"/>
      <c r="Y1619" s="127"/>
      <c r="Z1619" s="140" t="s">
        <v>33</v>
      </c>
    </row>
    <row r="1620" spans="1:26" x14ac:dyDescent="0.25">
      <c r="A1620" s="203">
        <f t="shared" si="32"/>
        <v>1619</v>
      </c>
      <c r="B1620" s="128"/>
      <c r="C1620" s="263"/>
      <c r="D1620" s="262"/>
      <c r="E1620" s="128"/>
      <c r="F1620" s="138" t="s">
        <v>1933</v>
      </c>
      <c r="G1620" s="131"/>
      <c r="H1620" s="128"/>
      <c r="I1620" s="132" t="s">
        <v>1803</v>
      </c>
      <c r="J1620" s="133">
        <v>20</v>
      </c>
      <c r="K1620" s="129">
        <v>4</v>
      </c>
      <c r="L1620" s="129">
        <v>6</v>
      </c>
      <c r="M1620" s="129" t="s">
        <v>664</v>
      </c>
      <c r="N1620" s="129" t="s">
        <v>665</v>
      </c>
      <c r="O1620" s="139"/>
      <c r="P1620" s="127"/>
      <c r="Q1620" s="127"/>
      <c r="R1620" s="127"/>
      <c r="S1620" s="127"/>
      <c r="T1620" s="127"/>
      <c r="U1620" s="127"/>
      <c r="V1620" s="127"/>
      <c r="W1620" s="127"/>
      <c r="X1620" s="127"/>
      <c r="Y1620" s="127"/>
      <c r="Z1620" s="140" t="s">
        <v>33</v>
      </c>
    </row>
    <row r="1621" spans="1:26" x14ac:dyDescent="0.25">
      <c r="A1621" s="203">
        <f t="shared" si="32"/>
        <v>1620</v>
      </c>
      <c r="B1621" s="128"/>
      <c r="C1621" s="263"/>
      <c r="D1621" s="262"/>
      <c r="E1621" s="128"/>
      <c r="F1621" s="138" t="s">
        <v>1933</v>
      </c>
      <c r="G1621" s="131"/>
      <c r="H1621" s="128"/>
      <c r="I1621" s="132" t="s">
        <v>1803</v>
      </c>
      <c r="J1621" s="133">
        <v>20</v>
      </c>
      <c r="K1621" s="129">
        <v>4</v>
      </c>
      <c r="L1621" s="129">
        <v>7</v>
      </c>
      <c r="M1621" s="129" t="s">
        <v>664</v>
      </c>
      <c r="N1621" s="129" t="s">
        <v>665</v>
      </c>
      <c r="O1621" s="139"/>
      <c r="P1621" s="127"/>
      <c r="Q1621" s="127"/>
      <c r="R1621" s="127"/>
      <c r="S1621" s="127"/>
      <c r="T1621" s="127"/>
      <c r="U1621" s="127"/>
      <c r="V1621" s="127"/>
      <c r="W1621" s="127"/>
      <c r="X1621" s="127"/>
      <c r="Y1621" s="127"/>
      <c r="Z1621" s="140" t="s">
        <v>33</v>
      </c>
    </row>
    <row r="1622" spans="1:26" x14ac:dyDescent="0.25">
      <c r="A1622" s="203"/>
      <c r="B1622" s="128"/>
      <c r="C1622" s="263"/>
      <c r="D1622" s="262"/>
      <c r="E1622" s="128"/>
      <c r="F1622" s="138"/>
      <c r="G1622" s="131"/>
      <c r="H1622" s="128"/>
      <c r="I1622" s="132"/>
      <c r="J1622" s="129"/>
      <c r="K1622" s="129"/>
      <c r="L1622" s="129"/>
      <c r="M1622" s="129"/>
      <c r="N1622" s="129"/>
      <c r="O1622" s="139"/>
      <c r="P1622" s="127"/>
      <c r="Z1622" s="166"/>
    </row>
    <row r="1623" spans="1:26" x14ac:dyDescent="0.25">
      <c r="A1623" s="204"/>
      <c r="B1623" s="205"/>
      <c r="C1623" s="266"/>
      <c r="D1623" s="281"/>
      <c r="E1623" s="205"/>
      <c r="F1623" s="207"/>
      <c r="G1623" s="208"/>
      <c r="H1623" s="205"/>
      <c r="I1623" s="209"/>
      <c r="J1623" s="206"/>
      <c r="K1623" s="206"/>
      <c r="L1623" s="206"/>
      <c r="M1623" s="206"/>
      <c r="N1623" s="206"/>
      <c r="O1623" s="210"/>
      <c r="P1623" s="211"/>
      <c r="Q1623" s="211"/>
      <c r="R1623" s="211"/>
      <c r="S1623" s="211"/>
      <c r="T1623" s="211"/>
      <c r="U1623" s="211"/>
      <c r="V1623" s="211"/>
      <c r="W1623" s="211"/>
      <c r="X1623" s="211"/>
      <c r="Y1623" s="211"/>
      <c r="Z1623" s="212"/>
    </row>
    <row r="1624" spans="1:26" x14ac:dyDescent="0.25">
      <c r="O1624" s="167"/>
      <c r="Z1624" s="166"/>
    </row>
    <row r="1625" spans="1:26" x14ac:dyDescent="0.25">
      <c r="O1625" s="167"/>
      <c r="Z1625" s="166"/>
    </row>
    <row r="1626" spans="1:26" x14ac:dyDescent="0.25">
      <c r="O1626" s="167"/>
      <c r="Z1626" s="166"/>
    </row>
    <row r="1627" spans="1:26" ht="15.75" customHeight="1" thickBot="1" x14ac:dyDescent="0.3">
      <c r="O1627" s="167"/>
      <c r="Z1627" s="166"/>
    </row>
    <row r="1628" spans="1:26" ht="55.5" customHeight="1" thickBot="1" x14ac:dyDescent="0.3">
      <c r="C1628" s="288" t="s">
        <v>1991</v>
      </c>
      <c r="D1628" s="289"/>
      <c r="L1628" s="169"/>
      <c r="M1628" s="170"/>
      <c r="N1628" s="171" t="s">
        <v>1992</v>
      </c>
      <c r="O1628" s="172" t="s">
        <v>1993</v>
      </c>
      <c r="P1628" s="173" t="s">
        <v>15</v>
      </c>
      <c r="Q1628" s="173" t="s">
        <v>16</v>
      </c>
      <c r="R1628" s="173" t="s">
        <v>17</v>
      </c>
      <c r="S1628" s="173" t="s">
        <v>18</v>
      </c>
      <c r="T1628" s="173" t="s">
        <v>19</v>
      </c>
      <c r="U1628" s="173" t="s">
        <v>20</v>
      </c>
      <c r="V1628" s="173" t="s">
        <v>21</v>
      </c>
      <c r="W1628" s="173" t="s">
        <v>22</v>
      </c>
      <c r="X1628" s="174" t="s">
        <v>23</v>
      </c>
      <c r="Y1628" s="174" t="s">
        <v>24</v>
      </c>
    </row>
    <row r="1629" spans="1:26" ht="21" customHeight="1" x14ac:dyDescent="0.35">
      <c r="C1629" s="268" t="s">
        <v>138</v>
      </c>
      <c r="D1629" s="283">
        <f t="shared" ref="D1629:D1635" si="33">COUNTIFS($C$3:$C$1623, "&lt;&gt;", $M$3:$M$1623, C1629)</f>
        <v>218</v>
      </c>
      <c r="L1629" s="169"/>
      <c r="M1629" s="170"/>
      <c r="N1629" s="176" t="s">
        <v>1994</v>
      </c>
      <c r="O1629" s="177"/>
      <c r="P1629" s="129">
        <f>COUNTIFS(C3:C1623, "&lt;&gt;", P3:P1623,"&lt;&gt;")</f>
        <v>0</v>
      </c>
      <c r="Q1629" s="129">
        <f>COUNTIFS(C3:C1623, "&lt;&gt;", Q3:Q1623,"&lt;&gt;")</f>
        <v>0</v>
      </c>
      <c r="R1629" s="129">
        <f>COUNTIFS(C3:C1623, "&lt;&gt;", R3:R1623,"Y")</f>
        <v>0</v>
      </c>
      <c r="S1629" s="129">
        <f>COUNTIFS(C3:C1623, "&lt;&gt;", S3:S1623,"&lt;&gt;")</f>
        <v>0</v>
      </c>
      <c r="T1629" s="129">
        <f>COUNTIFS(C3:C1623, "&lt;&gt;", T3:T1623,"&lt;&gt;")</f>
        <v>0</v>
      </c>
      <c r="U1629" s="129">
        <f>COUNTIFS(C3:C1623, "&lt;&gt;", U3:U1623,"&lt;&gt;")</f>
        <v>0</v>
      </c>
      <c r="V1629" s="129">
        <f>COUNTIFS(C3:C1623, "&lt;&gt;", V3:V1623,"&lt;&gt;")</f>
        <v>0</v>
      </c>
      <c r="W1629" s="129">
        <f>COUNTIFS(C3:C1623, "&lt;&gt;", W3:W1623,"&lt;&gt;")</f>
        <v>0</v>
      </c>
      <c r="X1629" s="129">
        <f>COUNTIFS(C3:C1623, "&lt;&gt;", X3:X1623,"&lt;&gt;")</f>
        <v>0</v>
      </c>
      <c r="Y1629" s="129">
        <f>COUNTIFS(C3:C1623, "&lt;&gt;", Y3:Y1623,"Y")</f>
        <v>0</v>
      </c>
      <c r="Z1629" s="178"/>
    </row>
    <row r="1630" spans="1:26" ht="21" customHeight="1" x14ac:dyDescent="0.35">
      <c r="C1630" s="269" t="s">
        <v>944</v>
      </c>
      <c r="D1630" s="284">
        <f t="shared" si="33"/>
        <v>8</v>
      </c>
      <c r="L1630" s="169"/>
      <c r="M1630" s="170"/>
      <c r="N1630" s="176" t="s">
        <v>1995</v>
      </c>
      <c r="O1630" s="177"/>
      <c r="P1630" s="129">
        <f>COUNTIF(C3:C1623,"*?")</f>
        <v>830</v>
      </c>
      <c r="Q1630" s="129">
        <f>COUNTIF(C3:C1623,"*?")</f>
        <v>830</v>
      </c>
      <c r="R1630" s="129">
        <f>COUNTIF(C3:C1623,"*XV*")+COUNTIF(C3:C1623,"*XY-*")+COUNTIF(C3:C1623,"*YS*")+COUNTIF(C3:C1623,"*CV*")</f>
        <v>176</v>
      </c>
      <c r="S1630" s="129">
        <f>COUNTIF(C3:C1623,"*?")</f>
        <v>830</v>
      </c>
      <c r="T1630" s="129">
        <f>COUNTIF(C3:C1623,"*?")</f>
        <v>830</v>
      </c>
      <c r="U1630" s="129">
        <f>COUNTIF(C3:C1623,"*?")</f>
        <v>830</v>
      </c>
      <c r="V1630" s="129">
        <f>COUNTIF(C3:C1623,"*?")</f>
        <v>830</v>
      </c>
      <c r="W1630" s="129">
        <f>COUNTIF(C3:C1623,"*?")</f>
        <v>830</v>
      </c>
      <c r="X1630" s="129">
        <f>COUNTIF(C3:C1623,"*?")</f>
        <v>830</v>
      </c>
      <c r="Y1630" s="129">
        <f>COUNTIFS(C3:C1623, "&lt;&gt;", X3:X1623,"&lt;&gt;")</f>
        <v>0</v>
      </c>
      <c r="Z1630" s="178"/>
    </row>
    <row r="1631" spans="1:26" ht="21" customHeight="1" x14ac:dyDescent="0.35">
      <c r="C1631" s="269" t="s">
        <v>31</v>
      </c>
      <c r="D1631" s="284">
        <f t="shared" si="33"/>
        <v>256</v>
      </c>
      <c r="L1631" s="169"/>
      <c r="M1631" s="170"/>
      <c r="N1631" s="176" t="s">
        <v>1996</v>
      </c>
      <c r="O1631" s="177"/>
      <c r="P1631" s="179">
        <f t="shared" ref="P1631:X1631" si="34">P1629/P1630</f>
        <v>0</v>
      </c>
      <c r="Q1631" s="179">
        <f t="shared" si="34"/>
        <v>0</v>
      </c>
      <c r="R1631" s="179">
        <f t="shared" si="34"/>
        <v>0</v>
      </c>
      <c r="S1631" s="179">
        <f t="shared" si="34"/>
        <v>0</v>
      </c>
      <c r="T1631" s="179">
        <f t="shared" si="34"/>
        <v>0</v>
      </c>
      <c r="U1631" s="179">
        <f t="shared" si="34"/>
        <v>0</v>
      </c>
      <c r="V1631" s="179">
        <f t="shared" si="34"/>
        <v>0</v>
      </c>
      <c r="W1631" s="179">
        <f t="shared" si="34"/>
        <v>0</v>
      </c>
      <c r="X1631" s="179">
        <f t="shared" si="34"/>
        <v>0</v>
      </c>
      <c r="Y1631" s="179">
        <f>IFERROR(Y1629/Y1630,0)</f>
        <v>0</v>
      </c>
      <c r="Z1631" s="178"/>
    </row>
    <row r="1632" spans="1:26" ht="21" customHeight="1" x14ac:dyDescent="0.35">
      <c r="A1632" s="136"/>
      <c r="B1632" s="165"/>
      <c r="C1632" s="269" t="s">
        <v>82</v>
      </c>
      <c r="D1632" s="284">
        <f t="shared" si="33"/>
        <v>242</v>
      </c>
      <c r="F1632" s="167"/>
      <c r="G1632" s="167"/>
      <c r="J1632" s="136"/>
      <c r="K1632" s="136"/>
      <c r="L1632" s="180"/>
      <c r="M1632" s="181"/>
      <c r="N1632" s="176" t="s">
        <v>1997</v>
      </c>
      <c r="O1632" s="177"/>
      <c r="P1632" s="179">
        <f t="shared" ref="P1632:Y1632" si="35">1-P1631</f>
        <v>1</v>
      </c>
      <c r="Q1632" s="179">
        <f t="shared" si="35"/>
        <v>1</v>
      </c>
      <c r="R1632" s="179">
        <f t="shared" si="35"/>
        <v>1</v>
      </c>
      <c r="S1632" s="179">
        <f t="shared" si="35"/>
        <v>1</v>
      </c>
      <c r="T1632" s="179">
        <f t="shared" si="35"/>
        <v>1</v>
      </c>
      <c r="U1632" s="179">
        <f t="shared" si="35"/>
        <v>1</v>
      </c>
      <c r="V1632" s="179">
        <f t="shared" si="35"/>
        <v>1</v>
      </c>
      <c r="W1632" s="179">
        <f t="shared" si="35"/>
        <v>1</v>
      </c>
      <c r="X1632" s="179">
        <f t="shared" si="35"/>
        <v>1</v>
      </c>
      <c r="Y1632" s="179">
        <f t="shared" si="35"/>
        <v>1</v>
      </c>
      <c r="Z1632" s="178"/>
    </row>
    <row r="1633" spans="1:26" x14ac:dyDescent="0.25">
      <c r="C1633" s="269" t="s">
        <v>658</v>
      </c>
      <c r="D1633" s="284">
        <f t="shared" si="33"/>
        <v>89</v>
      </c>
      <c r="F1633" s="167"/>
      <c r="G1633" s="167"/>
      <c r="L1633" s="182"/>
      <c r="M1633" s="182"/>
      <c r="N1633" s="182"/>
      <c r="O1633" s="1"/>
      <c r="P1633" s="182"/>
      <c r="Q1633" s="182"/>
      <c r="R1633" s="182"/>
      <c r="S1633" s="182"/>
      <c r="T1633" s="182"/>
      <c r="U1633" s="182"/>
      <c r="V1633" s="182"/>
      <c r="W1633" s="182"/>
      <c r="X1633" s="182"/>
      <c r="Y1633" s="182"/>
      <c r="Z1633" s="166"/>
    </row>
    <row r="1634" spans="1:26" ht="21" customHeight="1" x14ac:dyDescent="0.35">
      <c r="C1634" s="269" t="s">
        <v>664</v>
      </c>
      <c r="D1634" s="284">
        <f t="shared" si="33"/>
        <v>16</v>
      </c>
      <c r="F1634" s="167"/>
      <c r="G1634" s="167"/>
      <c r="L1634" s="169"/>
      <c r="M1634" s="183"/>
      <c r="N1634" s="183" t="s">
        <v>1998</v>
      </c>
      <c r="O1634" s="184"/>
      <c r="P1634" s="170"/>
      <c r="Q1634" s="170"/>
      <c r="R1634" s="170"/>
      <c r="S1634" s="185"/>
      <c r="T1634" s="170"/>
      <c r="U1634" s="170"/>
      <c r="V1634" s="170"/>
      <c r="W1634" s="170"/>
      <c r="X1634" s="170"/>
      <c r="Y1634" s="186"/>
      <c r="Z1634" s="166"/>
    </row>
    <row r="1635" spans="1:26" ht="21" customHeight="1" x14ac:dyDescent="0.35">
      <c r="C1635" s="269" t="s">
        <v>1930</v>
      </c>
      <c r="D1635" s="284">
        <f t="shared" si="33"/>
        <v>1</v>
      </c>
      <c r="F1635" s="167"/>
      <c r="G1635" s="167"/>
      <c r="L1635" s="169"/>
      <c r="M1635" s="170"/>
      <c r="N1635" s="187" t="s">
        <v>1994</v>
      </c>
      <c r="O1635" s="188"/>
      <c r="P1635" s="189">
        <f>COUNTIFS($H$3:$H$1623, "PROC", P3:P1623,"&lt;&gt;")</f>
        <v>0</v>
      </c>
      <c r="Q1635" s="189">
        <f>COUNTIFS($H$3:$H$1623, "PROC", Q3:Q1623,"&lt;&gt;")</f>
        <v>0</v>
      </c>
      <c r="R1635" s="189">
        <f>COUNTIFS($H$3:$H$1623, "PROC", R3:R1623,"Y")</f>
        <v>0</v>
      </c>
      <c r="S1635" s="189">
        <f t="shared" ref="S1635:X1635" si="36">COUNTIFS($H$3:$H$1623, "PROC", S3:S1623,"&lt;&gt;")</f>
        <v>0</v>
      </c>
      <c r="T1635" s="189">
        <f t="shared" si="36"/>
        <v>0</v>
      </c>
      <c r="U1635" s="189">
        <f t="shared" si="36"/>
        <v>0</v>
      </c>
      <c r="V1635" s="189">
        <f t="shared" si="36"/>
        <v>0</v>
      </c>
      <c r="W1635" s="189">
        <f t="shared" si="36"/>
        <v>0</v>
      </c>
      <c r="X1635" s="189">
        <f t="shared" si="36"/>
        <v>0</v>
      </c>
      <c r="Y1635" s="189">
        <f>COUNTIFS($H$3:$H$1623, "PROC", Y3:Y1623,"Y")</f>
        <v>0</v>
      </c>
      <c r="Z1635" s="166"/>
    </row>
    <row r="1636" spans="1:26" ht="21.75" customHeight="1" thickBot="1" x14ac:dyDescent="0.4">
      <c r="C1636" s="270"/>
      <c r="D1636" s="285"/>
      <c r="F1636" s="167"/>
      <c r="G1636" s="167"/>
      <c r="L1636" s="190"/>
      <c r="M1636" s="170"/>
      <c r="N1636" s="187" t="s">
        <v>1995</v>
      </c>
      <c r="O1636" s="188"/>
      <c r="P1636" s="129">
        <f>COUNTIFS($H$3:$H$1623, "PROC",C3:C1623, "&lt;&gt;")</f>
        <v>512</v>
      </c>
      <c r="Q1636" s="129">
        <f>COUNTIFS($H$3:$H$1623, "PROC",C3:C1623, "&lt;&gt;")</f>
        <v>512</v>
      </c>
      <c r="R1636" s="129">
        <f>COUNTIFS($H$3:$H$1623, "PROC",C3:C1623, "*XV*")+COUNTIFS($H$3:$H$1623, "PROC",C3:C1623, "*XY-*")+COUNTIFS($H$3:$H$1623, "PROC",C3:C1623, "*CV*")+COUNTIFS($H$3:$H$1623, "PROC",C3:C1623, "*YS*")</f>
        <v>99</v>
      </c>
      <c r="S1636" s="129">
        <f>COUNTIFS($H$3:$H$1623, "PROC",C3:C1623, "&lt;&gt;")</f>
        <v>512</v>
      </c>
      <c r="T1636" s="129">
        <f>COUNTIFS($H$3:$H$1623, "PROC",C3:C1623, "&lt;&gt;")</f>
        <v>512</v>
      </c>
      <c r="U1636" s="129">
        <f>COUNTIFS($H$3:$H$1623, "PROC",C3:C1623, "&lt;&gt;")</f>
        <v>512</v>
      </c>
      <c r="V1636" s="129">
        <f>COUNTIFS($H$3:$H$1623, "PROC",C3:C1623, "&lt;&gt;")</f>
        <v>512</v>
      </c>
      <c r="W1636" s="129">
        <f>COUNTIFS($H$3:$H$1623, "PROC",C3:C1623, "&lt;&gt;")</f>
        <v>512</v>
      </c>
      <c r="X1636" s="129">
        <f>COUNTIFS($H$3:$H$1623, "PROC",C3:C1623, "&lt;&gt;")</f>
        <v>512</v>
      </c>
      <c r="Y1636" s="129">
        <f>COUNTIFS($H$3:$H$1623, "PROC", X3:X1623,"&lt;&gt;")</f>
        <v>0</v>
      </c>
      <c r="Z1636" s="166"/>
    </row>
    <row r="1637" spans="1:26" ht="21.75" customHeight="1" thickBot="1" x14ac:dyDescent="0.4">
      <c r="C1637" s="271" t="s">
        <v>1999</v>
      </c>
      <c r="D1637" s="286">
        <f>SUM(D1629:D1636)</f>
        <v>830</v>
      </c>
      <c r="F1637" s="167"/>
      <c r="G1637" s="167"/>
      <c r="L1637" s="169"/>
      <c r="M1637" s="170"/>
      <c r="N1637" s="187" t="s">
        <v>1996</v>
      </c>
      <c r="O1637" s="188"/>
      <c r="P1637" s="179">
        <f t="shared" ref="P1637:X1637" si="37">P1635/P1636</f>
        <v>0</v>
      </c>
      <c r="Q1637" s="179">
        <f t="shared" si="37"/>
        <v>0</v>
      </c>
      <c r="R1637" s="179">
        <f t="shared" si="37"/>
        <v>0</v>
      </c>
      <c r="S1637" s="179">
        <f t="shared" si="37"/>
        <v>0</v>
      </c>
      <c r="T1637" s="179">
        <f t="shared" si="37"/>
        <v>0</v>
      </c>
      <c r="U1637" s="179">
        <f t="shared" si="37"/>
        <v>0</v>
      </c>
      <c r="V1637" s="179">
        <f t="shared" si="37"/>
        <v>0</v>
      </c>
      <c r="W1637" s="179">
        <f t="shared" si="37"/>
        <v>0</v>
      </c>
      <c r="X1637" s="179">
        <f t="shared" si="37"/>
        <v>0</v>
      </c>
      <c r="Y1637" s="179">
        <f>IFERROR(Y1635/Y1636,0)</f>
        <v>0</v>
      </c>
      <c r="Z1637" s="166"/>
    </row>
    <row r="1638" spans="1:26" ht="21" customHeight="1" x14ac:dyDescent="0.35">
      <c r="F1638" s="167"/>
      <c r="G1638" s="167"/>
      <c r="L1638" s="169"/>
      <c r="M1638" s="170"/>
      <c r="N1638" s="187" t="s">
        <v>1997</v>
      </c>
      <c r="O1638" s="188"/>
      <c r="P1638" s="179">
        <f t="shared" ref="P1638:Y1638" si="38">1-P1637</f>
        <v>1</v>
      </c>
      <c r="Q1638" s="179">
        <f t="shared" si="38"/>
        <v>1</v>
      </c>
      <c r="R1638" s="179">
        <f t="shared" si="38"/>
        <v>1</v>
      </c>
      <c r="S1638" s="179">
        <f t="shared" si="38"/>
        <v>1</v>
      </c>
      <c r="T1638" s="179">
        <f t="shared" si="38"/>
        <v>1</v>
      </c>
      <c r="U1638" s="179">
        <f t="shared" si="38"/>
        <v>1</v>
      </c>
      <c r="V1638" s="179">
        <f t="shared" si="38"/>
        <v>1</v>
      </c>
      <c r="W1638" s="179">
        <f t="shared" si="38"/>
        <v>1</v>
      </c>
      <c r="X1638" s="179">
        <f t="shared" si="38"/>
        <v>1</v>
      </c>
      <c r="Y1638" s="179">
        <f t="shared" si="38"/>
        <v>1</v>
      </c>
      <c r="Z1638" s="166"/>
    </row>
    <row r="1640" spans="1:26" ht="21" customHeight="1" x14ac:dyDescent="0.35">
      <c r="A1640" s="136"/>
      <c r="B1640" s="122"/>
      <c r="C1640" s="272"/>
      <c r="D1640" s="287"/>
      <c r="E1640" s="122"/>
      <c r="F1640" s="122"/>
      <c r="G1640" s="122"/>
      <c r="H1640" s="122"/>
      <c r="I1640" s="122"/>
      <c r="J1640" s="122"/>
      <c r="K1640" s="122"/>
      <c r="L1640" s="191"/>
      <c r="M1640" s="192"/>
      <c r="N1640" s="183" t="s">
        <v>2000</v>
      </c>
      <c r="O1640" s="192"/>
      <c r="P1640" s="170"/>
      <c r="Q1640" s="170"/>
      <c r="R1640" s="170"/>
      <c r="S1640" s="185"/>
      <c r="T1640" s="170"/>
      <c r="U1640" s="170"/>
      <c r="V1640" s="170"/>
      <c r="W1640" s="170"/>
      <c r="X1640" s="170"/>
      <c r="Y1640" s="186"/>
      <c r="Z1640" s="122"/>
    </row>
    <row r="1641" spans="1:26" ht="21" customHeight="1" x14ac:dyDescent="0.35">
      <c r="L1641" s="191"/>
      <c r="M1641" s="192"/>
      <c r="N1641" s="187" t="s">
        <v>1994</v>
      </c>
      <c r="O1641" s="188"/>
      <c r="P1641" s="129">
        <f>COUNTIFS($H$3:$H$1623, "CHILL", P3:P1623,"&lt;&gt;")</f>
        <v>0</v>
      </c>
      <c r="Q1641" s="129">
        <f>COUNTIFS($H$3:$H$1623, "CHILL", Q3:Q1623,"&lt;&gt;")</f>
        <v>0</v>
      </c>
      <c r="R1641" s="129">
        <f>COUNTIFS($H$3:$H$1623, "CHILL", R3:R1623,"Y")</f>
        <v>0</v>
      </c>
      <c r="S1641" s="129">
        <f t="shared" ref="S1641:X1641" si="39">COUNTIFS($H$3:$H$1623, "CHILL", S3:S1623,"&lt;&gt;")</f>
        <v>0</v>
      </c>
      <c r="T1641" s="129">
        <f t="shared" si="39"/>
        <v>0</v>
      </c>
      <c r="U1641" s="129">
        <f t="shared" si="39"/>
        <v>0</v>
      </c>
      <c r="V1641" s="129">
        <f t="shared" si="39"/>
        <v>0</v>
      </c>
      <c r="W1641" s="129">
        <f t="shared" si="39"/>
        <v>0</v>
      </c>
      <c r="X1641" s="129">
        <f t="shared" si="39"/>
        <v>0</v>
      </c>
      <c r="Y1641" s="129">
        <f>COUNTIFS($H$3:$H$1623, "CHILL", Y3:Y1623,"Y")</f>
        <v>0</v>
      </c>
    </row>
    <row r="1642" spans="1:26" ht="21" customHeight="1" x14ac:dyDescent="0.35">
      <c r="L1642" s="191"/>
      <c r="M1642" s="192"/>
      <c r="N1642" s="187" t="s">
        <v>1995</v>
      </c>
      <c r="O1642" s="188"/>
      <c r="P1642" s="129">
        <f>COUNTIFS($H$3:$H$1623, "CHILL",C3:C1623, "&lt;&gt;")</f>
        <v>128</v>
      </c>
      <c r="Q1642" s="129">
        <f>COUNTIFS($H$3:$H$1623, "CHILL",C3:C1623, "&lt;&gt;")</f>
        <v>128</v>
      </c>
      <c r="R1642" s="129">
        <f>COUNTIFS($H$3:$H$1623, "CHILL",C3:C1623, "*XV*")+COUNTIFS($H$3:$H$1623, "CHILL",C3:C1623, "*XY-*")+COUNTIFS($H$3:$H$1623, "CHILL",C3:C1623, "*CV*")+COUNTIFS($H$3:$H$1623, "CHILL",C3:C1623, "*YS*")</f>
        <v>20</v>
      </c>
      <c r="S1642" s="129">
        <f>COUNTIFS($H$3:$H$1623, "CHILL",C3:C1623, "&lt;&gt;")</f>
        <v>128</v>
      </c>
      <c r="T1642" s="129">
        <f>COUNTIFS($H$3:$H$1623, "CHILL",C3:C1623, "&lt;&gt;")</f>
        <v>128</v>
      </c>
      <c r="U1642" s="129">
        <f>COUNTIFS($H$3:$H$1623, "CHILL",C3:C1623, "&lt;&gt;")</f>
        <v>128</v>
      </c>
      <c r="V1642" s="129">
        <f>COUNTIFS($H$3:$H$1623, "CHILL",C3:C1623, "&lt;&gt;")</f>
        <v>128</v>
      </c>
      <c r="W1642" s="129">
        <f>COUNTIFS($H$3:$H$1623, "CHILL",C3:C1623, "&lt;&gt;")</f>
        <v>128</v>
      </c>
      <c r="X1642" s="129">
        <f>COUNTIFS($H$3:$H$1623, "CHILL",C3:C1623, "&lt;&gt;")</f>
        <v>128</v>
      </c>
      <c r="Y1642" s="129">
        <f>COUNTIFS($H$3:$H$1623, "CHILL", X3:X1623,"&lt;&gt;")</f>
        <v>0</v>
      </c>
    </row>
    <row r="1643" spans="1:26" ht="21" customHeight="1" x14ac:dyDescent="0.35">
      <c r="L1643" s="191"/>
      <c r="M1643" s="192"/>
      <c r="N1643" s="187" t="s">
        <v>1996</v>
      </c>
      <c r="O1643" s="188"/>
      <c r="P1643" s="179">
        <f t="shared" ref="P1643:X1643" si="40">P1641/P1642</f>
        <v>0</v>
      </c>
      <c r="Q1643" s="179">
        <f t="shared" si="40"/>
        <v>0</v>
      </c>
      <c r="R1643" s="179">
        <f t="shared" si="40"/>
        <v>0</v>
      </c>
      <c r="S1643" s="179">
        <f t="shared" si="40"/>
        <v>0</v>
      </c>
      <c r="T1643" s="179">
        <f t="shared" si="40"/>
        <v>0</v>
      </c>
      <c r="U1643" s="179">
        <f t="shared" si="40"/>
        <v>0</v>
      </c>
      <c r="V1643" s="179">
        <f t="shared" si="40"/>
        <v>0</v>
      </c>
      <c r="W1643" s="179">
        <f t="shared" si="40"/>
        <v>0</v>
      </c>
      <c r="X1643" s="179">
        <f t="shared" si="40"/>
        <v>0</v>
      </c>
      <c r="Y1643" s="179">
        <f>IFERROR(Y1641/Y1642,0)</f>
        <v>0</v>
      </c>
    </row>
    <row r="1644" spans="1:26" ht="21" customHeight="1" x14ac:dyDescent="0.35">
      <c r="L1644" s="191"/>
      <c r="M1644" s="192"/>
      <c r="N1644" s="187" t="s">
        <v>1997</v>
      </c>
      <c r="O1644" s="188"/>
      <c r="P1644" s="179">
        <f t="shared" ref="P1644:Y1644" si="41">1-P1643</f>
        <v>1</v>
      </c>
      <c r="Q1644" s="179">
        <f t="shared" si="41"/>
        <v>1</v>
      </c>
      <c r="R1644" s="179">
        <f t="shared" si="41"/>
        <v>1</v>
      </c>
      <c r="S1644" s="179">
        <f t="shared" si="41"/>
        <v>1</v>
      </c>
      <c r="T1644" s="179">
        <f t="shared" si="41"/>
        <v>1</v>
      </c>
      <c r="U1644" s="179">
        <f t="shared" si="41"/>
        <v>1</v>
      </c>
      <c r="V1644" s="179">
        <f t="shared" si="41"/>
        <v>1</v>
      </c>
      <c r="W1644" s="179">
        <f t="shared" si="41"/>
        <v>1</v>
      </c>
      <c r="X1644" s="179">
        <f t="shared" si="41"/>
        <v>1</v>
      </c>
      <c r="Y1644" s="179">
        <f t="shared" si="41"/>
        <v>1</v>
      </c>
    </row>
    <row r="1645" spans="1:26" x14ac:dyDescent="0.25">
      <c r="N1645" s="193"/>
      <c r="O1645" s="194"/>
      <c r="P1645" s="182"/>
      <c r="Q1645" s="182"/>
      <c r="R1645" s="182"/>
      <c r="S1645" s="182"/>
      <c r="T1645" s="182"/>
      <c r="U1645" s="182"/>
      <c r="V1645" s="182"/>
      <c r="W1645" s="182"/>
      <c r="X1645" s="182"/>
      <c r="Y1645" s="182"/>
    </row>
    <row r="1646" spans="1:26" ht="21" customHeight="1" x14ac:dyDescent="0.35">
      <c r="L1646" s="191"/>
      <c r="M1646" s="192"/>
      <c r="N1646" s="183" t="s">
        <v>2001</v>
      </c>
      <c r="O1646" s="192"/>
      <c r="P1646" s="170"/>
      <c r="Q1646" s="170"/>
      <c r="R1646" s="170"/>
      <c r="S1646" s="185"/>
      <c r="T1646" s="170"/>
      <c r="U1646" s="170"/>
      <c r="V1646" s="170"/>
      <c r="W1646" s="170"/>
      <c r="X1646" s="170"/>
      <c r="Y1646" s="186"/>
    </row>
    <row r="1647" spans="1:26" ht="21" customHeight="1" x14ac:dyDescent="0.35">
      <c r="L1647" s="191"/>
      <c r="M1647" s="192"/>
      <c r="N1647" s="187" t="s">
        <v>1994</v>
      </c>
      <c r="O1647" s="188"/>
      <c r="P1647" s="129">
        <f>COUNTIFS($H$3:$H$1623, "INTSL", P3:P1623,"&lt;&gt;")</f>
        <v>0</v>
      </c>
      <c r="Q1647" s="129">
        <f>COUNTIFS($H$3:$H$1623, "INTSL", Q3:Q1623,"&lt;&gt;")</f>
        <v>0</v>
      </c>
      <c r="R1647" s="129">
        <f>COUNTIFS($H$3:$H$1623, "INTSL", R3:R1623,"Y")</f>
        <v>0</v>
      </c>
      <c r="S1647" s="129">
        <f t="shared" ref="S1647:X1647" si="42">COUNTIFS($H$3:$H$1623, "INTSL", S3:S1623,"&lt;&gt;")</f>
        <v>0</v>
      </c>
      <c r="T1647" s="129">
        <f t="shared" si="42"/>
        <v>0</v>
      </c>
      <c r="U1647" s="129">
        <f t="shared" si="42"/>
        <v>0</v>
      </c>
      <c r="V1647" s="129">
        <f t="shared" si="42"/>
        <v>0</v>
      </c>
      <c r="W1647" s="129">
        <f t="shared" si="42"/>
        <v>0</v>
      </c>
      <c r="X1647" s="129">
        <f t="shared" si="42"/>
        <v>0</v>
      </c>
      <c r="Y1647" s="129">
        <f>COUNTIFS($H$3:$H$1623, "INTSL", Y3:Y1623,"Y")</f>
        <v>0</v>
      </c>
    </row>
    <row r="1648" spans="1:26" ht="21" customHeight="1" x14ac:dyDescent="0.35">
      <c r="L1648" s="191"/>
      <c r="M1648" s="192"/>
      <c r="N1648" s="187" t="s">
        <v>1995</v>
      </c>
      <c r="O1648" s="188"/>
      <c r="P1648" s="129">
        <f>COUNTIFS($H$3:$H$1623, "INTSL",C3:C1623, "&lt;&gt;")</f>
        <v>156</v>
      </c>
      <c r="Q1648" s="129">
        <f>COUNTIFS($H$3:$H$1623, "INTSL",C3:C1623, "&lt;&gt;")</f>
        <v>156</v>
      </c>
      <c r="R1648" s="129">
        <f>COUNTIFS($H$3:$H$1623, "INTSL",C3:C1623, "*XV*")+COUNTIFS($H$3:$H$1623, "INTSL",C3:C1623, "*XY-*")+COUNTIFS($H$3:$H$1623, "INTSL",C3:C1623, "*CV*")+COUNTIFS($H$3:$H$1623, "INTSL",C3:C1623, "*YS*")</f>
        <v>51</v>
      </c>
      <c r="S1648" s="129">
        <f>COUNTIFS($H$3:$H$1623, "INTSL",C3:C1623, "&lt;&gt;")</f>
        <v>156</v>
      </c>
      <c r="T1648" s="129">
        <f>COUNTIFS($H$3:$H$1623, "INTSL",C3:C1623, "&lt;&gt;")</f>
        <v>156</v>
      </c>
      <c r="U1648" s="129">
        <f>COUNTIFS($H$3:$H$1623, "INTSL",C3:C1623, "&lt;&gt;")</f>
        <v>156</v>
      </c>
      <c r="V1648" s="129">
        <f>COUNTIFS($H$3:$H$1623, "INTSL",C3:C1623, "&lt;&gt;")</f>
        <v>156</v>
      </c>
      <c r="W1648" s="129">
        <f>COUNTIFS($H$3:$H$1623, "INTSL",C3:C1623, "&lt;&gt;")</f>
        <v>156</v>
      </c>
      <c r="X1648" s="129">
        <f>COUNTIFS($H$3:$H$1623, "INTSL",C3:C1623, "&lt;&gt;")</f>
        <v>156</v>
      </c>
      <c r="Y1648" s="129">
        <f>COUNTIFS($H$3:$H$1623, "INTSL", X3:X1623,"&lt;&gt;")</f>
        <v>0</v>
      </c>
    </row>
    <row r="1649" spans="12:25" ht="21" customHeight="1" x14ac:dyDescent="0.35">
      <c r="L1649" s="191"/>
      <c r="M1649" s="192"/>
      <c r="N1649" s="187" t="s">
        <v>1996</v>
      </c>
      <c r="O1649" s="188"/>
      <c r="P1649" s="179">
        <f t="shared" ref="P1649:X1649" si="43">P1647/P1648</f>
        <v>0</v>
      </c>
      <c r="Q1649" s="179">
        <f t="shared" si="43"/>
        <v>0</v>
      </c>
      <c r="R1649" s="179">
        <f t="shared" si="43"/>
        <v>0</v>
      </c>
      <c r="S1649" s="179">
        <f t="shared" si="43"/>
        <v>0</v>
      </c>
      <c r="T1649" s="179">
        <f t="shared" si="43"/>
        <v>0</v>
      </c>
      <c r="U1649" s="179">
        <f t="shared" si="43"/>
        <v>0</v>
      </c>
      <c r="V1649" s="179">
        <f t="shared" si="43"/>
        <v>0</v>
      </c>
      <c r="W1649" s="179">
        <f t="shared" si="43"/>
        <v>0</v>
      </c>
      <c r="X1649" s="179">
        <f t="shared" si="43"/>
        <v>0</v>
      </c>
      <c r="Y1649" s="179">
        <f>IFERROR(Y1647/Y1648,0)</f>
        <v>0</v>
      </c>
    </row>
    <row r="1650" spans="12:25" ht="21" customHeight="1" x14ac:dyDescent="0.35">
      <c r="L1650" s="191"/>
      <c r="M1650" s="192"/>
      <c r="N1650" s="187" t="s">
        <v>1997</v>
      </c>
      <c r="O1650" s="188"/>
      <c r="P1650" s="179">
        <f t="shared" ref="P1650:Y1650" si="44">1-P1649</f>
        <v>1</v>
      </c>
      <c r="Q1650" s="179">
        <f t="shared" si="44"/>
        <v>1</v>
      </c>
      <c r="R1650" s="179">
        <f t="shared" si="44"/>
        <v>1</v>
      </c>
      <c r="S1650" s="179">
        <f t="shared" si="44"/>
        <v>1</v>
      </c>
      <c r="T1650" s="179">
        <f t="shared" si="44"/>
        <v>1</v>
      </c>
      <c r="U1650" s="179">
        <f t="shared" si="44"/>
        <v>1</v>
      </c>
      <c r="V1650" s="179">
        <f t="shared" si="44"/>
        <v>1</v>
      </c>
      <c r="W1650" s="179">
        <f t="shared" si="44"/>
        <v>1</v>
      </c>
      <c r="X1650" s="179">
        <f t="shared" si="44"/>
        <v>1</v>
      </c>
      <c r="Y1650" s="179">
        <f t="shared" si="44"/>
        <v>1</v>
      </c>
    </row>
    <row r="1651" spans="12:25" x14ac:dyDescent="0.25">
      <c r="N1651" s="193"/>
      <c r="O1651" s="194"/>
      <c r="P1651" s="182"/>
      <c r="Q1651" s="182"/>
      <c r="R1651" s="182"/>
      <c r="S1651" s="182"/>
      <c r="T1651" s="182"/>
      <c r="U1651" s="182"/>
      <c r="V1651" s="182"/>
      <c r="W1651" s="182"/>
      <c r="X1651" s="182"/>
      <c r="Y1651" s="182"/>
    </row>
    <row r="1652" spans="12:25" ht="21" customHeight="1" x14ac:dyDescent="0.35">
      <c r="L1652" s="191"/>
      <c r="M1652" s="192"/>
      <c r="N1652" s="183" t="s">
        <v>2002</v>
      </c>
      <c r="O1652" s="192"/>
      <c r="P1652" s="170"/>
      <c r="Q1652" s="170"/>
      <c r="R1652" s="170"/>
      <c r="S1652" s="185"/>
      <c r="T1652" s="170"/>
      <c r="U1652" s="170"/>
      <c r="V1652" s="170"/>
      <c r="W1652" s="170"/>
      <c r="X1652" s="170"/>
      <c r="Y1652" s="186"/>
    </row>
    <row r="1653" spans="12:25" ht="21" customHeight="1" x14ac:dyDescent="0.35">
      <c r="L1653" s="191"/>
      <c r="M1653" s="192"/>
      <c r="N1653" s="187" t="s">
        <v>1994</v>
      </c>
      <c r="O1653" s="188"/>
      <c r="P1653" s="129">
        <f>COUNTIFS($H$3:$H$1623, "HX / LA", P3:P1623,"&lt;&gt;")</f>
        <v>0</v>
      </c>
      <c r="Q1653" s="129">
        <f>COUNTIFS($H$3:$H$1623, "HX / LA", Q3:Q1623,"&lt;&gt;")</f>
        <v>0</v>
      </c>
      <c r="R1653" s="129">
        <f>COUNTIFS($H$3:$H$1623, "HX / LA", R3:R1623,"Y")</f>
        <v>0</v>
      </c>
      <c r="S1653" s="129">
        <f t="shared" ref="S1653:X1653" si="45">COUNTIFS($H$3:$H$1623, "HX / LA", S3:S1623,"&lt;&gt;")</f>
        <v>0</v>
      </c>
      <c r="T1653" s="129">
        <f t="shared" si="45"/>
        <v>0</v>
      </c>
      <c r="U1653" s="129">
        <f t="shared" si="45"/>
        <v>0</v>
      </c>
      <c r="V1653" s="129">
        <f t="shared" si="45"/>
        <v>0</v>
      </c>
      <c r="W1653" s="129">
        <f t="shared" si="45"/>
        <v>0</v>
      </c>
      <c r="X1653" s="129">
        <f t="shared" si="45"/>
        <v>0</v>
      </c>
      <c r="Y1653" s="129">
        <f>COUNTIFS($H$3:$H$1623, "HX / LA", Y3:Y1623,"Y")</f>
        <v>0</v>
      </c>
    </row>
    <row r="1654" spans="12:25" ht="21" customHeight="1" x14ac:dyDescent="0.35">
      <c r="L1654" s="191"/>
      <c r="M1654" s="192"/>
      <c r="N1654" s="187" t="s">
        <v>1995</v>
      </c>
      <c r="O1654" s="188"/>
      <c r="P1654" s="129">
        <f>COUNTIFS($H$3:$H$1623, "HX / LA",C3:C1623, "&lt;&gt;")</f>
        <v>22</v>
      </c>
      <c r="Q1654" s="129">
        <f>COUNTIFS($H$3:$H$1623, "HX / LA",C3:C1623, "&lt;&gt;")</f>
        <v>22</v>
      </c>
      <c r="R1654" s="129">
        <f>COUNTIFS($H$3:$H$1623, "HX / LA",C3:C1623, "*XV*")+COUNTIFS($H$3:$H$1623, "HX / LA",C3:C1623, "*XY-*")+COUNTIFS($H$3:$H$1623, "HX / LA",C3:C1623, "*CV*")+COUNTIFS($H$3:$H$1623, "HX / LA",C3:C1623, "*YS*")</f>
        <v>6</v>
      </c>
      <c r="S1654" s="129">
        <f>COUNTIFS($H$3:$H$1623, "HX / LA",C3:C1623, "&lt;&gt;")</f>
        <v>22</v>
      </c>
      <c r="T1654" s="129">
        <f>COUNTIFS($H$3:$H$1623, "HX / LA",C3:C1623, "&lt;&gt;")</f>
        <v>22</v>
      </c>
      <c r="U1654" s="129">
        <f>COUNTIFS($H$3:$H$1623, "HX / LA",C3:C1623, "&lt;&gt;")</f>
        <v>22</v>
      </c>
      <c r="V1654" s="129">
        <f>COUNTIFS($H$3:$H$1623, "HX / LA",C3:C1623, "&lt;&gt;")</f>
        <v>22</v>
      </c>
      <c r="W1654" s="129">
        <f>COUNTIFS($H$3:$H$1623, "HX / LA",C3:C1623, "&lt;&gt;")</f>
        <v>22</v>
      </c>
      <c r="X1654" s="129">
        <f>COUNTIFS($H$3:$H$1623, "HX / LA",C3:C1623, "&lt;&gt;")</f>
        <v>22</v>
      </c>
      <c r="Y1654" s="129">
        <f>COUNTIFS($H$3:$H$1623, "HX / LA", X3:X1623,"&lt;&gt;")</f>
        <v>0</v>
      </c>
    </row>
    <row r="1655" spans="12:25" ht="21" customHeight="1" x14ac:dyDescent="0.35">
      <c r="L1655" s="191"/>
      <c r="M1655" s="192"/>
      <c r="N1655" s="187" t="s">
        <v>1996</v>
      </c>
      <c r="O1655" s="188"/>
      <c r="P1655" s="179">
        <f t="shared" ref="P1655:X1655" si="46">P1653/P1654</f>
        <v>0</v>
      </c>
      <c r="Q1655" s="179">
        <f t="shared" si="46"/>
        <v>0</v>
      </c>
      <c r="R1655" s="179">
        <f t="shared" si="46"/>
        <v>0</v>
      </c>
      <c r="S1655" s="179">
        <f t="shared" si="46"/>
        <v>0</v>
      </c>
      <c r="T1655" s="179">
        <f t="shared" si="46"/>
        <v>0</v>
      </c>
      <c r="U1655" s="179">
        <f t="shared" si="46"/>
        <v>0</v>
      </c>
      <c r="V1655" s="179">
        <f t="shared" si="46"/>
        <v>0</v>
      </c>
      <c r="W1655" s="179">
        <f t="shared" si="46"/>
        <v>0</v>
      </c>
      <c r="X1655" s="179">
        <f t="shared" si="46"/>
        <v>0</v>
      </c>
      <c r="Y1655" s="179">
        <f>IFERROR(Y1653/Y1654,0)</f>
        <v>0</v>
      </c>
    </row>
    <row r="1656" spans="12:25" ht="21" customHeight="1" x14ac:dyDescent="0.35">
      <c r="L1656" s="191"/>
      <c r="M1656" s="192"/>
      <c r="N1656" s="187" t="s">
        <v>1997</v>
      </c>
      <c r="O1656" s="188"/>
      <c r="P1656" s="179">
        <f t="shared" ref="P1656:Y1656" si="47">1-P1655</f>
        <v>1</v>
      </c>
      <c r="Q1656" s="179">
        <f t="shared" si="47"/>
        <v>1</v>
      </c>
      <c r="R1656" s="179">
        <f t="shared" si="47"/>
        <v>1</v>
      </c>
      <c r="S1656" s="179">
        <f t="shared" si="47"/>
        <v>1</v>
      </c>
      <c r="T1656" s="179">
        <f t="shared" si="47"/>
        <v>1</v>
      </c>
      <c r="U1656" s="179">
        <f t="shared" si="47"/>
        <v>1</v>
      </c>
      <c r="V1656" s="179">
        <f t="shared" si="47"/>
        <v>1</v>
      </c>
      <c r="W1656" s="179">
        <f t="shared" si="47"/>
        <v>1</v>
      </c>
      <c r="X1656" s="179">
        <f t="shared" si="47"/>
        <v>1</v>
      </c>
      <c r="Y1656" s="179">
        <f t="shared" si="47"/>
        <v>1</v>
      </c>
    </row>
    <row r="1657" spans="12:25" x14ac:dyDescent="0.25">
      <c r="N1657" s="193"/>
      <c r="O1657" s="194"/>
      <c r="P1657" s="182"/>
      <c r="Q1657" s="182"/>
      <c r="R1657" s="182"/>
      <c r="S1657" s="182"/>
      <c r="T1657" s="182"/>
      <c r="U1657" s="182"/>
      <c r="V1657" s="182"/>
      <c r="W1657" s="182"/>
      <c r="X1657" s="182"/>
      <c r="Y1657" s="182"/>
    </row>
    <row r="1658" spans="12:25" ht="21" customHeight="1" x14ac:dyDescent="0.35">
      <c r="L1658" s="191"/>
      <c r="M1658" s="192"/>
      <c r="N1658" s="183" t="s">
        <v>130</v>
      </c>
      <c r="O1658" s="192"/>
      <c r="P1658" s="170"/>
      <c r="Q1658" s="170"/>
      <c r="R1658" s="170"/>
      <c r="S1658" s="185"/>
      <c r="T1658" s="170"/>
      <c r="U1658" s="170"/>
      <c r="V1658" s="170"/>
      <c r="W1658" s="170"/>
      <c r="X1658" s="170"/>
      <c r="Y1658" s="186"/>
    </row>
    <row r="1659" spans="12:25" ht="21" customHeight="1" x14ac:dyDescent="0.35">
      <c r="L1659" s="191"/>
      <c r="M1659" s="192"/>
      <c r="N1659" s="187" t="s">
        <v>1994</v>
      </c>
      <c r="O1659" s="188"/>
      <c r="P1659" s="129">
        <f>COUNTIFS($H$3:$H$1623, "MCC", P3:P1623,"&lt;&gt;")</f>
        <v>0</v>
      </c>
      <c r="Q1659" s="129">
        <f>COUNTIFS($H$3:$H$1623, "MCC", Q3:Q1623,"&lt;&gt;")</f>
        <v>0</v>
      </c>
      <c r="R1659" s="129" t="s">
        <v>1888</v>
      </c>
      <c r="S1659" s="129">
        <f t="shared" ref="S1659:X1659" si="48">COUNTIFS($H$3:$H$1623, "MCC", S3:S1623,"&lt;&gt;")</f>
        <v>0</v>
      </c>
      <c r="T1659" s="129">
        <f t="shared" si="48"/>
        <v>0</v>
      </c>
      <c r="U1659" s="129">
        <f t="shared" si="48"/>
        <v>0</v>
      </c>
      <c r="V1659" s="129">
        <f t="shared" si="48"/>
        <v>0</v>
      </c>
      <c r="W1659" s="129">
        <f t="shared" si="48"/>
        <v>0</v>
      </c>
      <c r="X1659" s="129">
        <f t="shared" si="48"/>
        <v>0</v>
      </c>
      <c r="Y1659" s="129">
        <f>COUNTIFS($H$3:$H$1623, "MCC", Y3:Y1623,"Y")</f>
        <v>0</v>
      </c>
    </row>
    <row r="1660" spans="12:25" ht="21" customHeight="1" x14ac:dyDescent="0.35">
      <c r="L1660" s="191"/>
      <c r="M1660" s="192"/>
      <c r="N1660" s="187" t="s">
        <v>1995</v>
      </c>
      <c r="O1660" s="188"/>
      <c r="P1660" s="129">
        <f>COUNTIFS($H$3:$H$1623, "MCC",C3:C1623, "&lt;&gt;")</f>
        <v>10</v>
      </c>
      <c r="Q1660" s="129">
        <f>COUNTIFS($H$3:$H$1623, "MCC",C3:C1623, "&lt;&gt;")</f>
        <v>10</v>
      </c>
      <c r="R1660" s="129" t="s">
        <v>1888</v>
      </c>
      <c r="S1660" s="129">
        <f>COUNTIFS($H$3:$H$1623, "MCC",C3:C1623, "&lt;&gt;")</f>
        <v>10</v>
      </c>
      <c r="T1660" s="129">
        <f>COUNTIFS($H$3:$H$1623, "MCC",C3:C1623, "&lt;&gt;")</f>
        <v>10</v>
      </c>
      <c r="U1660" s="129">
        <f>COUNTIFS($H$3:$H$1623, "MCC",C3:C1623, "&lt;&gt;")</f>
        <v>10</v>
      </c>
      <c r="V1660" s="129">
        <f>COUNTIFS($H$3:$H$1623, "MCC",C3:C1623, "&lt;&gt;")</f>
        <v>10</v>
      </c>
      <c r="W1660" s="129">
        <f>COUNTIFS($H$3:$H$1623, "MCC",C3:C1623, "&lt;&gt;")</f>
        <v>10</v>
      </c>
      <c r="X1660" s="129">
        <f>COUNTIFS($H$3:$H$1623, "MCC",C3:C1623, "&lt;&gt;")</f>
        <v>10</v>
      </c>
      <c r="Y1660" s="129">
        <f>COUNTIFS($H$3:$H$1623, "MCC", X3:X1623,"&lt;&gt;")</f>
        <v>0</v>
      </c>
    </row>
    <row r="1661" spans="12:25" ht="21" customHeight="1" x14ac:dyDescent="0.35">
      <c r="L1661" s="191"/>
      <c r="M1661" s="192"/>
      <c r="N1661" s="187" t="s">
        <v>1996</v>
      </c>
      <c r="O1661" s="188"/>
      <c r="P1661" s="179">
        <f>P1659/P1660</f>
        <v>0</v>
      </c>
      <c r="Q1661" s="179">
        <f>Q1659/Q1660</f>
        <v>0</v>
      </c>
      <c r="R1661" s="129" t="s">
        <v>1888</v>
      </c>
      <c r="S1661" s="179">
        <f t="shared" ref="S1661:X1661" si="49">S1659/S1660</f>
        <v>0</v>
      </c>
      <c r="T1661" s="179">
        <f t="shared" si="49"/>
        <v>0</v>
      </c>
      <c r="U1661" s="179">
        <f t="shared" si="49"/>
        <v>0</v>
      </c>
      <c r="V1661" s="179">
        <f t="shared" si="49"/>
        <v>0</v>
      </c>
      <c r="W1661" s="179">
        <f t="shared" si="49"/>
        <v>0</v>
      </c>
      <c r="X1661" s="179">
        <f t="shared" si="49"/>
        <v>0</v>
      </c>
      <c r="Y1661" s="179">
        <f>IFERROR(Y1659/Y1660,0)</f>
        <v>0</v>
      </c>
    </row>
    <row r="1662" spans="12:25" ht="21" customHeight="1" x14ac:dyDescent="0.35">
      <c r="L1662" s="191"/>
      <c r="M1662" s="192"/>
      <c r="N1662" s="187" t="s">
        <v>1997</v>
      </c>
      <c r="O1662" s="188"/>
      <c r="P1662" s="179">
        <f>1-P1661</f>
        <v>1</v>
      </c>
      <c r="Q1662" s="179">
        <f>1-Q1661</f>
        <v>1</v>
      </c>
      <c r="R1662" s="129" t="s">
        <v>1888</v>
      </c>
      <c r="S1662" s="179">
        <f t="shared" ref="S1662:Y1662" si="50">1-S1661</f>
        <v>1</v>
      </c>
      <c r="T1662" s="179">
        <f t="shared" si="50"/>
        <v>1</v>
      </c>
      <c r="U1662" s="179">
        <f t="shared" si="50"/>
        <v>1</v>
      </c>
      <c r="V1662" s="179">
        <f t="shared" si="50"/>
        <v>1</v>
      </c>
      <c r="W1662" s="179">
        <f t="shared" si="50"/>
        <v>1</v>
      </c>
      <c r="X1662" s="179">
        <f t="shared" si="50"/>
        <v>1</v>
      </c>
      <c r="Y1662" s="179">
        <f t="shared" si="50"/>
        <v>1</v>
      </c>
    </row>
  </sheetData>
  <mergeCells count="1">
    <mergeCell ref="C1628:D1628"/>
  </mergeCells>
  <printOptions horizontalCentered="1"/>
  <pageMargins left="0.25" right="0.25" top="0.9" bottom="0.75" header="0.3" footer="0.3"/>
  <pageSetup paperSize="160" scale="24" fitToHeight="0" orientation="landscape"/>
  <headerFooter>
    <oddHeader>&amp;L&amp;G&amp;C&amp;"Yu Gothic UI,Bold"&amp;16 RL5 I/O LIST&amp;R&amp;G</oddHeader>
    <oddFooter>&amp;L&amp;D, &amp;T&amp;R&amp;P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79998168889431442"/>
    <pageSetUpPr fitToPage="1"/>
  </sheetPr>
  <dimension ref="A1:Z121"/>
  <sheetViews>
    <sheetView zoomScaleNormal="100" zoomScaleSheetLayoutView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D132" sqref="D132"/>
    </sheetView>
  </sheetViews>
  <sheetFormatPr defaultColWidth="8.85546875" defaultRowHeight="15" x14ac:dyDescent="0.25"/>
  <cols>
    <col min="1" max="1" width="8.42578125" style="165" bestFit="1" customWidth="1"/>
    <col min="2" max="3" width="22.42578125" style="167" bestFit="1" customWidth="1"/>
    <col min="4" max="4" width="19.7109375" style="167" customWidth="1"/>
    <col min="5" max="5" width="13.42578125" style="167" customWidth="1"/>
    <col min="6" max="6" width="80" style="168" bestFit="1" customWidth="1"/>
    <col min="7" max="7" width="8.140625" style="167" bestFit="1" customWidth="1"/>
    <col min="8" max="8" width="9" style="167" customWidth="1"/>
    <col min="9" max="9" width="16.140625" style="167" bestFit="1" customWidth="1"/>
    <col min="10" max="12" width="7.7109375" style="167" customWidth="1"/>
    <col min="13" max="14" width="12.7109375" style="167" customWidth="1"/>
    <col min="15" max="15" width="13.7109375" style="195" customWidth="1"/>
    <col min="16" max="25" width="7" style="165" hidden="1" customWidth="1"/>
    <col min="26" max="26" width="136" style="175" customWidth="1"/>
    <col min="27" max="37" width="8.85546875" style="122" customWidth="1"/>
    <col min="38" max="16384" width="8.85546875" style="122"/>
  </cols>
  <sheetData>
    <row r="1" spans="1:26" ht="60.6" customHeight="1" x14ac:dyDescent="0.25">
      <c r="A1" s="197" t="s">
        <v>0</v>
      </c>
      <c r="B1" s="197" t="s">
        <v>1</v>
      </c>
      <c r="C1" s="197" t="s">
        <v>2</v>
      </c>
      <c r="D1" s="197" t="s">
        <v>2003</v>
      </c>
      <c r="E1" s="197" t="s">
        <v>4</v>
      </c>
      <c r="F1" s="197" t="s">
        <v>5</v>
      </c>
      <c r="G1" s="197" t="s">
        <v>6</v>
      </c>
      <c r="H1" s="197" t="s">
        <v>7</v>
      </c>
      <c r="I1" s="197" t="s">
        <v>8</v>
      </c>
      <c r="J1" s="214" t="s">
        <v>9</v>
      </c>
      <c r="K1" s="214" t="s">
        <v>10</v>
      </c>
      <c r="L1" s="214" t="s">
        <v>11</v>
      </c>
      <c r="M1" s="197" t="s">
        <v>12</v>
      </c>
      <c r="N1" s="197" t="s">
        <v>13</v>
      </c>
      <c r="O1" s="200" t="s">
        <v>14</v>
      </c>
      <c r="P1" s="199" t="s">
        <v>15</v>
      </c>
      <c r="Q1" s="199" t="s">
        <v>16</v>
      </c>
      <c r="R1" s="199" t="s">
        <v>17</v>
      </c>
      <c r="S1" s="199" t="s">
        <v>18</v>
      </c>
      <c r="T1" s="199" t="s">
        <v>19</v>
      </c>
      <c r="U1" s="199" t="s">
        <v>20</v>
      </c>
      <c r="V1" s="199" t="s">
        <v>21</v>
      </c>
      <c r="W1" s="199" t="s">
        <v>22</v>
      </c>
      <c r="X1" s="201" t="s">
        <v>23</v>
      </c>
      <c r="Y1" s="201" t="s">
        <v>24</v>
      </c>
      <c r="Z1" s="198" t="s">
        <v>25</v>
      </c>
    </row>
    <row r="2" spans="1:26" x14ac:dyDescent="0.25">
      <c r="A2" s="119"/>
      <c r="B2" s="119"/>
      <c r="C2" s="119"/>
      <c r="D2" s="119"/>
      <c r="E2" s="119"/>
      <c r="F2" s="119"/>
      <c r="G2" s="119"/>
      <c r="H2" s="123"/>
      <c r="I2" s="119"/>
      <c r="J2" s="123">
        <v>0</v>
      </c>
      <c r="K2" s="123">
        <v>0</v>
      </c>
      <c r="L2" s="123">
        <v>0</v>
      </c>
      <c r="M2" s="215"/>
      <c r="N2" s="215"/>
      <c r="O2" s="125"/>
      <c r="P2" s="120"/>
      <c r="Q2" s="120"/>
      <c r="R2" s="121"/>
      <c r="S2" s="120"/>
      <c r="T2" s="120"/>
      <c r="U2" s="120"/>
      <c r="V2" s="120"/>
      <c r="W2" s="120"/>
      <c r="X2" s="121"/>
      <c r="Y2" s="121"/>
      <c r="Z2" s="126"/>
    </row>
    <row r="3" spans="1:26" x14ac:dyDescent="0.25">
      <c r="A3" s="127">
        <f t="shared" ref="A3:A34" si="0">ROW()-2</f>
        <v>1</v>
      </c>
      <c r="B3" s="128" t="s">
        <v>2004</v>
      </c>
      <c r="C3" s="128"/>
      <c r="D3" s="128"/>
      <c r="E3" s="128"/>
      <c r="F3" s="138" t="s">
        <v>2005</v>
      </c>
      <c r="G3" s="128" t="s">
        <v>2006</v>
      </c>
      <c r="H3" s="128" t="s">
        <v>1627</v>
      </c>
      <c r="I3" s="128" t="s">
        <v>2007</v>
      </c>
      <c r="J3" s="128">
        <v>0</v>
      </c>
      <c r="K3" s="128">
        <v>1</v>
      </c>
      <c r="L3" s="128">
        <v>0</v>
      </c>
      <c r="M3" s="128" t="s">
        <v>31</v>
      </c>
      <c r="N3" s="128" t="s">
        <v>32</v>
      </c>
      <c r="O3" s="139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40"/>
    </row>
    <row r="4" spans="1:26" x14ac:dyDescent="0.25">
      <c r="A4" s="127">
        <f t="shared" si="0"/>
        <v>2</v>
      </c>
      <c r="B4" s="128" t="s">
        <v>2008</v>
      </c>
      <c r="C4" s="128"/>
      <c r="D4" s="128"/>
      <c r="E4" s="128"/>
      <c r="F4" s="138" t="s">
        <v>2009</v>
      </c>
      <c r="G4" s="128" t="s">
        <v>2006</v>
      </c>
      <c r="H4" s="128" t="s">
        <v>1627</v>
      </c>
      <c r="I4" s="128" t="s">
        <v>2007</v>
      </c>
      <c r="J4" s="128">
        <v>0</v>
      </c>
      <c r="K4" s="128">
        <v>1</v>
      </c>
      <c r="L4" s="128">
        <v>1</v>
      </c>
      <c r="M4" s="128" t="s">
        <v>31</v>
      </c>
      <c r="N4" s="128" t="s">
        <v>32</v>
      </c>
      <c r="O4" s="139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40"/>
    </row>
    <row r="5" spans="1:26" x14ac:dyDescent="0.25">
      <c r="A5" s="127">
        <f t="shared" si="0"/>
        <v>3</v>
      </c>
      <c r="B5" s="128" t="s">
        <v>2010</v>
      </c>
      <c r="C5" s="128"/>
      <c r="D5" s="128"/>
      <c r="E5" s="128"/>
      <c r="F5" s="138" t="s">
        <v>2011</v>
      </c>
      <c r="G5" s="128" t="s">
        <v>2006</v>
      </c>
      <c r="H5" s="128" t="s">
        <v>1627</v>
      </c>
      <c r="I5" s="128" t="s">
        <v>2007</v>
      </c>
      <c r="J5" s="128">
        <v>0</v>
      </c>
      <c r="K5" s="128">
        <v>1</v>
      </c>
      <c r="L5" s="128">
        <v>2</v>
      </c>
      <c r="M5" s="128" t="s">
        <v>31</v>
      </c>
      <c r="N5" s="128" t="s">
        <v>32</v>
      </c>
      <c r="O5" s="139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40"/>
    </row>
    <row r="6" spans="1:26" x14ac:dyDescent="0.25">
      <c r="A6" s="127">
        <f t="shared" si="0"/>
        <v>4</v>
      </c>
      <c r="B6" s="128"/>
      <c r="C6" s="128"/>
      <c r="D6" s="128"/>
      <c r="E6" s="128"/>
      <c r="F6" s="138" t="s">
        <v>1933</v>
      </c>
      <c r="G6" s="128"/>
      <c r="H6" s="128"/>
      <c r="I6" s="128" t="s">
        <v>2007</v>
      </c>
      <c r="J6" s="128">
        <v>0</v>
      </c>
      <c r="K6" s="128">
        <v>1</v>
      </c>
      <c r="L6" s="128">
        <v>3</v>
      </c>
      <c r="M6" s="128" t="s">
        <v>31</v>
      </c>
      <c r="N6" s="128" t="s">
        <v>32</v>
      </c>
      <c r="O6" s="139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40"/>
    </row>
    <row r="7" spans="1:26" x14ac:dyDescent="0.25">
      <c r="A7" s="127">
        <f t="shared" si="0"/>
        <v>5</v>
      </c>
      <c r="B7" s="128"/>
      <c r="C7" s="128"/>
      <c r="D7" s="128"/>
      <c r="E7" s="128"/>
      <c r="F7" s="138" t="s">
        <v>1933</v>
      </c>
      <c r="G7" s="128"/>
      <c r="H7" s="128"/>
      <c r="I7" s="128" t="s">
        <v>2007</v>
      </c>
      <c r="J7" s="128">
        <v>0</v>
      </c>
      <c r="K7" s="128">
        <v>1</v>
      </c>
      <c r="L7" s="128">
        <v>4</v>
      </c>
      <c r="M7" s="128" t="s">
        <v>31</v>
      </c>
      <c r="N7" s="128" t="s">
        <v>32</v>
      </c>
      <c r="O7" s="139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40"/>
    </row>
    <row r="8" spans="1:26" x14ac:dyDescent="0.25">
      <c r="A8" s="127">
        <f t="shared" si="0"/>
        <v>6</v>
      </c>
      <c r="B8" s="128"/>
      <c r="C8" s="128"/>
      <c r="D8" s="128"/>
      <c r="E8" s="128"/>
      <c r="F8" s="138" t="s">
        <v>1933</v>
      </c>
      <c r="G8" s="128"/>
      <c r="H8" s="128"/>
      <c r="I8" s="128" t="s">
        <v>2007</v>
      </c>
      <c r="J8" s="128">
        <v>0</v>
      </c>
      <c r="K8" s="128">
        <v>1</v>
      </c>
      <c r="L8" s="128">
        <v>5</v>
      </c>
      <c r="M8" s="128" t="s">
        <v>31</v>
      </c>
      <c r="N8" s="128" t="s">
        <v>32</v>
      </c>
      <c r="O8" s="139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40"/>
    </row>
    <row r="9" spans="1:26" x14ac:dyDescent="0.25">
      <c r="A9" s="127">
        <f t="shared" si="0"/>
        <v>7</v>
      </c>
      <c r="B9" s="128"/>
      <c r="C9" s="128"/>
      <c r="D9" s="128"/>
      <c r="E9" s="128"/>
      <c r="F9" s="138" t="s">
        <v>1933</v>
      </c>
      <c r="G9" s="128"/>
      <c r="H9" s="128"/>
      <c r="I9" s="128" t="s">
        <v>2007</v>
      </c>
      <c r="J9" s="128">
        <v>0</v>
      </c>
      <c r="K9" s="128">
        <v>1</v>
      </c>
      <c r="L9" s="128">
        <v>6</v>
      </c>
      <c r="M9" s="128" t="s">
        <v>31</v>
      </c>
      <c r="N9" s="128" t="s">
        <v>32</v>
      </c>
      <c r="O9" s="139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40"/>
    </row>
    <row r="10" spans="1:26" x14ac:dyDescent="0.25">
      <c r="A10" s="127">
        <f t="shared" si="0"/>
        <v>8</v>
      </c>
      <c r="B10" s="128"/>
      <c r="C10" s="128"/>
      <c r="D10" s="128"/>
      <c r="E10" s="128"/>
      <c r="F10" s="138" t="s">
        <v>1933</v>
      </c>
      <c r="G10" s="128"/>
      <c r="H10" s="128"/>
      <c r="I10" s="128" t="s">
        <v>2007</v>
      </c>
      <c r="J10" s="128">
        <v>0</v>
      </c>
      <c r="K10" s="128">
        <v>1</v>
      </c>
      <c r="L10" s="128">
        <v>7</v>
      </c>
      <c r="M10" s="128" t="s">
        <v>31</v>
      </c>
      <c r="N10" s="128" t="s">
        <v>32</v>
      </c>
      <c r="O10" s="139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40"/>
    </row>
    <row r="11" spans="1:26" x14ac:dyDescent="0.25">
      <c r="A11" s="127">
        <f t="shared" si="0"/>
        <v>9</v>
      </c>
      <c r="B11" s="128"/>
      <c r="C11" s="128"/>
      <c r="D11" s="128"/>
      <c r="E11" s="128"/>
      <c r="F11" s="138" t="s">
        <v>1933</v>
      </c>
      <c r="G11" s="128"/>
      <c r="H11" s="128"/>
      <c r="I11" s="128" t="s">
        <v>2007</v>
      </c>
      <c r="J11" s="128">
        <v>0</v>
      </c>
      <c r="K11" s="128">
        <v>1</v>
      </c>
      <c r="L11" s="128">
        <v>8</v>
      </c>
      <c r="M11" s="128" t="s">
        <v>31</v>
      </c>
      <c r="N11" s="128" t="s">
        <v>32</v>
      </c>
      <c r="O11" s="139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40"/>
    </row>
    <row r="12" spans="1:26" x14ac:dyDescent="0.25">
      <c r="A12" s="127">
        <f t="shared" si="0"/>
        <v>10</v>
      </c>
      <c r="B12" s="128"/>
      <c r="C12" s="128"/>
      <c r="D12" s="128"/>
      <c r="E12" s="128"/>
      <c r="F12" s="138" t="s">
        <v>1933</v>
      </c>
      <c r="G12" s="128"/>
      <c r="H12" s="128"/>
      <c r="I12" s="128" t="s">
        <v>2007</v>
      </c>
      <c r="J12" s="128">
        <v>0</v>
      </c>
      <c r="K12" s="128">
        <v>1</v>
      </c>
      <c r="L12" s="128">
        <v>9</v>
      </c>
      <c r="M12" s="128" t="s">
        <v>31</v>
      </c>
      <c r="N12" s="128" t="s">
        <v>32</v>
      </c>
      <c r="O12" s="139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40"/>
    </row>
    <row r="13" spans="1:26" x14ac:dyDescent="0.25">
      <c r="A13" s="127">
        <f t="shared" si="0"/>
        <v>11</v>
      </c>
      <c r="B13" s="128"/>
      <c r="C13" s="128"/>
      <c r="D13" s="128"/>
      <c r="E13" s="128"/>
      <c r="F13" s="138" t="s">
        <v>1933</v>
      </c>
      <c r="G13" s="128"/>
      <c r="H13" s="128"/>
      <c r="I13" s="128" t="s">
        <v>2007</v>
      </c>
      <c r="J13" s="128">
        <v>0</v>
      </c>
      <c r="K13" s="128">
        <v>1</v>
      </c>
      <c r="L13" s="128">
        <v>10</v>
      </c>
      <c r="M13" s="128" t="s">
        <v>31</v>
      </c>
      <c r="N13" s="128" t="s">
        <v>32</v>
      </c>
      <c r="O13" s="139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40"/>
    </row>
    <row r="14" spans="1:26" x14ac:dyDescent="0.25">
      <c r="A14" s="127">
        <f t="shared" si="0"/>
        <v>12</v>
      </c>
      <c r="B14" s="128"/>
      <c r="C14" s="128"/>
      <c r="D14" s="128"/>
      <c r="E14" s="128"/>
      <c r="F14" s="138" t="s">
        <v>1933</v>
      </c>
      <c r="G14" s="128"/>
      <c r="H14" s="128"/>
      <c r="I14" s="128" t="s">
        <v>2007</v>
      </c>
      <c r="J14" s="128">
        <v>0</v>
      </c>
      <c r="K14" s="128">
        <v>1</v>
      </c>
      <c r="L14" s="128">
        <v>11</v>
      </c>
      <c r="M14" s="128" t="s">
        <v>31</v>
      </c>
      <c r="N14" s="128" t="s">
        <v>32</v>
      </c>
      <c r="O14" s="139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40"/>
    </row>
    <row r="15" spans="1:26" x14ac:dyDescent="0.25">
      <c r="A15" s="127">
        <f t="shared" si="0"/>
        <v>13</v>
      </c>
      <c r="B15" s="128"/>
      <c r="C15" s="128"/>
      <c r="D15" s="128"/>
      <c r="E15" s="128"/>
      <c r="F15" s="138" t="s">
        <v>1933</v>
      </c>
      <c r="G15" s="128"/>
      <c r="H15" s="128"/>
      <c r="I15" s="128" t="s">
        <v>2007</v>
      </c>
      <c r="J15" s="128">
        <v>0</v>
      </c>
      <c r="K15" s="128">
        <v>1</v>
      </c>
      <c r="L15" s="128">
        <v>12</v>
      </c>
      <c r="M15" s="128" t="s">
        <v>31</v>
      </c>
      <c r="N15" s="128" t="s">
        <v>32</v>
      </c>
      <c r="O15" s="139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40"/>
    </row>
    <row r="16" spans="1:26" x14ac:dyDescent="0.25">
      <c r="A16" s="127">
        <f t="shared" si="0"/>
        <v>14</v>
      </c>
      <c r="B16" s="128"/>
      <c r="C16" s="128"/>
      <c r="D16" s="128"/>
      <c r="E16" s="128"/>
      <c r="F16" s="138" t="s">
        <v>1933</v>
      </c>
      <c r="G16" s="128"/>
      <c r="H16" s="128"/>
      <c r="I16" s="128" t="s">
        <v>2007</v>
      </c>
      <c r="J16" s="128">
        <v>0</v>
      </c>
      <c r="K16" s="128">
        <v>1</v>
      </c>
      <c r="L16" s="128">
        <v>13</v>
      </c>
      <c r="M16" s="128" t="s">
        <v>31</v>
      </c>
      <c r="N16" s="128" t="s">
        <v>32</v>
      </c>
      <c r="O16" s="139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40"/>
    </row>
    <row r="17" spans="1:26" x14ac:dyDescent="0.25">
      <c r="A17" s="127">
        <f t="shared" si="0"/>
        <v>15</v>
      </c>
      <c r="B17" s="128"/>
      <c r="C17" s="128"/>
      <c r="D17" s="128"/>
      <c r="E17" s="128"/>
      <c r="F17" s="138" t="s">
        <v>1933</v>
      </c>
      <c r="G17" s="128"/>
      <c r="H17" s="128"/>
      <c r="I17" s="128" t="s">
        <v>2007</v>
      </c>
      <c r="J17" s="128">
        <v>0</v>
      </c>
      <c r="K17" s="128">
        <v>1</v>
      </c>
      <c r="L17" s="128">
        <v>14</v>
      </c>
      <c r="M17" s="128" t="s">
        <v>31</v>
      </c>
      <c r="N17" s="128" t="s">
        <v>32</v>
      </c>
      <c r="O17" s="139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40"/>
    </row>
    <row r="18" spans="1:26" x14ac:dyDescent="0.25">
      <c r="A18" s="127">
        <f t="shared" si="0"/>
        <v>16</v>
      </c>
      <c r="B18" s="128"/>
      <c r="C18" s="128"/>
      <c r="D18" s="128"/>
      <c r="E18" s="128"/>
      <c r="F18" s="138" t="s">
        <v>1933</v>
      </c>
      <c r="G18" s="128"/>
      <c r="H18" s="128"/>
      <c r="I18" s="128" t="s">
        <v>2007</v>
      </c>
      <c r="J18" s="128">
        <v>0</v>
      </c>
      <c r="K18" s="128">
        <v>1</v>
      </c>
      <c r="L18" s="128">
        <v>15</v>
      </c>
      <c r="M18" s="128" t="s">
        <v>31</v>
      </c>
      <c r="N18" s="128" t="s">
        <v>32</v>
      </c>
      <c r="O18" s="139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40"/>
    </row>
    <row r="19" spans="1:26" x14ac:dyDescent="0.25">
      <c r="A19" s="127">
        <f t="shared" si="0"/>
        <v>17</v>
      </c>
      <c r="B19" s="128"/>
      <c r="C19" s="128"/>
      <c r="D19" s="128"/>
      <c r="E19" s="128"/>
      <c r="F19" s="138" t="s">
        <v>1933</v>
      </c>
      <c r="G19" s="128"/>
      <c r="H19" s="128"/>
      <c r="I19" s="128" t="s">
        <v>2007</v>
      </c>
      <c r="J19" s="128">
        <v>0</v>
      </c>
      <c r="K19" s="128">
        <v>2</v>
      </c>
      <c r="L19" s="128">
        <v>0</v>
      </c>
      <c r="M19" s="128" t="s">
        <v>31</v>
      </c>
      <c r="N19" s="128" t="s">
        <v>32</v>
      </c>
      <c r="O19" s="139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40"/>
    </row>
    <row r="20" spans="1:26" x14ac:dyDescent="0.25">
      <c r="A20" s="127">
        <f t="shared" si="0"/>
        <v>18</v>
      </c>
      <c r="B20" s="128"/>
      <c r="C20" s="128"/>
      <c r="D20" s="128"/>
      <c r="E20" s="128"/>
      <c r="F20" s="138" t="s">
        <v>1933</v>
      </c>
      <c r="G20" s="128"/>
      <c r="H20" s="128"/>
      <c r="I20" s="128" t="s">
        <v>2007</v>
      </c>
      <c r="J20" s="128">
        <v>0</v>
      </c>
      <c r="K20" s="128">
        <v>2</v>
      </c>
      <c r="L20" s="128">
        <v>1</v>
      </c>
      <c r="M20" s="128" t="s">
        <v>31</v>
      </c>
      <c r="N20" s="128" t="s">
        <v>32</v>
      </c>
      <c r="O20" s="139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40"/>
    </row>
    <row r="21" spans="1:26" x14ac:dyDescent="0.25">
      <c r="A21" s="127">
        <f t="shared" si="0"/>
        <v>19</v>
      </c>
      <c r="B21" s="128"/>
      <c r="C21" s="128"/>
      <c r="D21" s="128"/>
      <c r="E21" s="128"/>
      <c r="F21" s="138" t="s">
        <v>1933</v>
      </c>
      <c r="G21" s="128"/>
      <c r="H21" s="128"/>
      <c r="I21" s="128" t="s">
        <v>2007</v>
      </c>
      <c r="J21" s="128">
        <v>0</v>
      </c>
      <c r="K21" s="128">
        <v>2</v>
      </c>
      <c r="L21" s="128">
        <v>2</v>
      </c>
      <c r="M21" s="128" t="s">
        <v>31</v>
      </c>
      <c r="N21" s="128" t="s">
        <v>32</v>
      </c>
      <c r="O21" s="139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40"/>
    </row>
    <row r="22" spans="1:26" x14ac:dyDescent="0.25">
      <c r="A22" s="127">
        <f t="shared" si="0"/>
        <v>20</v>
      </c>
      <c r="B22" s="128"/>
      <c r="C22" s="128"/>
      <c r="D22" s="128"/>
      <c r="E22" s="128"/>
      <c r="F22" s="138" t="s">
        <v>1933</v>
      </c>
      <c r="G22" s="128"/>
      <c r="H22" s="128"/>
      <c r="I22" s="128" t="s">
        <v>2007</v>
      </c>
      <c r="J22" s="128">
        <v>0</v>
      </c>
      <c r="K22" s="128">
        <v>2</v>
      </c>
      <c r="L22" s="128">
        <v>3</v>
      </c>
      <c r="M22" s="128" t="s">
        <v>31</v>
      </c>
      <c r="N22" s="128" t="s">
        <v>32</v>
      </c>
      <c r="O22" s="139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40"/>
    </row>
    <row r="23" spans="1:26" x14ac:dyDescent="0.25">
      <c r="A23" s="127">
        <f t="shared" si="0"/>
        <v>21</v>
      </c>
      <c r="B23" s="128"/>
      <c r="C23" s="128"/>
      <c r="D23" s="128"/>
      <c r="E23" s="128"/>
      <c r="F23" s="138" t="s">
        <v>1933</v>
      </c>
      <c r="G23" s="128"/>
      <c r="H23" s="128"/>
      <c r="I23" s="128" t="s">
        <v>2007</v>
      </c>
      <c r="J23" s="128">
        <v>0</v>
      </c>
      <c r="K23" s="128">
        <v>2</v>
      </c>
      <c r="L23" s="128">
        <v>4</v>
      </c>
      <c r="M23" s="128" t="s">
        <v>31</v>
      </c>
      <c r="N23" s="128" t="s">
        <v>32</v>
      </c>
      <c r="O23" s="139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40"/>
    </row>
    <row r="24" spans="1:26" x14ac:dyDescent="0.25">
      <c r="A24" s="127">
        <f t="shared" si="0"/>
        <v>22</v>
      </c>
      <c r="B24" s="128"/>
      <c r="C24" s="128"/>
      <c r="D24" s="128"/>
      <c r="E24" s="128"/>
      <c r="F24" s="138" t="s">
        <v>1933</v>
      </c>
      <c r="G24" s="128"/>
      <c r="H24" s="128"/>
      <c r="I24" s="128" t="s">
        <v>2007</v>
      </c>
      <c r="J24" s="128">
        <v>0</v>
      </c>
      <c r="K24" s="128">
        <v>2</v>
      </c>
      <c r="L24" s="128">
        <v>5</v>
      </c>
      <c r="M24" s="128" t="s">
        <v>31</v>
      </c>
      <c r="N24" s="128" t="s">
        <v>32</v>
      </c>
      <c r="O24" s="139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40"/>
    </row>
    <row r="25" spans="1:26" x14ac:dyDescent="0.25">
      <c r="A25" s="127">
        <f t="shared" si="0"/>
        <v>23</v>
      </c>
      <c r="B25" s="128"/>
      <c r="C25" s="128"/>
      <c r="D25" s="128"/>
      <c r="E25" s="128"/>
      <c r="F25" s="138" t="s">
        <v>1933</v>
      </c>
      <c r="G25" s="128"/>
      <c r="H25" s="128"/>
      <c r="I25" s="128" t="s">
        <v>2007</v>
      </c>
      <c r="J25" s="128">
        <v>0</v>
      </c>
      <c r="K25" s="128">
        <v>2</v>
      </c>
      <c r="L25" s="128">
        <v>6</v>
      </c>
      <c r="M25" s="128" t="s">
        <v>31</v>
      </c>
      <c r="N25" s="128" t="s">
        <v>32</v>
      </c>
      <c r="O25" s="139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40"/>
    </row>
    <row r="26" spans="1:26" x14ac:dyDescent="0.25">
      <c r="A26" s="127">
        <f t="shared" si="0"/>
        <v>24</v>
      </c>
      <c r="B26" s="128"/>
      <c r="C26" s="128"/>
      <c r="D26" s="128"/>
      <c r="E26" s="128"/>
      <c r="F26" s="138" t="s">
        <v>1933</v>
      </c>
      <c r="G26" s="128"/>
      <c r="H26" s="128"/>
      <c r="I26" s="128" t="s">
        <v>2007</v>
      </c>
      <c r="J26" s="128">
        <v>0</v>
      </c>
      <c r="K26" s="128">
        <v>2</v>
      </c>
      <c r="L26" s="128">
        <v>7</v>
      </c>
      <c r="M26" s="128" t="s">
        <v>31</v>
      </c>
      <c r="N26" s="128" t="s">
        <v>32</v>
      </c>
      <c r="O26" s="139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40"/>
    </row>
    <row r="27" spans="1:26" x14ac:dyDescent="0.25">
      <c r="A27" s="127">
        <f t="shared" si="0"/>
        <v>25</v>
      </c>
      <c r="B27" s="128"/>
      <c r="C27" s="128"/>
      <c r="D27" s="128"/>
      <c r="E27" s="128"/>
      <c r="F27" s="138" t="s">
        <v>1933</v>
      </c>
      <c r="G27" s="128"/>
      <c r="H27" s="128"/>
      <c r="I27" s="128" t="s">
        <v>2007</v>
      </c>
      <c r="J27" s="128">
        <v>0</v>
      </c>
      <c r="K27" s="128">
        <v>2</v>
      </c>
      <c r="L27" s="128">
        <v>8</v>
      </c>
      <c r="M27" s="128" t="s">
        <v>31</v>
      </c>
      <c r="N27" s="128" t="s">
        <v>32</v>
      </c>
      <c r="O27" s="139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40"/>
    </row>
    <row r="28" spans="1:26" x14ac:dyDescent="0.25">
      <c r="A28" s="127">
        <f t="shared" si="0"/>
        <v>26</v>
      </c>
      <c r="B28" s="128"/>
      <c r="C28" s="128"/>
      <c r="D28" s="128"/>
      <c r="E28" s="128"/>
      <c r="F28" s="138" t="s">
        <v>1933</v>
      </c>
      <c r="G28" s="128"/>
      <c r="H28" s="128"/>
      <c r="I28" s="128" t="s">
        <v>2007</v>
      </c>
      <c r="J28" s="128">
        <v>0</v>
      </c>
      <c r="K28" s="128">
        <v>2</v>
      </c>
      <c r="L28" s="128">
        <v>9</v>
      </c>
      <c r="M28" s="128" t="s">
        <v>31</v>
      </c>
      <c r="N28" s="128" t="s">
        <v>32</v>
      </c>
      <c r="O28" s="139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40"/>
    </row>
    <row r="29" spans="1:26" x14ac:dyDescent="0.25">
      <c r="A29" s="127">
        <f t="shared" si="0"/>
        <v>27</v>
      </c>
      <c r="B29" s="128"/>
      <c r="C29" s="128"/>
      <c r="D29" s="128"/>
      <c r="E29" s="128"/>
      <c r="F29" s="138" t="s">
        <v>1933</v>
      </c>
      <c r="G29" s="128"/>
      <c r="H29" s="128"/>
      <c r="I29" s="128" t="s">
        <v>2007</v>
      </c>
      <c r="J29" s="128">
        <v>0</v>
      </c>
      <c r="K29" s="128">
        <v>2</v>
      </c>
      <c r="L29" s="128">
        <v>10</v>
      </c>
      <c r="M29" s="128" t="s">
        <v>31</v>
      </c>
      <c r="N29" s="128" t="s">
        <v>32</v>
      </c>
      <c r="O29" s="139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40"/>
    </row>
    <row r="30" spans="1:26" x14ac:dyDescent="0.25">
      <c r="A30" s="127">
        <f t="shared" si="0"/>
        <v>28</v>
      </c>
      <c r="B30" s="128"/>
      <c r="C30" s="128"/>
      <c r="D30" s="128"/>
      <c r="E30" s="128"/>
      <c r="F30" s="138" t="s">
        <v>1933</v>
      </c>
      <c r="G30" s="128"/>
      <c r="H30" s="128"/>
      <c r="I30" s="128" t="s">
        <v>2007</v>
      </c>
      <c r="J30" s="128">
        <v>0</v>
      </c>
      <c r="K30" s="128">
        <v>2</v>
      </c>
      <c r="L30" s="128">
        <v>11</v>
      </c>
      <c r="M30" s="128" t="s">
        <v>31</v>
      </c>
      <c r="N30" s="128" t="s">
        <v>32</v>
      </c>
      <c r="O30" s="139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40"/>
    </row>
    <row r="31" spans="1:26" x14ac:dyDescent="0.25">
      <c r="A31" s="127">
        <f t="shared" si="0"/>
        <v>29</v>
      </c>
      <c r="B31" s="128"/>
      <c r="C31" s="128"/>
      <c r="D31" s="128"/>
      <c r="E31" s="128"/>
      <c r="F31" s="138" t="s">
        <v>1933</v>
      </c>
      <c r="G31" s="128"/>
      <c r="H31" s="128"/>
      <c r="I31" s="128" t="s">
        <v>2007</v>
      </c>
      <c r="J31" s="128">
        <v>0</v>
      </c>
      <c r="K31" s="128">
        <v>2</v>
      </c>
      <c r="L31" s="128">
        <v>12</v>
      </c>
      <c r="M31" s="128" t="s">
        <v>31</v>
      </c>
      <c r="N31" s="128" t="s">
        <v>32</v>
      </c>
      <c r="O31" s="139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40"/>
    </row>
    <row r="32" spans="1:26" x14ac:dyDescent="0.25">
      <c r="A32" s="127">
        <f t="shared" si="0"/>
        <v>30</v>
      </c>
      <c r="B32" s="128"/>
      <c r="C32" s="128"/>
      <c r="D32" s="128"/>
      <c r="E32" s="128"/>
      <c r="F32" s="138" t="s">
        <v>1933</v>
      </c>
      <c r="G32" s="128"/>
      <c r="H32" s="128"/>
      <c r="I32" s="128" t="s">
        <v>2007</v>
      </c>
      <c r="J32" s="128">
        <v>0</v>
      </c>
      <c r="K32" s="128">
        <v>2</v>
      </c>
      <c r="L32" s="128">
        <v>13</v>
      </c>
      <c r="M32" s="128" t="s">
        <v>31</v>
      </c>
      <c r="N32" s="128" t="s">
        <v>32</v>
      </c>
      <c r="O32" s="139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40"/>
    </row>
    <row r="33" spans="1:26" x14ac:dyDescent="0.25">
      <c r="A33" s="127">
        <f t="shared" si="0"/>
        <v>31</v>
      </c>
      <c r="B33" s="128"/>
      <c r="C33" s="128"/>
      <c r="D33" s="128"/>
      <c r="E33" s="128"/>
      <c r="F33" s="138" t="s">
        <v>1933</v>
      </c>
      <c r="G33" s="128"/>
      <c r="H33" s="128"/>
      <c r="I33" s="128" t="s">
        <v>2007</v>
      </c>
      <c r="J33" s="128">
        <v>0</v>
      </c>
      <c r="K33" s="128">
        <v>2</v>
      </c>
      <c r="L33" s="128">
        <v>14</v>
      </c>
      <c r="M33" s="128" t="s">
        <v>31</v>
      </c>
      <c r="N33" s="128" t="s">
        <v>32</v>
      </c>
      <c r="O33" s="139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40"/>
    </row>
    <row r="34" spans="1:26" x14ac:dyDescent="0.25">
      <c r="A34" s="127">
        <f t="shared" si="0"/>
        <v>32</v>
      </c>
      <c r="B34" s="128"/>
      <c r="C34" s="128"/>
      <c r="D34" s="128"/>
      <c r="E34" s="128"/>
      <c r="F34" s="138" t="s">
        <v>1933</v>
      </c>
      <c r="G34" s="128"/>
      <c r="H34" s="128"/>
      <c r="I34" s="128" t="s">
        <v>2007</v>
      </c>
      <c r="J34" s="128">
        <v>0</v>
      </c>
      <c r="K34" s="128">
        <v>2</v>
      </c>
      <c r="L34" s="128">
        <v>15</v>
      </c>
      <c r="M34" s="128" t="s">
        <v>31</v>
      </c>
      <c r="N34" s="128" t="s">
        <v>32</v>
      </c>
      <c r="O34" s="139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40"/>
    </row>
    <row r="35" spans="1:26" x14ac:dyDescent="0.25">
      <c r="A35" s="127">
        <f t="shared" ref="A35:A66" si="1">ROW()-2</f>
        <v>33</v>
      </c>
      <c r="B35" s="128" t="s">
        <v>2012</v>
      </c>
      <c r="C35" s="128"/>
      <c r="D35" s="128"/>
      <c r="E35" s="128"/>
      <c r="F35" s="138" t="s">
        <v>2013</v>
      </c>
      <c r="G35" s="128" t="s">
        <v>2006</v>
      </c>
      <c r="H35" s="128" t="s">
        <v>1627</v>
      </c>
      <c r="I35" s="128" t="s">
        <v>2007</v>
      </c>
      <c r="J35" s="128">
        <v>0</v>
      </c>
      <c r="K35" s="128">
        <v>3</v>
      </c>
      <c r="L35" s="128">
        <v>0</v>
      </c>
      <c r="M35" s="128" t="s">
        <v>82</v>
      </c>
      <c r="N35" s="128" t="s">
        <v>83</v>
      </c>
      <c r="O35" s="139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40"/>
    </row>
    <row r="36" spans="1:26" x14ac:dyDescent="0.25">
      <c r="A36" s="127">
        <f t="shared" si="1"/>
        <v>34</v>
      </c>
      <c r="B36" s="128"/>
      <c r="C36" s="128"/>
      <c r="D36" s="128"/>
      <c r="E36" s="128"/>
      <c r="F36" s="138" t="s">
        <v>1933</v>
      </c>
      <c r="G36" s="128"/>
      <c r="H36" s="128"/>
      <c r="I36" s="128" t="s">
        <v>2007</v>
      </c>
      <c r="J36" s="128">
        <v>0</v>
      </c>
      <c r="K36" s="128">
        <v>3</v>
      </c>
      <c r="L36" s="128">
        <v>1</v>
      </c>
      <c r="M36" s="128" t="s">
        <v>82</v>
      </c>
      <c r="N36" s="128" t="s">
        <v>83</v>
      </c>
      <c r="O36" s="139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40"/>
    </row>
    <row r="37" spans="1:26" x14ac:dyDescent="0.25">
      <c r="A37" s="127">
        <f t="shared" si="1"/>
        <v>35</v>
      </c>
      <c r="B37" s="128"/>
      <c r="C37" s="128"/>
      <c r="D37" s="128"/>
      <c r="E37" s="128"/>
      <c r="F37" s="138" t="s">
        <v>1933</v>
      </c>
      <c r="G37" s="128"/>
      <c r="H37" s="128"/>
      <c r="I37" s="128" t="s">
        <v>2007</v>
      </c>
      <c r="J37" s="128">
        <v>0</v>
      </c>
      <c r="K37" s="128">
        <v>3</v>
      </c>
      <c r="L37" s="128">
        <v>2</v>
      </c>
      <c r="M37" s="128" t="s">
        <v>82</v>
      </c>
      <c r="N37" s="128" t="s">
        <v>83</v>
      </c>
      <c r="O37" s="139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40"/>
    </row>
    <row r="38" spans="1:26" x14ac:dyDescent="0.25">
      <c r="A38" s="127">
        <f t="shared" si="1"/>
        <v>36</v>
      </c>
      <c r="B38" s="128"/>
      <c r="C38" s="128"/>
      <c r="D38" s="128"/>
      <c r="E38" s="128"/>
      <c r="F38" s="138" t="s">
        <v>1933</v>
      </c>
      <c r="G38" s="128"/>
      <c r="H38" s="128"/>
      <c r="I38" s="128" t="s">
        <v>2007</v>
      </c>
      <c r="J38" s="128">
        <v>0</v>
      </c>
      <c r="K38" s="128">
        <v>3</v>
      </c>
      <c r="L38" s="128">
        <v>3</v>
      </c>
      <c r="M38" s="128" t="s">
        <v>82</v>
      </c>
      <c r="N38" s="128" t="s">
        <v>83</v>
      </c>
      <c r="O38" s="139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40"/>
    </row>
    <row r="39" spans="1:26" x14ac:dyDescent="0.25">
      <c r="A39" s="127">
        <f t="shared" si="1"/>
        <v>37</v>
      </c>
      <c r="B39" s="128"/>
      <c r="C39" s="128"/>
      <c r="D39" s="128"/>
      <c r="E39" s="128"/>
      <c r="F39" s="138" t="s">
        <v>1933</v>
      </c>
      <c r="G39" s="128"/>
      <c r="H39" s="128"/>
      <c r="I39" s="128" t="s">
        <v>2007</v>
      </c>
      <c r="J39" s="128">
        <v>0</v>
      </c>
      <c r="K39" s="128">
        <v>3</v>
      </c>
      <c r="L39" s="128">
        <v>4</v>
      </c>
      <c r="M39" s="128" t="s">
        <v>82</v>
      </c>
      <c r="N39" s="128" t="s">
        <v>83</v>
      </c>
      <c r="O39" s="139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40"/>
    </row>
    <row r="40" spans="1:26" x14ac:dyDescent="0.25">
      <c r="A40" s="127">
        <f t="shared" si="1"/>
        <v>38</v>
      </c>
      <c r="B40" s="128"/>
      <c r="C40" s="128"/>
      <c r="D40" s="128"/>
      <c r="E40" s="128"/>
      <c r="F40" s="138" t="s">
        <v>1933</v>
      </c>
      <c r="G40" s="128"/>
      <c r="H40" s="128"/>
      <c r="I40" s="128" t="s">
        <v>2007</v>
      </c>
      <c r="J40" s="128">
        <v>0</v>
      </c>
      <c r="K40" s="128">
        <v>3</v>
      </c>
      <c r="L40" s="128">
        <v>5</v>
      </c>
      <c r="M40" s="128" t="s">
        <v>82</v>
      </c>
      <c r="N40" s="128" t="s">
        <v>83</v>
      </c>
      <c r="O40" s="139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40"/>
    </row>
    <row r="41" spans="1:26" x14ac:dyDescent="0.25">
      <c r="A41" s="127">
        <f t="shared" si="1"/>
        <v>39</v>
      </c>
      <c r="B41" s="128"/>
      <c r="C41" s="128"/>
      <c r="D41" s="128"/>
      <c r="E41" s="128"/>
      <c r="F41" s="138" t="s">
        <v>1933</v>
      </c>
      <c r="G41" s="128"/>
      <c r="H41" s="128"/>
      <c r="I41" s="128" t="s">
        <v>2007</v>
      </c>
      <c r="J41" s="128">
        <v>0</v>
      </c>
      <c r="K41" s="128">
        <v>3</v>
      </c>
      <c r="L41" s="128">
        <v>6</v>
      </c>
      <c r="M41" s="128" t="s">
        <v>82</v>
      </c>
      <c r="N41" s="128" t="s">
        <v>83</v>
      </c>
      <c r="O41" s="139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40"/>
    </row>
    <row r="42" spans="1:26" x14ac:dyDescent="0.25">
      <c r="A42" s="127">
        <f t="shared" si="1"/>
        <v>40</v>
      </c>
      <c r="B42" s="128"/>
      <c r="C42" s="128"/>
      <c r="D42" s="128"/>
      <c r="E42" s="128"/>
      <c r="F42" s="138" t="s">
        <v>1933</v>
      </c>
      <c r="G42" s="128"/>
      <c r="H42" s="128"/>
      <c r="I42" s="128" t="s">
        <v>2007</v>
      </c>
      <c r="J42" s="128">
        <v>0</v>
      </c>
      <c r="K42" s="128">
        <v>3</v>
      </c>
      <c r="L42" s="128">
        <v>7</v>
      </c>
      <c r="M42" s="128" t="s">
        <v>82</v>
      </c>
      <c r="N42" s="128" t="s">
        <v>83</v>
      </c>
      <c r="O42" s="139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40"/>
    </row>
    <row r="43" spans="1:26" x14ac:dyDescent="0.25">
      <c r="A43" s="127">
        <f t="shared" si="1"/>
        <v>41</v>
      </c>
      <c r="B43" s="128"/>
      <c r="C43" s="128"/>
      <c r="D43" s="128"/>
      <c r="E43" s="128"/>
      <c r="F43" s="138" t="s">
        <v>1933</v>
      </c>
      <c r="G43" s="128"/>
      <c r="H43" s="128"/>
      <c r="I43" s="128" t="s">
        <v>2007</v>
      </c>
      <c r="J43" s="128">
        <v>0</v>
      </c>
      <c r="K43" s="128">
        <v>3</v>
      </c>
      <c r="L43" s="128">
        <v>8</v>
      </c>
      <c r="M43" s="128" t="s">
        <v>82</v>
      </c>
      <c r="N43" s="128" t="s">
        <v>83</v>
      </c>
      <c r="O43" s="139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40"/>
    </row>
    <row r="44" spans="1:26" x14ac:dyDescent="0.25">
      <c r="A44" s="127">
        <f t="shared" si="1"/>
        <v>42</v>
      </c>
      <c r="B44" s="128"/>
      <c r="C44" s="128"/>
      <c r="D44" s="128"/>
      <c r="E44" s="128"/>
      <c r="F44" s="138" t="s">
        <v>1933</v>
      </c>
      <c r="G44" s="128"/>
      <c r="H44" s="128"/>
      <c r="I44" s="128" t="s">
        <v>2007</v>
      </c>
      <c r="J44" s="128">
        <v>0</v>
      </c>
      <c r="K44" s="128">
        <v>3</v>
      </c>
      <c r="L44" s="128">
        <v>9</v>
      </c>
      <c r="M44" s="128" t="s">
        <v>82</v>
      </c>
      <c r="N44" s="128" t="s">
        <v>83</v>
      </c>
      <c r="O44" s="139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40"/>
    </row>
    <row r="45" spans="1:26" x14ac:dyDescent="0.25">
      <c r="A45" s="127">
        <f t="shared" si="1"/>
        <v>43</v>
      </c>
      <c r="B45" s="128"/>
      <c r="C45" s="128"/>
      <c r="D45" s="128"/>
      <c r="E45" s="128"/>
      <c r="F45" s="138" t="s">
        <v>1933</v>
      </c>
      <c r="G45" s="128"/>
      <c r="H45" s="128"/>
      <c r="I45" s="128" t="s">
        <v>2007</v>
      </c>
      <c r="J45" s="128">
        <v>0</v>
      </c>
      <c r="K45" s="128">
        <v>3</v>
      </c>
      <c r="L45" s="128">
        <v>10</v>
      </c>
      <c r="M45" s="128" t="s">
        <v>82</v>
      </c>
      <c r="N45" s="128" t="s">
        <v>83</v>
      </c>
      <c r="O45" s="139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40"/>
    </row>
    <row r="46" spans="1:26" x14ac:dyDescent="0.25">
      <c r="A46" s="127">
        <f t="shared" si="1"/>
        <v>44</v>
      </c>
      <c r="B46" s="128"/>
      <c r="C46" s="128"/>
      <c r="D46" s="128"/>
      <c r="E46" s="128"/>
      <c r="F46" s="138" t="s">
        <v>1933</v>
      </c>
      <c r="G46" s="128"/>
      <c r="H46" s="128"/>
      <c r="I46" s="128" t="s">
        <v>2007</v>
      </c>
      <c r="J46" s="128">
        <v>0</v>
      </c>
      <c r="K46" s="128">
        <v>3</v>
      </c>
      <c r="L46" s="128">
        <v>11</v>
      </c>
      <c r="M46" s="128" t="s">
        <v>82</v>
      </c>
      <c r="N46" s="128" t="s">
        <v>83</v>
      </c>
      <c r="O46" s="139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40"/>
    </row>
    <row r="47" spans="1:26" x14ac:dyDescent="0.25">
      <c r="A47" s="127">
        <f t="shared" si="1"/>
        <v>45</v>
      </c>
      <c r="B47" s="128"/>
      <c r="C47" s="128"/>
      <c r="D47" s="128"/>
      <c r="E47" s="128"/>
      <c r="F47" s="138" t="s">
        <v>1933</v>
      </c>
      <c r="G47" s="128"/>
      <c r="H47" s="128"/>
      <c r="I47" s="128" t="s">
        <v>2007</v>
      </c>
      <c r="J47" s="128">
        <v>0</v>
      </c>
      <c r="K47" s="128">
        <v>3</v>
      </c>
      <c r="L47" s="128">
        <v>12</v>
      </c>
      <c r="M47" s="128" t="s">
        <v>82</v>
      </c>
      <c r="N47" s="128" t="s">
        <v>83</v>
      </c>
      <c r="O47" s="139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40"/>
    </row>
    <row r="48" spans="1:26" x14ac:dyDescent="0.25">
      <c r="A48" s="127">
        <f t="shared" si="1"/>
        <v>46</v>
      </c>
      <c r="B48" s="128"/>
      <c r="C48" s="128"/>
      <c r="D48" s="128"/>
      <c r="E48" s="128"/>
      <c r="F48" s="138" t="s">
        <v>1933</v>
      </c>
      <c r="G48" s="128"/>
      <c r="H48" s="128"/>
      <c r="I48" s="128" t="s">
        <v>2007</v>
      </c>
      <c r="J48" s="128">
        <v>0</v>
      </c>
      <c r="K48" s="128">
        <v>3</v>
      </c>
      <c r="L48" s="128">
        <v>13</v>
      </c>
      <c r="M48" s="128" t="s">
        <v>82</v>
      </c>
      <c r="N48" s="128" t="s">
        <v>83</v>
      </c>
      <c r="O48" s="139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40"/>
    </row>
    <row r="49" spans="1:26" x14ac:dyDescent="0.25">
      <c r="A49" s="127">
        <f t="shared" si="1"/>
        <v>47</v>
      </c>
      <c r="B49" s="128"/>
      <c r="C49" s="128"/>
      <c r="D49" s="128"/>
      <c r="E49" s="128"/>
      <c r="F49" s="138" t="s">
        <v>1933</v>
      </c>
      <c r="G49" s="128"/>
      <c r="H49" s="128"/>
      <c r="I49" s="128" t="s">
        <v>2007</v>
      </c>
      <c r="J49" s="128">
        <v>0</v>
      </c>
      <c r="K49" s="128">
        <v>3</v>
      </c>
      <c r="L49" s="128">
        <v>14</v>
      </c>
      <c r="M49" s="128" t="s">
        <v>82</v>
      </c>
      <c r="N49" s="128" t="s">
        <v>83</v>
      </c>
      <c r="O49" s="139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40"/>
    </row>
    <row r="50" spans="1:26" x14ac:dyDescent="0.25">
      <c r="A50" s="127">
        <f t="shared" si="1"/>
        <v>48</v>
      </c>
      <c r="B50" s="128"/>
      <c r="C50" s="128"/>
      <c r="D50" s="128"/>
      <c r="E50" s="128"/>
      <c r="F50" s="138" t="s">
        <v>1933</v>
      </c>
      <c r="G50" s="128"/>
      <c r="H50" s="128"/>
      <c r="I50" s="128" t="s">
        <v>2007</v>
      </c>
      <c r="J50" s="128">
        <v>0</v>
      </c>
      <c r="K50" s="128">
        <v>3</v>
      </c>
      <c r="L50" s="128">
        <v>15</v>
      </c>
      <c r="M50" s="128" t="s">
        <v>82</v>
      </c>
      <c r="N50" s="128" t="s">
        <v>83</v>
      </c>
      <c r="O50" s="139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40"/>
    </row>
    <row r="51" spans="1:26" x14ac:dyDescent="0.25">
      <c r="A51" s="127">
        <f t="shared" si="1"/>
        <v>49</v>
      </c>
      <c r="B51" s="128"/>
      <c r="C51" s="128"/>
      <c r="D51" s="128"/>
      <c r="E51" s="128"/>
      <c r="F51" s="138" t="s">
        <v>1933</v>
      </c>
      <c r="G51" s="128"/>
      <c r="H51" s="128"/>
      <c r="I51" s="128" t="s">
        <v>2007</v>
      </c>
      <c r="J51" s="128">
        <v>0</v>
      </c>
      <c r="K51" s="128">
        <v>4</v>
      </c>
      <c r="L51" s="128">
        <v>0</v>
      </c>
      <c r="M51" s="128" t="s">
        <v>82</v>
      </c>
      <c r="N51" s="128" t="s">
        <v>83</v>
      </c>
      <c r="O51" s="139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40"/>
    </row>
    <row r="52" spans="1:26" x14ac:dyDescent="0.25">
      <c r="A52" s="127">
        <f t="shared" si="1"/>
        <v>50</v>
      </c>
      <c r="B52" s="128"/>
      <c r="C52" s="128"/>
      <c r="D52" s="128"/>
      <c r="E52" s="128"/>
      <c r="F52" s="138" t="s">
        <v>1933</v>
      </c>
      <c r="G52" s="128"/>
      <c r="H52" s="128"/>
      <c r="I52" s="128" t="s">
        <v>2007</v>
      </c>
      <c r="J52" s="128">
        <v>0</v>
      </c>
      <c r="K52" s="128">
        <v>4</v>
      </c>
      <c r="L52" s="128">
        <v>1</v>
      </c>
      <c r="M52" s="128" t="s">
        <v>82</v>
      </c>
      <c r="N52" s="128" t="s">
        <v>83</v>
      </c>
      <c r="O52" s="139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40"/>
    </row>
    <row r="53" spans="1:26" x14ac:dyDescent="0.25">
      <c r="A53" s="127">
        <f t="shared" si="1"/>
        <v>51</v>
      </c>
      <c r="B53" s="128"/>
      <c r="C53" s="128"/>
      <c r="D53" s="128"/>
      <c r="E53" s="128"/>
      <c r="F53" s="138" t="s">
        <v>1933</v>
      </c>
      <c r="G53" s="128"/>
      <c r="H53" s="128"/>
      <c r="I53" s="128" t="s">
        <v>2007</v>
      </c>
      <c r="J53" s="128">
        <v>0</v>
      </c>
      <c r="K53" s="128">
        <v>4</v>
      </c>
      <c r="L53" s="128">
        <v>2</v>
      </c>
      <c r="M53" s="128" t="s">
        <v>82</v>
      </c>
      <c r="N53" s="128" t="s">
        <v>83</v>
      </c>
      <c r="O53" s="139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40"/>
    </row>
    <row r="54" spans="1:26" x14ac:dyDescent="0.25">
      <c r="A54" s="127">
        <f t="shared" si="1"/>
        <v>52</v>
      </c>
      <c r="B54" s="128"/>
      <c r="C54" s="128"/>
      <c r="D54" s="128"/>
      <c r="E54" s="128"/>
      <c r="F54" s="138" t="s">
        <v>1933</v>
      </c>
      <c r="G54" s="128"/>
      <c r="H54" s="128"/>
      <c r="I54" s="128" t="s">
        <v>2007</v>
      </c>
      <c r="J54" s="128">
        <v>0</v>
      </c>
      <c r="K54" s="128">
        <v>4</v>
      </c>
      <c r="L54" s="128">
        <v>3</v>
      </c>
      <c r="M54" s="128" t="s">
        <v>82</v>
      </c>
      <c r="N54" s="128" t="s">
        <v>83</v>
      </c>
      <c r="O54" s="139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40"/>
    </row>
    <row r="55" spans="1:26" x14ac:dyDescent="0.25">
      <c r="A55" s="127">
        <f t="shared" si="1"/>
        <v>53</v>
      </c>
      <c r="B55" s="128"/>
      <c r="C55" s="128"/>
      <c r="D55" s="128"/>
      <c r="E55" s="128"/>
      <c r="F55" s="138" t="s">
        <v>1933</v>
      </c>
      <c r="G55" s="128"/>
      <c r="H55" s="128"/>
      <c r="I55" s="128" t="s">
        <v>2007</v>
      </c>
      <c r="J55" s="128">
        <v>0</v>
      </c>
      <c r="K55" s="128">
        <v>4</v>
      </c>
      <c r="L55" s="128">
        <v>4</v>
      </c>
      <c r="M55" s="128" t="s">
        <v>82</v>
      </c>
      <c r="N55" s="128" t="s">
        <v>83</v>
      </c>
      <c r="O55" s="139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40"/>
    </row>
    <row r="56" spans="1:26" x14ac:dyDescent="0.25">
      <c r="A56" s="127">
        <f t="shared" si="1"/>
        <v>54</v>
      </c>
      <c r="B56" s="128"/>
      <c r="C56" s="128"/>
      <c r="D56" s="128"/>
      <c r="E56" s="128"/>
      <c r="F56" s="138" t="s">
        <v>1933</v>
      </c>
      <c r="G56" s="128"/>
      <c r="H56" s="128"/>
      <c r="I56" s="128" t="s">
        <v>2007</v>
      </c>
      <c r="J56" s="128">
        <v>0</v>
      </c>
      <c r="K56" s="128">
        <v>4</v>
      </c>
      <c r="L56" s="128">
        <v>5</v>
      </c>
      <c r="M56" s="128" t="s">
        <v>82</v>
      </c>
      <c r="N56" s="128" t="s">
        <v>83</v>
      </c>
      <c r="O56" s="139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40"/>
    </row>
    <row r="57" spans="1:26" x14ac:dyDescent="0.25">
      <c r="A57" s="127">
        <f t="shared" si="1"/>
        <v>55</v>
      </c>
      <c r="B57" s="128"/>
      <c r="C57" s="128"/>
      <c r="D57" s="128"/>
      <c r="E57" s="128"/>
      <c r="F57" s="138" t="s">
        <v>1933</v>
      </c>
      <c r="G57" s="128"/>
      <c r="H57" s="128"/>
      <c r="I57" s="128" t="s">
        <v>2007</v>
      </c>
      <c r="J57" s="128">
        <v>0</v>
      </c>
      <c r="K57" s="128">
        <v>4</v>
      </c>
      <c r="L57" s="128">
        <v>6</v>
      </c>
      <c r="M57" s="128" t="s">
        <v>82</v>
      </c>
      <c r="N57" s="128" t="s">
        <v>83</v>
      </c>
      <c r="O57" s="139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40"/>
    </row>
    <row r="58" spans="1:26" x14ac:dyDescent="0.25">
      <c r="A58" s="127">
        <f t="shared" si="1"/>
        <v>56</v>
      </c>
      <c r="B58" s="128"/>
      <c r="C58" s="128"/>
      <c r="D58" s="128"/>
      <c r="E58" s="128"/>
      <c r="F58" s="138" t="s">
        <v>1933</v>
      </c>
      <c r="G58" s="128"/>
      <c r="H58" s="128"/>
      <c r="I58" s="128" t="s">
        <v>2007</v>
      </c>
      <c r="J58" s="128">
        <v>0</v>
      </c>
      <c r="K58" s="128">
        <v>4</v>
      </c>
      <c r="L58" s="128">
        <v>7</v>
      </c>
      <c r="M58" s="128" t="s">
        <v>82</v>
      </c>
      <c r="N58" s="128" t="s">
        <v>83</v>
      </c>
      <c r="O58" s="139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40"/>
    </row>
    <row r="59" spans="1:26" x14ac:dyDescent="0.25">
      <c r="A59" s="127">
        <f t="shared" si="1"/>
        <v>57</v>
      </c>
      <c r="B59" s="128"/>
      <c r="C59" s="128"/>
      <c r="D59" s="128"/>
      <c r="E59" s="128"/>
      <c r="F59" s="138" t="s">
        <v>1933</v>
      </c>
      <c r="G59" s="128"/>
      <c r="H59" s="128"/>
      <c r="I59" s="128" t="s">
        <v>2007</v>
      </c>
      <c r="J59" s="128">
        <v>0</v>
      </c>
      <c r="K59" s="128">
        <v>4</v>
      </c>
      <c r="L59" s="128">
        <v>8</v>
      </c>
      <c r="M59" s="128" t="s">
        <v>82</v>
      </c>
      <c r="N59" s="128" t="s">
        <v>83</v>
      </c>
      <c r="O59" s="139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40"/>
    </row>
    <row r="60" spans="1:26" x14ac:dyDescent="0.25">
      <c r="A60" s="127">
        <f t="shared" si="1"/>
        <v>58</v>
      </c>
      <c r="B60" s="128"/>
      <c r="C60" s="128"/>
      <c r="D60" s="128"/>
      <c r="E60" s="128"/>
      <c r="F60" s="138" t="s">
        <v>1933</v>
      </c>
      <c r="G60" s="128"/>
      <c r="H60" s="128"/>
      <c r="I60" s="128" t="s">
        <v>2007</v>
      </c>
      <c r="J60" s="128">
        <v>0</v>
      </c>
      <c r="K60" s="128">
        <v>4</v>
      </c>
      <c r="L60" s="128">
        <v>9</v>
      </c>
      <c r="M60" s="128" t="s">
        <v>82</v>
      </c>
      <c r="N60" s="128" t="s">
        <v>83</v>
      </c>
      <c r="O60" s="139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40"/>
    </row>
    <row r="61" spans="1:26" x14ac:dyDescent="0.25">
      <c r="A61" s="127">
        <f t="shared" si="1"/>
        <v>59</v>
      </c>
      <c r="B61" s="128"/>
      <c r="C61" s="128"/>
      <c r="D61" s="128"/>
      <c r="E61" s="128"/>
      <c r="F61" s="138" t="s">
        <v>1933</v>
      </c>
      <c r="G61" s="128"/>
      <c r="H61" s="128"/>
      <c r="I61" s="128" t="s">
        <v>2007</v>
      </c>
      <c r="J61" s="128">
        <v>0</v>
      </c>
      <c r="K61" s="128">
        <v>4</v>
      </c>
      <c r="L61" s="128">
        <v>10</v>
      </c>
      <c r="M61" s="128" t="s">
        <v>82</v>
      </c>
      <c r="N61" s="128" t="s">
        <v>83</v>
      </c>
      <c r="O61" s="139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40"/>
    </row>
    <row r="62" spans="1:26" x14ac:dyDescent="0.25">
      <c r="A62" s="127">
        <f t="shared" si="1"/>
        <v>60</v>
      </c>
      <c r="B62" s="128"/>
      <c r="C62" s="128"/>
      <c r="D62" s="128"/>
      <c r="E62" s="128"/>
      <c r="F62" s="138" t="s">
        <v>1933</v>
      </c>
      <c r="G62" s="128"/>
      <c r="H62" s="128"/>
      <c r="I62" s="128" t="s">
        <v>2007</v>
      </c>
      <c r="J62" s="128">
        <v>0</v>
      </c>
      <c r="K62" s="128">
        <v>4</v>
      </c>
      <c r="L62" s="128">
        <v>11</v>
      </c>
      <c r="M62" s="128" t="s">
        <v>82</v>
      </c>
      <c r="N62" s="128" t="s">
        <v>83</v>
      </c>
      <c r="O62" s="139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40"/>
    </row>
    <row r="63" spans="1:26" x14ac:dyDescent="0.25">
      <c r="A63" s="127">
        <f t="shared" si="1"/>
        <v>61</v>
      </c>
      <c r="B63" s="128"/>
      <c r="C63" s="128"/>
      <c r="D63" s="128"/>
      <c r="E63" s="128"/>
      <c r="F63" s="138" t="s">
        <v>1933</v>
      </c>
      <c r="G63" s="128"/>
      <c r="H63" s="128"/>
      <c r="I63" s="128" t="s">
        <v>2007</v>
      </c>
      <c r="J63" s="128">
        <v>0</v>
      </c>
      <c r="K63" s="128">
        <v>4</v>
      </c>
      <c r="L63" s="128">
        <v>12</v>
      </c>
      <c r="M63" s="128" t="s">
        <v>82</v>
      </c>
      <c r="N63" s="128" t="s">
        <v>83</v>
      </c>
      <c r="O63" s="139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40"/>
    </row>
    <row r="64" spans="1:26" x14ac:dyDescent="0.25">
      <c r="A64" s="127">
        <f t="shared" si="1"/>
        <v>62</v>
      </c>
      <c r="B64" s="128"/>
      <c r="C64" s="128"/>
      <c r="D64" s="128"/>
      <c r="E64" s="128"/>
      <c r="F64" s="138" t="s">
        <v>1933</v>
      </c>
      <c r="G64" s="128"/>
      <c r="H64" s="128"/>
      <c r="I64" s="128" t="s">
        <v>2007</v>
      </c>
      <c r="J64" s="128">
        <v>0</v>
      </c>
      <c r="K64" s="128">
        <v>4</v>
      </c>
      <c r="L64" s="128">
        <v>13</v>
      </c>
      <c r="M64" s="128" t="s">
        <v>82</v>
      </c>
      <c r="N64" s="128" t="s">
        <v>83</v>
      </c>
      <c r="O64" s="139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40"/>
    </row>
    <row r="65" spans="1:26" x14ac:dyDescent="0.25">
      <c r="A65" s="127">
        <f t="shared" si="1"/>
        <v>63</v>
      </c>
      <c r="B65" s="128"/>
      <c r="C65" s="128"/>
      <c r="D65" s="128"/>
      <c r="E65" s="128"/>
      <c r="F65" s="138" t="s">
        <v>1933</v>
      </c>
      <c r="G65" s="128"/>
      <c r="H65" s="128"/>
      <c r="I65" s="128" t="s">
        <v>2007</v>
      </c>
      <c r="J65" s="128">
        <v>0</v>
      </c>
      <c r="K65" s="128">
        <v>4</v>
      </c>
      <c r="L65" s="128">
        <v>14</v>
      </c>
      <c r="M65" s="128" t="s">
        <v>82</v>
      </c>
      <c r="N65" s="128" t="s">
        <v>83</v>
      </c>
      <c r="O65" s="139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40"/>
    </row>
    <row r="66" spans="1:26" x14ac:dyDescent="0.25">
      <c r="A66" s="127">
        <f t="shared" si="1"/>
        <v>64</v>
      </c>
      <c r="B66" s="128"/>
      <c r="C66" s="128"/>
      <c r="D66" s="128"/>
      <c r="E66" s="128"/>
      <c r="F66" s="138" t="s">
        <v>1933</v>
      </c>
      <c r="G66" s="128"/>
      <c r="H66" s="128"/>
      <c r="I66" s="128" t="s">
        <v>2007</v>
      </c>
      <c r="J66" s="128">
        <v>0</v>
      </c>
      <c r="K66" s="128">
        <v>4</v>
      </c>
      <c r="L66" s="128">
        <v>15</v>
      </c>
      <c r="M66" s="128" t="s">
        <v>82</v>
      </c>
      <c r="N66" s="128" t="s">
        <v>83</v>
      </c>
      <c r="O66" s="139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40"/>
    </row>
    <row r="67" spans="1:26" x14ac:dyDescent="0.25">
      <c r="A67" s="127">
        <f t="shared" ref="A67:A82" si="2">ROW()-2</f>
        <v>65</v>
      </c>
      <c r="B67" s="128" t="s">
        <v>2014</v>
      </c>
      <c r="C67" s="128"/>
      <c r="D67" s="128"/>
      <c r="E67" s="128"/>
      <c r="F67" s="138" t="s">
        <v>2015</v>
      </c>
      <c r="G67" s="132" t="s">
        <v>2016</v>
      </c>
      <c r="H67" s="128" t="s">
        <v>678</v>
      </c>
      <c r="I67" s="128" t="s">
        <v>2007</v>
      </c>
      <c r="J67" s="128">
        <v>0</v>
      </c>
      <c r="K67" s="128">
        <v>5</v>
      </c>
      <c r="L67" s="128">
        <v>0</v>
      </c>
      <c r="M67" s="128" t="s">
        <v>658</v>
      </c>
      <c r="N67" s="128" t="s">
        <v>659</v>
      </c>
      <c r="O67" s="139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40"/>
    </row>
    <row r="68" spans="1:26" x14ac:dyDescent="0.25">
      <c r="A68" s="127">
        <f t="shared" si="2"/>
        <v>66</v>
      </c>
      <c r="B68" s="128" t="s">
        <v>2017</v>
      </c>
      <c r="C68" s="128"/>
      <c r="D68" s="128"/>
      <c r="E68" s="128"/>
      <c r="F68" s="138" t="s">
        <v>2018</v>
      </c>
      <c r="G68" s="132" t="s">
        <v>2016</v>
      </c>
      <c r="H68" s="128" t="s">
        <v>678</v>
      </c>
      <c r="I68" s="128" t="s">
        <v>2007</v>
      </c>
      <c r="J68" s="128">
        <v>0</v>
      </c>
      <c r="K68" s="128">
        <v>5</v>
      </c>
      <c r="L68" s="128">
        <v>1</v>
      </c>
      <c r="M68" s="128" t="s">
        <v>658</v>
      </c>
      <c r="N68" s="128" t="s">
        <v>659</v>
      </c>
      <c r="O68" s="139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40"/>
    </row>
    <row r="69" spans="1:26" x14ac:dyDescent="0.25">
      <c r="A69" s="127">
        <f t="shared" si="2"/>
        <v>67</v>
      </c>
      <c r="B69" s="128" t="s">
        <v>2019</v>
      </c>
      <c r="C69" s="128"/>
      <c r="D69" s="128"/>
      <c r="E69" s="128"/>
      <c r="F69" s="138" t="s">
        <v>2020</v>
      </c>
      <c r="G69" s="128"/>
      <c r="H69" s="128" t="s">
        <v>678</v>
      </c>
      <c r="I69" s="128" t="s">
        <v>2007</v>
      </c>
      <c r="J69" s="128">
        <v>0</v>
      </c>
      <c r="K69" s="128">
        <v>5</v>
      </c>
      <c r="L69" s="128">
        <v>2</v>
      </c>
      <c r="M69" s="128" t="s">
        <v>658</v>
      </c>
      <c r="N69" s="128" t="s">
        <v>659</v>
      </c>
      <c r="O69" s="139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40"/>
    </row>
    <row r="70" spans="1:26" x14ac:dyDescent="0.25">
      <c r="A70" s="127">
        <f t="shared" si="2"/>
        <v>68</v>
      </c>
      <c r="B70" s="128" t="s">
        <v>2021</v>
      </c>
      <c r="C70" s="128"/>
      <c r="D70" s="128"/>
      <c r="E70" s="128"/>
      <c r="F70" s="138" t="s">
        <v>2022</v>
      </c>
      <c r="G70" s="128"/>
      <c r="H70" s="128" t="s">
        <v>678</v>
      </c>
      <c r="I70" s="128" t="s">
        <v>2007</v>
      </c>
      <c r="J70" s="128">
        <v>0</v>
      </c>
      <c r="K70" s="128">
        <v>5</v>
      </c>
      <c r="L70" s="128">
        <v>3</v>
      </c>
      <c r="M70" s="128" t="s">
        <v>658</v>
      </c>
      <c r="N70" s="128" t="s">
        <v>659</v>
      </c>
      <c r="O70" s="139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40"/>
    </row>
    <row r="71" spans="1:26" x14ac:dyDescent="0.25">
      <c r="A71" s="127">
        <f t="shared" si="2"/>
        <v>69</v>
      </c>
      <c r="B71" s="128" t="s">
        <v>2023</v>
      </c>
      <c r="C71" s="128"/>
      <c r="D71" s="128"/>
      <c r="E71" s="128"/>
      <c r="F71" s="138" t="s">
        <v>2024</v>
      </c>
      <c r="G71" s="128"/>
      <c r="H71" s="128" t="s">
        <v>678</v>
      </c>
      <c r="I71" s="128" t="s">
        <v>2007</v>
      </c>
      <c r="J71" s="128">
        <v>0</v>
      </c>
      <c r="K71" s="128">
        <v>5</v>
      </c>
      <c r="L71" s="128">
        <v>4</v>
      </c>
      <c r="M71" s="128" t="s">
        <v>658</v>
      </c>
      <c r="N71" s="128" t="s">
        <v>659</v>
      </c>
      <c r="O71" s="139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40"/>
    </row>
    <row r="72" spans="1:26" x14ac:dyDescent="0.25">
      <c r="A72" s="127">
        <f t="shared" si="2"/>
        <v>70</v>
      </c>
      <c r="B72" s="128" t="s">
        <v>2025</v>
      </c>
      <c r="C72" s="128"/>
      <c r="D72" s="128"/>
      <c r="E72" s="128"/>
      <c r="F72" s="138" t="s">
        <v>2026</v>
      </c>
      <c r="G72" s="128"/>
      <c r="H72" s="128" t="s">
        <v>678</v>
      </c>
      <c r="I72" s="128" t="s">
        <v>2007</v>
      </c>
      <c r="J72" s="128">
        <v>0</v>
      </c>
      <c r="K72" s="128">
        <v>5</v>
      </c>
      <c r="L72" s="128">
        <v>5</v>
      </c>
      <c r="M72" s="128" t="s">
        <v>658</v>
      </c>
      <c r="N72" s="128" t="s">
        <v>659</v>
      </c>
      <c r="O72" s="139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40"/>
    </row>
    <row r="73" spans="1:26" x14ac:dyDescent="0.25">
      <c r="A73" s="127">
        <f t="shared" si="2"/>
        <v>71</v>
      </c>
      <c r="B73" s="128" t="s">
        <v>2027</v>
      </c>
      <c r="C73" s="128"/>
      <c r="D73" s="128"/>
      <c r="E73" s="128"/>
      <c r="F73" s="138" t="s">
        <v>2028</v>
      </c>
      <c r="G73" s="128"/>
      <c r="H73" s="128" t="s">
        <v>678</v>
      </c>
      <c r="I73" s="128" t="s">
        <v>2007</v>
      </c>
      <c r="J73" s="128">
        <v>0</v>
      </c>
      <c r="K73" s="128">
        <v>5</v>
      </c>
      <c r="L73" s="128">
        <v>6</v>
      </c>
      <c r="M73" s="128" t="s">
        <v>658</v>
      </c>
      <c r="N73" s="128" t="s">
        <v>659</v>
      </c>
      <c r="O73" s="139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40"/>
    </row>
    <row r="74" spans="1:26" x14ac:dyDescent="0.25">
      <c r="A74" s="127">
        <f t="shared" si="2"/>
        <v>72</v>
      </c>
      <c r="B74" s="128" t="s">
        <v>2029</v>
      </c>
      <c r="C74" s="128"/>
      <c r="D74" s="128"/>
      <c r="E74" s="128"/>
      <c r="F74" s="138" t="s">
        <v>2030</v>
      </c>
      <c r="G74" s="128" t="s">
        <v>2006</v>
      </c>
      <c r="H74" s="128" t="s">
        <v>678</v>
      </c>
      <c r="I74" s="128" t="s">
        <v>2007</v>
      </c>
      <c r="J74" s="128">
        <v>0</v>
      </c>
      <c r="K74" s="128">
        <v>5</v>
      </c>
      <c r="L74" s="128">
        <v>7</v>
      </c>
      <c r="M74" s="128" t="s">
        <v>658</v>
      </c>
      <c r="N74" s="128" t="s">
        <v>659</v>
      </c>
      <c r="O74" s="139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40"/>
    </row>
    <row r="75" spans="1:26" x14ac:dyDescent="0.25">
      <c r="A75" s="127">
        <f t="shared" si="2"/>
        <v>73</v>
      </c>
      <c r="B75" s="128" t="s">
        <v>2031</v>
      </c>
      <c r="C75" s="128"/>
      <c r="D75" s="128"/>
      <c r="E75" s="128"/>
      <c r="F75" s="138" t="s">
        <v>2032</v>
      </c>
      <c r="G75" s="128"/>
      <c r="H75" s="128" t="s">
        <v>678</v>
      </c>
      <c r="I75" s="128" t="s">
        <v>2007</v>
      </c>
      <c r="J75" s="128">
        <v>0</v>
      </c>
      <c r="K75" s="128">
        <v>6</v>
      </c>
      <c r="L75" s="128">
        <v>0</v>
      </c>
      <c r="M75" s="128" t="s">
        <v>664</v>
      </c>
      <c r="N75" s="128" t="s">
        <v>665</v>
      </c>
      <c r="O75" s="139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40"/>
    </row>
    <row r="76" spans="1:26" x14ac:dyDescent="0.25">
      <c r="A76" s="127">
        <f t="shared" si="2"/>
        <v>74</v>
      </c>
      <c r="B76" s="128" t="s">
        <v>2033</v>
      </c>
      <c r="C76" s="128"/>
      <c r="D76" s="128"/>
      <c r="E76" s="128"/>
      <c r="F76" s="138" t="s">
        <v>2034</v>
      </c>
      <c r="G76" s="132"/>
      <c r="H76" s="128" t="s">
        <v>678</v>
      </c>
      <c r="I76" s="128" t="s">
        <v>2007</v>
      </c>
      <c r="J76" s="128">
        <v>0</v>
      </c>
      <c r="K76" s="128">
        <v>6</v>
      </c>
      <c r="L76" s="128">
        <v>1</v>
      </c>
      <c r="M76" s="128" t="s">
        <v>664</v>
      </c>
      <c r="N76" s="128" t="s">
        <v>665</v>
      </c>
      <c r="O76" s="139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40"/>
    </row>
    <row r="77" spans="1:26" x14ac:dyDescent="0.25">
      <c r="A77" s="127">
        <f t="shared" si="2"/>
        <v>75</v>
      </c>
      <c r="B77" s="128" t="s">
        <v>2035</v>
      </c>
      <c r="C77" s="128"/>
      <c r="D77" s="128"/>
      <c r="E77" s="128"/>
      <c r="F77" s="138" t="s">
        <v>2036</v>
      </c>
      <c r="G77" s="132"/>
      <c r="H77" s="128" t="s">
        <v>678</v>
      </c>
      <c r="I77" s="128" t="s">
        <v>2007</v>
      </c>
      <c r="J77" s="128">
        <v>0</v>
      </c>
      <c r="K77" s="128">
        <v>6</v>
      </c>
      <c r="L77" s="128">
        <v>2</v>
      </c>
      <c r="M77" s="128" t="s">
        <v>664</v>
      </c>
      <c r="N77" s="128" t="s">
        <v>665</v>
      </c>
      <c r="O77" s="139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40"/>
    </row>
    <row r="78" spans="1:26" x14ac:dyDescent="0.25">
      <c r="A78" s="127">
        <f t="shared" si="2"/>
        <v>76</v>
      </c>
      <c r="B78" s="128" t="s">
        <v>2037</v>
      </c>
      <c r="C78" s="128"/>
      <c r="D78" s="128"/>
      <c r="E78" s="128"/>
      <c r="F78" s="138" t="s">
        <v>2038</v>
      </c>
      <c r="G78" s="132"/>
      <c r="H78" s="128" t="s">
        <v>678</v>
      </c>
      <c r="I78" s="128" t="s">
        <v>2007</v>
      </c>
      <c r="J78" s="128">
        <v>0</v>
      </c>
      <c r="K78" s="128">
        <v>6</v>
      </c>
      <c r="L78" s="128">
        <v>3</v>
      </c>
      <c r="M78" s="128" t="s">
        <v>664</v>
      </c>
      <c r="N78" s="128" t="s">
        <v>665</v>
      </c>
      <c r="O78" s="139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40"/>
    </row>
    <row r="79" spans="1:26" x14ac:dyDescent="0.25">
      <c r="A79" s="127">
        <f t="shared" si="2"/>
        <v>77</v>
      </c>
      <c r="B79" s="128" t="s">
        <v>2039</v>
      </c>
      <c r="C79" s="128"/>
      <c r="D79" s="128"/>
      <c r="E79" s="128"/>
      <c r="F79" s="138" t="s">
        <v>2040</v>
      </c>
      <c r="G79" s="132"/>
      <c r="H79" s="128" t="s">
        <v>678</v>
      </c>
      <c r="I79" s="128" t="s">
        <v>2007</v>
      </c>
      <c r="J79" s="128">
        <v>0</v>
      </c>
      <c r="K79" s="128">
        <v>6</v>
      </c>
      <c r="L79" s="128">
        <v>4</v>
      </c>
      <c r="M79" s="128" t="s">
        <v>664</v>
      </c>
      <c r="N79" s="128" t="s">
        <v>665</v>
      </c>
      <c r="O79" s="139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40"/>
    </row>
    <row r="80" spans="1:26" x14ac:dyDescent="0.25">
      <c r="A80" s="127">
        <f t="shared" si="2"/>
        <v>78</v>
      </c>
      <c r="B80" s="128"/>
      <c r="C80" s="128"/>
      <c r="D80" s="128"/>
      <c r="E80" s="128"/>
      <c r="F80" s="138" t="s">
        <v>1933</v>
      </c>
      <c r="G80" s="132"/>
      <c r="H80" s="128"/>
      <c r="I80" s="128" t="s">
        <v>2007</v>
      </c>
      <c r="J80" s="128">
        <v>0</v>
      </c>
      <c r="K80" s="128">
        <v>6</v>
      </c>
      <c r="L80" s="128">
        <v>5</v>
      </c>
      <c r="M80" s="128" t="s">
        <v>664</v>
      </c>
      <c r="N80" s="128" t="s">
        <v>665</v>
      </c>
      <c r="O80" s="139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40"/>
    </row>
    <row r="81" spans="1:26" x14ac:dyDescent="0.25">
      <c r="A81" s="127">
        <f t="shared" si="2"/>
        <v>79</v>
      </c>
      <c r="B81" s="128"/>
      <c r="C81" s="128"/>
      <c r="D81" s="128"/>
      <c r="E81" s="128"/>
      <c r="F81" s="138" t="s">
        <v>1933</v>
      </c>
      <c r="G81" s="132"/>
      <c r="H81" s="128"/>
      <c r="I81" s="128" t="s">
        <v>2007</v>
      </c>
      <c r="J81" s="128">
        <v>0</v>
      </c>
      <c r="K81" s="128">
        <v>6</v>
      </c>
      <c r="L81" s="128">
        <v>6</v>
      </c>
      <c r="M81" s="128" t="s">
        <v>664</v>
      </c>
      <c r="N81" s="128" t="s">
        <v>665</v>
      </c>
      <c r="O81" s="139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40"/>
    </row>
    <row r="82" spans="1:26" x14ac:dyDescent="0.25">
      <c r="A82" s="127">
        <f t="shared" si="2"/>
        <v>80</v>
      </c>
      <c r="B82" s="128"/>
      <c r="C82" s="128"/>
      <c r="D82" s="128"/>
      <c r="E82" s="128"/>
      <c r="F82" s="138" t="s">
        <v>1933</v>
      </c>
      <c r="G82" s="132"/>
      <c r="H82" s="128"/>
      <c r="I82" s="128" t="s">
        <v>2007</v>
      </c>
      <c r="J82" s="128">
        <v>0</v>
      </c>
      <c r="K82" s="128">
        <v>6</v>
      </c>
      <c r="L82" s="128">
        <v>7</v>
      </c>
      <c r="M82" s="128" t="s">
        <v>664</v>
      </c>
      <c r="N82" s="128" t="s">
        <v>665</v>
      </c>
      <c r="O82" s="139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40"/>
    </row>
    <row r="83" spans="1:26" x14ac:dyDescent="0.25">
      <c r="O83" s="167"/>
      <c r="Z83" s="166"/>
    </row>
    <row r="84" spans="1:26" x14ac:dyDescent="0.25">
      <c r="O84" s="167"/>
      <c r="Z84" s="166"/>
    </row>
    <row r="85" spans="1:26" x14ac:dyDescent="0.25">
      <c r="O85" s="167"/>
      <c r="Z85" s="166"/>
    </row>
    <row r="86" spans="1:26" x14ac:dyDescent="0.25">
      <c r="O86" s="167"/>
      <c r="Z86" s="166"/>
    </row>
    <row r="87" spans="1:26" ht="67.150000000000006" hidden="1" customHeight="1" x14ac:dyDescent="0.25">
      <c r="L87" s="191"/>
      <c r="M87" s="192"/>
      <c r="N87" s="216" t="s">
        <v>1992</v>
      </c>
      <c r="O87" s="172" t="s">
        <v>1993</v>
      </c>
      <c r="P87" s="173" t="s">
        <v>15</v>
      </c>
      <c r="Q87" s="173" t="s">
        <v>16</v>
      </c>
      <c r="R87" s="173" t="s">
        <v>17</v>
      </c>
      <c r="S87" s="173" t="s">
        <v>18</v>
      </c>
      <c r="T87" s="173" t="s">
        <v>19</v>
      </c>
      <c r="U87" s="173" t="s">
        <v>20</v>
      </c>
      <c r="V87" s="173" t="s">
        <v>21</v>
      </c>
      <c r="W87" s="173" t="s">
        <v>22</v>
      </c>
      <c r="X87" s="174" t="s">
        <v>23</v>
      </c>
      <c r="Y87" s="174" t="s">
        <v>24</v>
      </c>
    </row>
    <row r="88" spans="1:26" ht="21" hidden="1" customHeight="1" x14ac:dyDescent="0.35">
      <c r="L88" s="191"/>
      <c r="M88" s="192"/>
      <c r="N88" s="217" t="s">
        <v>1994</v>
      </c>
      <c r="O88" s="177"/>
      <c r="P88" s="129">
        <f>COUNTIFS($C$4:$C$82, "&lt;&gt;", P4:P82,"&lt;&gt;")</f>
        <v>0</v>
      </c>
      <c r="Q88" s="129">
        <f>COUNTIFS($C$4:$C$82, "&lt;&gt;", Q4:Q82,"&lt;&gt;")</f>
        <v>0</v>
      </c>
      <c r="R88" s="129">
        <f>COUNTIFS($C$4:$C$82, "&lt;&gt;", R4:R82,"Y")</f>
        <v>0</v>
      </c>
      <c r="S88" s="129">
        <f t="shared" ref="S88:X88" si="3">COUNTIFS($C$4:$C$82, "&lt;&gt;", S4:S82,"&lt;&gt;")</f>
        <v>0</v>
      </c>
      <c r="T88" s="129">
        <f t="shared" si="3"/>
        <v>0</v>
      </c>
      <c r="U88" s="129">
        <f t="shared" si="3"/>
        <v>0</v>
      </c>
      <c r="V88" s="129">
        <f t="shared" si="3"/>
        <v>0</v>
      </c>
      <c r="W88" s="129">
        <f t="shared" si="3"/>
        <v>0</v>
      </c>
      <c r="X88" s="129">
        <f t="shared" si="3"/>
        <v>0</v>
      </c>
      <c r="Y88" s="129">
        <f>COUNTIFS($C$4:$C$82, "&lt;&gt;", Y4:Y82,"Y")</f>
        <v>0</v>
      </c>
      <c r="Z88" s="178"/>
    </row>
    <row r="89" spans="1:26" ht="21" hidden="1" customHeight="1" x14ac:dyDescent="0.35">
      <c r="L89" s="191"/>
      <c r="M89" s="192"/>
      <c r="N89" s="217" t="s">
        <v>1995</v>
      </c>
      <c r="O89" s="177"/>
      <c r="P89" s="129">
        <f>COUNTIF($C4:$C82,"*?")</f>
        <v>0</v>
      </c>
      <c r="Q89" s="129">
        <f>COUNTIF($C4:$C82,"*?")</f>
        <v>0</v>
      </c>
      <c r="R89" s="129">
        <f>COUNTIF($C4:$C82,"*XV*")+COUNTIF($C4:$C82,"*XY-*")+COUNTIF($C4:$C82,"*YS*")+COUNTIF($C4:$C82,"*CV*")</f>
        <v>0</v>
      </c>
      <c r="S89" s="129">
        <f t="shared" ref="S89:X89" si="4">COUNTIF($C4:$C82,"*?")</f>
        <v>0</v>
      </c>
      <c r="T89" s="129">
        <f t="shared" si="4"/>
        <v>0</v>
      </c>
      <c r="U89" s="129">
        <f t="shared" si="4"/>
        <v>0</v>
      </c>
      <c r="V89" s="129">
        <f t="shared" si="4"/>
        <v>0</v>
      </c>
      <c r="W89" s="129">
        <f t="shared" si="4"/>
        <v>0</v>
      </c>
      <c r="X89" s="129">
        <f t="shared" si="4"/>
        <v>0</v>
      </c>
      <c r="Y89" s="129">
        <f>COUNTIFS($C$4:$C$82, "&lt;&gt;", X4:X82,"&lt;&gt;")</f>
        <v>0</v>
      </c>
      <c r="Z89" s="178"/>
    </row>
    <row r="90" spans="1:26" ht="21" hidden="1" customHeight="1" x14ac:dyDescent="0.35">
      <c r="L90" s="191"/>
      <c r="M90" s="192"/>
      <c r="N90" s="217" t="s">
        <v>1996</v>
      </c>
      <c r="O90" s="177"/>
      <c r="P90" s="179" t="e">
        <f t="shared" ref="P90:X90" si="5">P88/P89</f>
        <v>#DIV/0!</v>
      </c>
      <c r="Q90" s="179" t="e">
        <f t="shared" si="5"/>
        <v>#DIV/0!</v>
      </c>
      <c r="R90" s="179" t="e">
        <f t="shared" si="5"/>
        <v>#DIV/0!</v>
      </c>
      <c r="S90" s="179" t="e">
        <f t="shared" si="5"/>
        <v>#DIV/0!</v>
      </c>
      <c r="T90" s="179" t="e">
        <f t="shared" si="5"/>
        <v>#DIV/0!</v>
      </c>
      <c r="U90" s="179" t="e">
        <f t="shared" si="5"/>
        <v>#DIV/0!</v>
      </c>
      <c r="V90" s="179" t="e">
        <f t="shared" si="5"/>
        <v>#DIV/0!</v>
      </c>
      <c r="W90" s="179" t="e">
        <f t="shared" si="5"/>
        <v>#DIV/0!</v>
      </c>
      <c r="X90" s="179" t="e">
        <f t="shared" si="5"/>
        <v>#DIV/0!</v>
      </c>
      <c r="Y90" s="179">
        <f>IFERROR(Y88/Y89,0)</f>
        <v>0</v>
      </c>
      <c r="Z90" s="178"/>
    </row>
    <row r="91" spans="1:26" ht="21" hidden="1" customHeight="1" x14ac:dyDescent="0.35">
      <c r="A91" s="136"/>
      <c r="B91" s="165"/>
      <c r="C91" s="165"/>
      <c r="D91" s="165"/>
      <c r="E91" s="165"/>
      <c r="F91" s="166"/>
      <c r="G91" s="165"/>
      <c r="J91" s="136"/>
      <c r="K91" s="136"/>
      <c r="L91" s="180"/>
      <c r="M91" s="181"/>
      <c r="N91" s="217" t="s">
        <v>1997</v>
      </c>
      <c r="O91" s="177"/>
      <c r="P91" s="179" t="e">
        <f t="shared" ref="P91:Y91" si="6">1-P90</f>
        <v>#DIV/0!</v>
      </c>
      <c r="Q91" s="179" t="e">
        <f t="shared" si="6"/>
        <v>#DIV/0!</v>
      </c>
      <c r="R91" s="179" t="e">
        <f t="shared" si="6"/>
        <v>#DIV/0!</v>
      </c>
      <c r="S91" s="179" t="e">
        <f t="shared" si="6"/>
        <v>#DIV/0!</v>
      </c>
      <c r="T91" s="179" t="e">
        <f t="shared" si="6"/>
        <v>#DIV/0!</v>
      </c>
      <c r="U91" s="179" t="e">
        <f t="shared" si="6"/>
        <v>#DIV/0!</v>
      </c>
      <c r="V91" s="179" t="e">
        <f t="shared" si="6"/>
        <v>#DIV/0!</v>
      </c>
      <c r="W91" s="179" t="e">
        <f t="shared" si="6"/>
        <v>#DIV/0!</v>
      </c>
      <c r="X91" s="179" t="e">
        <f t="shared" si="6"/>
        <v>#DIV/0!</v>
      </c>
      <c r="Y91" s="179">
        <f t="shared" si="6"/>
        <v>1</v>
      </c>
      <c r="Z91" s="178"/>
    </row>
    <row r="92" spans="1:26" hidden="1" x14ac:dyDescent="0.25">
      <c r="L92" s="1"/>
      <c r="M92" s="1"/>
      <c r="N92" s="1"/>
      <c r="O92" s="1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66"/>
    </row>
    <row r="93" spans="1:26" ht="21" hidden="1" customHeight="1" x14ac:dyDescent="0.35">
      <c r="L93" s="191"/>
      <c r="M93" s="185"/>
      <c r="N93" s="185" t="s">
        <v>1998</v>
      </c>
      <c r="O93" s="184"/>
      <c r="P93" s="170"/>
      <c r="Q93" s="170"/>
      <c r="R93" s="170"/>
      <c r="S93" s="185"/>
      <c r="T93" s="170"/>
      <c r="U93" s="170"/>
      <c r="V93" s="170"/>
      <c r="W93" s="170"/>
      <c r="X93" s="170"/>
      <c r="Y93" s="186"/>
      <c r="Z93" s="166"/>
    </row>
    <row r="94" spans="1:26" ht="21" hidden="1" customHeight="1" x14ac:dyDescent="0.35">
      <c r="L94" s="191"/>
      <c r="M94" s="192"/>
      <c r="N94" s="218" t="s">
        <v>1994</v>
      </c>
      <c r="O94" s="188"/>
      <c r="P94" s="189">
        <f>COUNTIFS($H$4:$H$82, "PROC", P4:P82,"&lt;&gt;")</f>
        <v>0</v>
      </c>
      <c r="Q94" s="189">
        <f>COUNTIFS($H$4:$H$82, "PROC", Q4:Q82,"&lt;&gt;")</f>
        <v>0</v>
      </c>
      <c r="R94" s="189">
        <f>COUNTIFS($H$4:$H$82, "PROC", R4:R82,"Y")</f>
        <v>0</v>
      </c>
      <c r="S94" s="189">
        <f t="shared" ref="S94:X94" si="7">COUNTIFS($H$4:$H$82, "PROC", S4:S82,"&lt;&gt;")</f>
        <v>0</v>
      </c>
      <c r="T94" s="189">
        <f t="shared" si="7"/>
        <v>0</v>
      </c>
      <c r="U94" s="189">
        <f t="shared" si="7"/>
        <v>0</v>
      </c>
      <c r="V94" s="189">
        <f t="shared" si="7"/>
        <v>0</v>
      </c>
      <c r="W94" s="189">
        <f t="shared" si="7"/>
        <v>0</v>
      </c>
      <c r="X94" s="189">
        <f t="shared" si="7"/>
        <v>0</v>
      </c>
      <c r="Y94" s="189">
        <f>COUNTIFS($H$4:$H$82, "PROC", Y4:Y82,"Y")</f>
        <v>0</v>
      </c>
      <c r="Z94" s="166"/>
    </row>
    <row r="95" spans="1:26" ht="21" hidden="1" customHeight="1" x14ac:dyDescent="0.35">
      <c r="L95" s="219"/>
      <c r="M95" s="192"/>
      <c r="N95" s="218" t="s">
        <v>1995</v>
      </c>
      <c r="O95" s="188"/>
      <c r="P95" s="129">
        <f>COUNTIFS($H$4:$H$82, "PROC", $C$4:$C$82,"&lt;&gt;")</f>
        <v>0</v>
      </c>
      <c r="Q95" s="129">
        <f>COUNTIFS($H$4:$H$82, "PROC", $C$4:$C$82,"&lt;&gt;")</f>
        <v>0</v>
      </c>
      <c r="R95" s="129">
        <f>COUNTIFS($H$4:$H$82, "PROC", $C$4:$C$82,"*XV*")+COUNTIFS($H$4:$H$82, "PROC", $C$4:$C$82,"*XY-*")+COUNTIFS($H$4:$H$82, "PROC", $C$4:$C$82,"*CV*")+COUNTIFS($H$4:$H$82, "PROC", $C$4:$C$82,"*YS*")</f>
        <v>0</v>
      </c>
      <c r="S95" s="129">
        <f t="shared" ref="S95:X95" si="8">COUNTIFS($H$4:$H$82, "PROC", $C$4:$C$82,"&lt;&gt;")</f>
        <v>0</v>
      </c>
      <c r="T95" s="129">
        <f t="shared" si="8"/>
        <v>0</v>
      </c>
      <c r="U95" s="129">
        <f t="shared" si="8"/>
        <v>0</v>
      </c>
      <c r="V95" s="129">
        <f t="shared" si="8"/>
        <v>0</v>
      </c>
      <c r="W95" s="129">
        <f t="shared" si="8"/>
        <v>0</v>
      </c>
      <c r="X95" s="129">
        <f t="shared" si="8"/>
        <v>0</v>
      </c>
      <c r="Y95" s="129">
        <f>COUNTIFS($H$4:$H$82, "PROC", X4:X82,"&lt;&gt;")</f>
        <v>0</v>
      </c>
      <c r="Z95" s="166"/>
    </row>
    <row r="96" spans="1:26" ht="21" hidden="1" customHeight="1" x14ac:dyDescent="0.35">
      <c r="L96" s="191"/>
      <c r="M96" s="192"/>
      <c r="N96" s="218" t="s">
        <v>1996</v>
      </c>
      <c r="O96" s="188"/>
      <c r="P96" s="179" t="e">
        <f t="shared" ref="P96:X96" si="9">P94/P95</f>
        <v>#DIV/0!</v>
      </c>
      <c r="Q96" s="179" t="e">
        <f t="shared" si="9"/>
        <v>#DIV/0!</v>
      </c>
      <c r="R96" s="179" t="e">
        <f t="shared" si="9"/>
        <v>#DIV/0!</v>
      </c>
      <c r="S96" s="179" t="e">
        <f t="shared" si="9"/>
        <v>#DIV/0!</v>
      </c>
      <c r="T96" s="179" t="e">
        <f t="shared" si="9"/>
        <v>#DIV/0!</v>
      </c>
      <c r="U96" s="179" t="e">
        <f t="shared" si="9"/>
        <v>#DIV/0!</v>
      </c>
      <c r="V96" s="179" t="e">
        <f t="shared" si="9"/>
        <v>#DIV/0!</v>
      </c>
      <c r="W96" s="179" t="e">
        <f t="shared" si="9"/>
        <v>#DIV/0!</v>
      </c>
      <c r="X96" s="179" t="e">
        <f t="shared" si="9"/>
        <v>#DIV/0!</v>
      </c>
      <c r="Y96" s="179">
        <f>IFERROR(Y94/Y95,0)</f>
        <v>0</v>
      </c>
      <c r="Z96" s="166"/>
    </row>
    <row r="97" spans="1:26" ht="21" hidden="1" customHeight="1" x14ac:dyDescent="0.35">
      <c r="L97" s="191"/>
      <c r="M97" s="192"/>
      <c r="N97" s="218" t="s">
        <v>1997</v>
      </c>
      <c r="O97" s="188"/>
      <c r="P97" s="179" t="e">
        <f t="shared" ref="P97:Y97" si="10">1-P96</f>
        <v>#DIV/0!</v>
      </c>
      <c r="Q97" s="179" t="e">
        <f t="shared" si="10"/>
        <v>#DIV/0!</v>
      </c>
      <c r="R97" s="179" t="e">
        <f t="shared" si="10"/>
        <v>#DIV/0!</v>
      </c>
      <c r="S97" s="179" t="e">
        <f t="shared" si="10"/>
        <v>#DIV/0!</v>
      </c>
      <c r="T97" s="179" t="e">
        <f t="shared" si="10"/>
        <v>#DIV/0!</v>
      </c>
      <c r="U97" s="179" t="e">
        <f t="shared" si="10"/>
        <v>#DIV/0!</v>
      </c>
      <c r="V97" s="179" t="e">
        <f t="shared" si="10"/>
        <v>#DIV/0!</v>
      </c>
      <c r="W97" s="179" t="e">
        <f t="shared" si="10"/>
        <v>#DIV/0!</v>
      </c>
      <c r="X97" s="179" t="e">
        <f t="shared" si="10"/>
        <v>#DIV/0!</v>
      </c>
      <c r="Y97" s="179">
        <f t="shared" si="10"/>
        <v>1</v>
      </c>
      <c r="Z97" s="166"/>
    </row>
    <row r="98" spans="1:26" hidden="1" x14ac:dyDescent="0.25">
      <c r="L98" s="1"/>
      <c r="M98" s="1"/>
      <c r="N98" s="194"/>
      <c r="O98" s="194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66"/>
    </row>
    <row r="99" spans="1:26" ht="21" hidden="1" customHeight="1" x14ac:dyDescent="0.35">
      <c r="G99" s="195"/>
      <c r="H99" s="195"/>
      <c r="I99" s="195"/>
      <c r="L99" s="191"/>
      <c r="M99" s="185"/>
      <c r="N99" s="185" t="s">
        <v>2000</v>
      </c>
      <c r="O99" s="192"/>
      <c r="P99" s="170"/>
      <c r="Q99" s="170"/>
      <c r="R99" s="170"/>
      <c r="S99" s="185"/>
      <c r="T99" s="170"/>
      <c r="U99" s="170"/>
      <c r="V99" s="170"/>
      <c r="W99" s="170"/>
      <c r="X99" s="170"/>
      <c r="Y99" s="186"/>
      <c r="Z99" s="220"/>
    </row>
    <row r="100" spans="1:26" ht="21" hidden="1" customHeight="1" x14ac:dyDescent="0.35">
      <c r="L100" s="191"/>
      <c r="M100" s="192"/>
      <c r="N100" s="218" t="s">
        <v>1994</v>
      </c>
      <c r="O100" s="188"/>
      <c r="P100" s="129">
        <f>COUNTIFS($H$4:$H$82, "CHILL", P4:P82,"&lt;&gt;")</f>
        <v>0</v>
      </c>
      <c r="Q100" s="129">
        <f>COUNTIFS($H$4:$H$82, "CHILL", Q4:Q82,"&lt;&gt;")</f>
        <v>0</v>
      </c>
      <c r="R100" s="129">
        <f>COUNTIFS($H$4:$H$82, "CHILL", R4:R82,"Y")</f>
        <v>0</v>
      </c>
      <c r="S100" s="129">
        <f t="shared" ref="S100:X100" si="11">COUNTIFS($H$4:$H$82, "CHILL", S4:S82,"&lt;&gt;")</f>
        <v>0</v>
      </c>
      <c r="T100" s="129">
        <f t="shared" si="11"/>
        <v>0</v>
      </c>
      <c r="U100" s="129">
        <f t="shared" si="11"/>
        <v>0</v>
      </c>
      <c r="V100" s="129">
        <f t="shared" si="11"/>
        <v>0</v>
      </c>
      <c r="W100" s="129">
        <f t="shared" si="11"/>
        <v>0</v>
      </c>
      <c r="X100" s="129">
        <f t="shared" si="11"/>
        <v>0</v>
      </c>
      <c r="Y100" s="129">
        <f>COUNTIFS($H$4:$H$82, "CHILL", Y4:Y82,"Y")</f>
        <v>0</v>
      </c>
    </row>
    <row r="101" spans="1:26" ht="21" hidden="1" customHeight="1" x14ac:dyDescent="0.35">
      <c r="L101" s="191"/>
      <c r="M101" s="192"/>
      <c r="N101" s="218" t="s">
        <v>1995</v>
      </c>
      <c r="O101" s="188"/>
      <c r="P101" s="129">
        <f>COUNTIFS($H$4:$H$82, "CHILL", $C$4:$C$82,"&lt;&gt;")</f>
        <v>0</v>
      </c>
      <c r="Q101" s="129">
        <f>COUNTIFS($H$4:$H$82, "CHILL", $C$4:$C$82,"&lt;&gt;")</f>
        <v>0</v>
      </c>
      <c r="R101" s="129">
        <f>COUNTIFS($H$4:$H$82, "CHILL", $C$4:$C$82,"*XV*")+COUNTIFS($H$4:$H$82, "CHILL", $C$4:$C$82,"*XY-*")+COUNTIFS($H$4:$H$82, "CHILL", $C$4:$C$82,"*CV*")+COUNTIFS($H$4:$H$82, "CHILL", $C$4:$C$82,"*YS*")</f>
        <v>0</v>
      </c>
      <c r="S101" s="129">
        <f t="shared" ref="S101:X101" si="12">COUNTIFS($H$4:$H$82, "CHILL", $C$4:$C$82,"&lt;&gt;")</f>
        <v>0</v>
      </c>
      <c r="T101" s="129">
        <f t="shared" si="12"/>
        <v>0</v>
      </c>
      <c r="U101" s="129">
        <f t="shared" si="12"/>
        <v>0</v>
      </c>
      <c r="V101" s="129">
        <f t="shared" si="12"/>
        <v>0</v>
      </c>
      <c r="W101" s="129">
        <f t="shared" si="12"/>
        <v>0</v>
      </c>
      <c r="X101" s="129">
        <f t="shared" si="12"/>
        <v>0</v>
      </c>
      <c r="Y101" s="129">
        <f>COUNTIFS($H$4:$H$82, "CHILL", X4:X82,"&lt;&gt;")</f>
        <v>0</v>
      </c>
    </row>
    <row r="102" spans="1:26" ht="21" hidden="1" customHeight="1" x14ac:dyDescent="0.35">
      <c r="L102" s="191"/>
      <c r="M102" s="192"/>
      <c r="N102" s="218" t="s">
        <v>1996</v>
      </c>
      <c r="O102" s="188"/>
      <c r="P102" s="179" t="e">
        <f t="shared" ref="P102:X102" si="13">P100/P101</f>
        <v>#DIV/0!</v>
      </c>
      <c r="Q102" s="179" t="e">
        <f t="shared" si="13"/>
        <v>#DIV/0!</v>
      </c>
      <c r="R102" s="179" t="e">
        <f t="shared" si="13"/>
        <v>#DIV/0!</v>
      </c>
      <c r="S102" s="179" t="e">
        <f t="shared" si="13"/>
        <v>#DIV/0!</v>
      </c>
      <c r="T102" s="179" t="e">
        <f t="shared" si="13"/>
        <v>#DIV/0!</v>
      </c>
      <c r="U102" s="179" t="e">
        <f t="shared" si="13"/>
        <v>#DIV/0!</v>
      </c>
      <c r="V102" s="179" t="e">
        <f t="shared" si="13"/>
        <v>#DIV/0!</v>
      </c>
      <c r="W102" s="179" t="e">
        <f t="shared" si="13"/>
        <v>#DIV/0!</v>
      </c>
      <c r="X102" s="179" t="e">
        <f t="shared" si="13"/>
        <v>#DIV/0!</v>
      </c>
      <c r="Y102" s="179">
        <f>IFERROR(Y100/Y101,0)</f>
        <v>0</v>
      </c>
    </row>
    <row r="103" spans="1:26" ht="21" hidden="1" customHeight="1" x14ac:dyDescent="0.35">
      <c r="L103" s="191"/>
      <c r="M103" s="192"/>
      <c r="N103" s="218" t="s">
        <v>1997</v>
      </c>
      <c r="O103" s="188"/>
      <c r="P103" s="179" t="e">
        <f t="shared" ref="P103:Y103" si="14">1-P102</f>
        <v>#DIV/0!</v>
      </c>
      <c r="Q103" s="179" t="e">
        <f t="shared" si="14"/>
        <v>#DIV/0!</v>
      </c>
      <c r="R103" s="179" t="e">
        <f t="shared" si="14"/>
        <v>#DIV/0!</v>
      </c>
      <c r="S103" s="179" t="e">
        <f t="shared" si="14"/>
        <v>#DIV/0!</v>
      </c>
      <c r="T103" s="179" t="e">
        <f t="shared" si="14"/>
        <v>#DIV/0!</v>
      </c>
      <c r="U103" s="179" t="e">
        <f t="shared" si="14"/>
        <v>#DIV/0!</v>
      </c>
      <c r="V103" s="179" t="e">
        <f t="shared" si="14"/>
        <v>#DIV/0!</v>
      </c>
      <c r="W103" s="179" t="e">
        <f t="shared" si="14"/>
        <v>#DIV/0!</v>
      </c>
      <c r="X103" s="179" t="e">
        <f t="shared" si="14"/>
        <v>#DIV/0!</v>
      </c>
      <c r="Y103" s="179">
        <f t="shared" si="14"/>
        <v>1</v>
      </c>
    </row>
    <row r="104" spans="1:26" hidden="1" x14ac:dyDescent="0.25">
      <c r="L104" s="1"/>
      <c r="M104" s="1"/>
      <c r="N104" s="194"/>
      <c r="O104" s="194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</row>
    <row r="105" spans="1:26" ht="21" hidden="1" customHeight="1" x14ac:dyDescent="0.35">
      <c r="L105" s="191"/>
      <c r="M105" s="185"/>
      <c r="N105" s="185" t="s">
        <v>2001</v>
      </c>
      <c r="O105" s="192"/>
      <c r="P105" s="170"/>
      <c r="Q105" s="170"/>
      <c r="R105" s="170"/>
      <c r="S105" s="185"/>
      <c r="T105" s="170"/>
      <c r="U105" s="170"/>
      <c r="V105" s="170"/>
      <c r="W105" s="170"/>
      <c r="X105" s="170"/>
      <c r="Y105" s="186"/>
    </row>
    <row r="106" spans="1:26" s="175" customFormat="1" ht="21" hidden="1" customHeight="1" x14ac:dyDescent="0.35">
      <c r="A106" s="165"/>
      <c r="B106" s="167"/>
      <c r="C106" s="167"/>
      <c r="D106" s="167"/>
      <c r="E106" s="167"/>
      <c r="F106" s="168"/>
      <c r="G106" s="167"/>
      <c r="H106" s="167"/>
      <c r="I106" s="167"/>
      <c r="J106" s="167"/>
      <c r="K106" s="167"/>
      <c r="L106" s="191"/>
      <c r="M106" s="192"/>
      <c r="N106" s="218" t="s">
        <v>1994</v>
      </c>
      <c r="O106" s="188"/>
      <c r="P106" s="129">
        <f>COUNTIFS($H$4:$H$82, "INTSL", P4:P82,"&lt;&gt;")</f>
        <v>0</v>
      </c>
      <c r="Q106" s="129">
        <f>COUNTIFS($H$4:$H$82, "INTSL", Q4:Q82,"&lt;&gt;")</f>
        <v>0</v>
      </c>
      <c r="R106" s="129">
        <f>COUNTIFS($H$4:$H$82, "INTSL", R4:R82,"Y")</f>
        <v>0</v>
      </c>
      <c r="S106" s="129">
        <f t="shared" ref="S106:X106" si="15">COUNTIFS($H$4:$H$82, "INTSL", S4:S82,"&lt;&gt;")</f>
        <v>0</v>
      </c>
      <c r="T106" s="129">
        <f t="shared" si="15"/>
        <v>0</v>
      </c>
      <c r="U106" s="129">
        <f t="shared" si="15"/>
        <v>0</v>
      </c>
      <c r="V106" s="129">
        <f t="shared" si="15"/>
        <v>0</v>
      </c>
      <c r="W106" s="129">
        <f t="shared" si="15"/>
        <v>0</v>
      </c>
      <c r="X106" s="129">
        <f t="shared" si="15"/>
        <v>0</v>
      </c>
      <c r="Y106" s="129">
        <f>COUNTIFS($H$4:$H$82, "INTSL", Y4:Y82,"Y")</f>
        <v>0</v>
      </c>
    </row>
    <row r="107" spans="1:26" s="175" customFormat="1" ht="21" hidden="1" customHeight="1" x14ac:dyDescent="0.35">
      <c r="A107" s="165"/>
      <c r="B107" s="167"/>
      <c r="C107" s="167"/>
      <c r="D107" s="167"/>
      <c r="E107" s="167"/>
      <c r="F107" s="168"/>
      <c r="G107" s="167"/>
      <c r="H107" s="167"/>
      <c r="I107" s="167"/>
      <c r="J107" s="167"/>
      <c r="K107" s="167"/>
      <c r="L107" s="191"/>
      <c r="M107" s="192"/>
      <c r="N107" s="218" t="s">
        <v>1995</v>
      </c>
      <c r="O107" s="188"/>
      <c r="P107" s="129">
        <f>COUNTIFS($H$4:$H$82, "INTSL", $C$4:$C$82,"&lt;&gt;")</f>
        <v>0</v>
      </c>
      <c r="Q107" s="129">
        <f>COUNTIFS($H$4:$H$82, "INTSL", $C$4:$C$82,"&lt;&gt;")</f>
        <v>0</v>
      </c>
      <c r="R107" s="129">
        <f>COUNTIFS($H$4:$H$82, "INTSL", $C$4:$C$82,"*XV*")+COUNTIFS($H$4:$H$82, "INTSL", $C$4:$C$82,"*XY-*")+COUNTIFS($H$4:$H$82, "INTSL", $C$4:$C$82,"*CV*")+COUNTIFS($H$4:$H$82, "INTSL", $C$4:$C$82,"*YS*")</f>
        <v>0</v>
      </c>
      <c r="S107" s="129">
        <f t="shared" ref="S107:X107" si="16">COUNTIFS($H$4:$H$82, "INTSL", $C$4:$C$82,"&lt;&gt;")</f>
        <v>0</v>
      </c>
      <c r="T107" s="129">
        <f t="shared" si="16"/>
        <v>0</v>
      </c>
      <c r="U107" s="129">
        <f t="shared" si="16"/>
        <v>0</v>
      </c>
      <c r="V107" s="129">
        <f t="shared" si="16"/>
        <v>0</v>
      </c>
      <c r="W107" s="129">
        <f t="shared" si="16"/>
        <v>0</v>
      </c>
      <c r="X107" s="129">
        <f t="shared" si="16"/>
        <v>0</v>
      </c>
      <c r="Y107" s="129">
        <f>COUNTIFS($H$4:$H$82, "INTSL", X4:X82,"&lt;&gt;")</f>
        <v>0</v>
      </c>
    </row>
    <row r="108" spans="1:26" s="175" customFormat="1" ht="21" hidden="1" customHeight="1" x14ac:dyDescent="0.35">
      <c r="A108" s="165"/>
      <c r="B108" s="167"/>
      <c r="C108" s="167"/>
      <c r="D108" s="167"/>
      <c r="E108" s="167"/>
      <c r="F108" s="168"/>
      <c r="G108" s="167"/>
      <c r="H108" s="167"/>
      <c r="I108" s="167"/>
      <c r="J108" s="167"/>
      <c r="K108" s="167"/>
      <c r="L108" s="191"/>
      <c r="M108" s="192"/>
      <c r="N108" s="218" t="s">
        <v>1996</v>
      </c>
      <c r="O108" s="188"/>
      <c r="P108" s="179" t="e">
        <f t="shared" ref="P108:X108" si="17">P106/P107</f>
        <v>#DIV/0!</v>
      </c>
      <c r="Q108" s="179" t="e">
        <f t="shared" si="17"/>
        <v>#DIV/0!</v>
      </c>
      <c r="R108" s="179" t="e">
        <f t="shared" si="17"/>
        <v>#DIV/0!</v>
      </c>
      <c r="S108" s="179" t="e">
        <f t="shared" si="17"/>
        <v>#DIV/0!</v>
      </c>
      <c r="T108" s="179" t="e">
        <f t="shared" si="17"/>
        <v>#DIV/0!</v>
      </c>
      <c r="U108" s="179" t="e">
        <f t="shared" si="17"/>
        <v>#DIV/0!</v>
      </c>
      <c r="V108" s="179" t="e">
        <f t="shared" si="17"/>
        <v>#DIV/0!</v>
      </c>
      <c r="W108" s="179" t="e">
        <f t="shared" si="17"/>
        <v>#DIV/0!</v>
      </c>
      <c r="X108" s="179" t="e">
        <f t="shared" si="17"/>
        <v>#DIV/0!</v>
      </c>
      <c r="Y108" s="179">
        <f>IFERROR(Y106/Y107,0)</f>
        <v>0</v>
      </c>
    </row>
    <row r="109" spans="1:26" s="175" customFormat="1" ht="21" hidden="1" customHeight="1" x14ac:dyDescent="0.35">
      <c r="A109" s="165"/>
      <c r="B109" s="167"/>
      <c r="C109" s="167"/>
      <c r="D109" s="167"/>
      <c r="E109" s="167"/>
      <c r="F109" s="168"/>
      <c r="G109" s="167"/>
      <c r="H109" s="167"/>
      <c r="I109" s="167"/>
      <c r="J109" s="167"/>
      <c r="K109" s="167"/>
      <c r="L109" s="191"/>
      <c r="M109" s="192"/>
      <c r="N109" s="218" t="s">
        <v>1997</v>
      </c>
      <c r="O109" s="188"/>
      <c r="P109" s="179" t="e">
        <f t="shared" ref="P109:Y109" si="18">1-P108</f>
        <v>#DIV/0!</v>
      </c>
      <c r="Q109" s="179" t="e">
        <f t="shared" si="18"/>
        <v>#DIV/0!</v>
      </c>
      <c r="R109" s="179" t="e">
        <f t="shared" si="18"/>
        <v>#DIV/0!</v>
      </c>
      <c r="S109" s="179" t="e">
        <f t="shared" si="18"/>
        <v>#DIV/0!</v>
      </c>
      <c r="T109" s="179" t="e">
        <f t="shared" si="18"/>
        <v>#DIV/0!</v>
      </c>
      <c r="U109" s="179" t="e">
        <f t="shared" si="18"/>
        <v>#DIV/0!</v>
      </c>
      <c r="V109" s="179" t="e">
        <f t="shared" si="18"/>
        <v>#DIV/0!</v>
      </c>
      <c r="W109" s="179" t="e">
        <f t="shared" si="18"/>
        <v>#DIV/0!</v>
      </c>
      <c r="X109" s="179" t="e">
        <f t="shared" si="18"/>
        <v>#DIV/0!</v>
      </c>
      <c r="Y109" s="179">
        <f t="shared" si="18"/>
        <v>1</v>
      </c>
    </row>
    <row r="110" spans="1:26" s="175" customFormat="1" hidden="1" x14ac:dyDescent="0.25">
      <c r="A110" s="165"/>
      <c r="B110" s="167"/>
      <c r="C110" s="167"/>
      <c r="D110" s="167"/>
      <c r="E110" s="167"/>
      <c r="F110" s="168"/>
      <c r="G110" s="167"/>
      <c r="H110" s="167"/>
      <c r="I110" s="167"/>
      <c r="J110" s="167"/>
      <c r="K110" s="167"/>
      <c r="L110" s="1"/>
      <c r="M110" s="1"/>
      <c r="N110" s="194"/>
      <c r="O110" s="194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</row>
    <row r="111" spans="1:26" s="175" customFormat="1" ht="21" hidden="1" customHeight="1" x14ac:dyDescent="0.35">
      <c r="A111" s="165"/>
      <c r="B111" s="167"/>
      <c r="C111" s="167"/>
      <c r="D111" s="167"/>
      <c r="E111" s="167"/>
      <c r="F111" s="168"/>
      <c r="G111" s="167"/>
      <c r="H111" s="167"/>
      <c r="I111" s="167"/>
      <c r="J111" s="167"/>
      <c r="K111" s="167"/>
      <c r="L111" s="191"/>
      <c r="M111" s="185"/>
      <c r="N111" s="185" t="s">
        <v>2002</v>
      </c>
      <c r="O111" s="192"/>
      <c r="P111" s="170"/>
      <c r="Q111" s="170"/>
      <c r="R111" s="170"/>
      <c r="S111" s="185"/>
      <c r="T111" s="170"/>
      <c r="U111" s="170"/>
      <c r="V111" s="170"/>
      <c r="W111" s="170"/>
      <c r="X111" s="170"/>
      <c r="Y111" s="186"/>
    </row>
    <row r="112" spans="1:26" s="175" customFormat="1" ht="21" hidden="1" customHeight="1" x14ac:dyDescent="0.35">
      <c r="A112" s="165"/>
      <c r="B112" s="167"/>
      <c r="C112" s="167"/>
      <c r="D112" s="167"/>
      <c r="E112" s="167"/>
      <c r="F112" s="168"/>
      <c r="G112" s="167"/>
      <c r="H112" s="167"/>
      <c r="I112" s="167"/>
      <c r="J112" s="167"/>
      <c r="K112" s="167"/>
      <c r="L112" s="191"/>
      <c r="M112" s="192"/>
      <c r="N112" s="218" t="s">
        <v>1994</v>
      </c>
      <c r="O112" s="188"/>
      <c r="P112" s="129">
        <f>COUNTIFS($H$4:$H$82, "HX / LA", P4:P82,"&lt;&gt;")</f>
        <v>0</v>
      </c>
      <c r="Q112" s="129">
        <f>COUNTIFS($H$4:$H$82, "HX / LA", Q4:Q82,"&lt;&gt;")</f>
        <v>0</v>
      </c>
      <c r="R112" s="129">
        <f>COUNTIFS($H$4:$H$82, "HX / LA", R4:R82,"Y")</f>
        <v>0</v>
      </c>
      <c r="S112" s="129">
        <f t="shared" ref="S112:X112" si="19">COUNTIFS($H$4:$H$82, "HX / LA", S4:S82,"&lt;&gt;")</f>
        <v>0</v>
      </c>
      <c r="T112" s="129">
        <f t="shared" si="19"/>
        <v>0</v>
      </c>
      <c r="U112" s="129">
        <f t="shared" si="19"/>
        <v>0</v>
      </c>
      <c r="V112" s="129">
        <f t="shared" si="19"/>
        <v>0</v>
      </c>
      <c r="W112" s="129">
        <f t="shared" si="19"/>
        <v>0</v>
      </c>
      <c r="X112" s="129">
        <f t="shared" si="19"/>
        <v>0</v>
      </c>
      <c r="Y112" s="129">
        <f>COUNTIFS($H$4:$H$82, "HX / LA", Y4:Y82,"Y")</f>
        <v>0</v>
      </c>
    </row>
    <row r="113" spans="1:25" s="175" customFormat="1" ht="21" hidden="1" customHeight="1" x14ac:dyDescent="0.35">
      <c r="A113" s="165"/>
      <c r="B113" s="167"/>
      <c r="C113" s="167"/>
      <c r="D113" s="167"/>
      <c r="E113" s="167"/>
      <c r="F113" s="168"/>
      <c r="G113" s="167"/>
      <c r="H113" s="167"/>
      <c r="I113" s="167"/>
      <c r="J113" s="167"/>
      <c r="K113" s="167"/>
      <c r="L113" s="191"/>
      <c r="M113" s="192"/>
      <c r="N113" s="218" t="s">
        <v>1995</v>
      </c>
      <c r="O113" s="188"/>
      <c r="P113" s="129">
        <f>COUNTIFS($H$4:$H$82, "HX / LA", $C$4:$C$82,"&lt;&gt;")</f>
        <v>0</v>
      </c>
      <c r="Q113" s="129">
        <f>COUNTIFS($H$4:$H$82, "HX / LA", $C$4:$C$82,"&lt;&gt;")</f>
        <v>0</v>
      </c>
      <c r="R113" s="129">
        <f>COUNTIFS($H$4:$H$82, "HX / LA", $C$4:$C$82,"*XV*")+COUNTIFS($H$4:$H$82, "HX / LA", $C$4:$C$82,"*XY-*")+COUNTIFS($H$4:$H$82, "HX / LA", $C$4:$C$82,"*CV*")+COUNTIFS($H$4:$H$82, "HX / LA", $C$4:$C$82,"*YS*")</f>
        <v>0</v>
      </c>
      <c r="S113" s="129">
        <f t="shared" ref="S113:X113" si="20">COUNTIFS($H$4:$H$82, "HX / LA", $C$4:$C$82,"&lt;&gt;")</f>
        <v>0</v>
      </c>
      <c r="T113" s="129">
        <f t="shared" si="20"/>
        <v>0</v>
      </c>
      <c r="U113" s="129">
        <f t="shared" si="20"/>
        <v>0</v>
      </c>
      <c r="V113" s="129">
        <f t="shared" si="20"/>
        <v>0</v>
      </c>
      <c r="W113" s="129">
        <f t="shared" si="20"/>
        <v>0</v>
      </c>
      <c r="X113" s="129">
        <f t="shared" si="20"/>
        <v>0</v>
      </c>
      <c r="Y113" s="129">
        <f>COUNTIFS($H$4:$H$82, "HX / LA", X4:X82,"&lt;&gt;")</f>
        <v>0</v>
      </c>
    </row>
    <row r="114" spans="1:25" s="175" customFormat="1" ht="21" hidden="1" customHeight="1" x14ac:dyDescent="0.35">
      <c r="A114" s="165"/>
      <c r="B114" s="167"/>
      <c r="C114" s="167"/>
      <c r="D114" s="167"/>
      <c r="E114" s="167"/>
      <c r="F114" s="168"/>
      <c r="G114" s="167"/>
      <c r="H114" s="167"/>
      <c r="I114" s="167"/>
      <c r="J114" s="167"/>
      <c r="K114" s="167"/>
      <c r="L114" s="191"/>
      <c r="M114" s="192"/>
      <c r="N114" s="218" t="s">
        <v>1996</v>
      </c>
      <c r="O114" s="188"/>
      <c r="P114" s="179" t="e">
        <f t="shared" ref="P114:X114" si="21">P112/P113</f>
        <v>#DIV/0!</v>
      </c>
      <c r="Q114" s="179" t="e">
        <f t="shared" si="21"/>
        <v>#DIV/0!</v>
      </c>
      <c r="R114" s="179" t="e">
        <f t="shared" si="21"/>
        <v>#DIV/0!</v>
      </c>
      <c r="S114" s="179" t="e">
        <f t="shared" si="21"/>
        <v>#DIV/0!</v>
      </c>
      <c r="T114" s="179" t="e">
        <f t="shared" si="21"/>
        <v>#DIV/0!</v>
      </c>
      <c r="U114" s="179" t="e">
        <f t="shared" si="21"/>
        <v>#DIV/0!</v>
      </c>
      <c r="V114" s="179" t="e">
        <f t="shared" si="21"/>
        <v>#DIV/0!</v>
      </c>
      <c r="W114" s="179" t="e">
        <f t="shared" si="21"/>
        <v>#DIV/0!</v>
      </c>
      <c r="X114" s="179" t="e">
        <f t="shared" si="21"/>
        <v>#DIV/0!</v>
      </c>
      <c r="Y114" s="179">
        <f>IFERROR(Y112/Y113,0)</f>
        <v>0</v>
      </c>
    </row>
    <row r="115" spans="1:25" s="175" customFormat="1" ht="21" hidden="1" customHeight="1" x14ac:dyDescent="0.35">
      <c r="A115" s="165"/>
      <c r="B115" s="167"/>
      <c r="C115" s="167"/>
      <c r="D115" s="167"/>
      <c r="E115" s="167"/>
      <c r="F115" s="168"/>
      <c r="G115" s="167"/>
      <c r="H115" s="167"/>
      <c r="I115" s="167"/>
      <c r="J115" s="167"/>
      <c r="K115" s="167"/>
      <c r="L115" s="191"/>
      <c r="M115" s="192"/>
      <c r="N115" s="218" t="s">
        <v>1997</v>
      </c>
      <c r="O115" s="188"/>
      <c r="P115" s="179" t="e">
        <f t="shared" ref="P115:Y115" si="22">1-P114</f>
        <v>#DIV/0!</v>
      </c>
      <c r="Q115" s="179" t="e">
        <f t="shared" si="22"/>
        <v>#DIV/0!</v>
      </c>
      <c r="R115" s="179" t="e">
        <f t="shared" si="22"/>
        <v>#DIV/0!</v>
      </c>
      <c r="S115" s="179" t="e">
        <f t="shared" si="22"/>
        <v>#DIV/0!</v>
      </c>
      <c r="T115" s="179" t="e">
        <f t="shared" si="22"/>
        <v>#DIV/0!</v>
      </c>
      <c r="U115" s="179" t="e">
        <f t="shared" si="22"/>
        <v>#DIV/0!</v>
      </c>
      <c r="V115" s="179" t="e">
        <f t="shared" si="22"/>
        <v>#DIV/0!</v>
      </c>
      <c r="W115" s="179" t="e">
        <f t="shared" si="22"/>
        <v>#DIV/0!</v>
      </c>
      <c r="X115" s="179" t="e">
        <f t="shared" si="22"/>
        <v>#DIV/0!</v>
      </c>
      <c r="Y115" s="179">
        <f t="shared" si="22"/>
        <v>1</v>
      </c>
    </row>
    <row r="116" spans="1:25" s="175" customFormat="1" hidden="1" x14ac:dyDescent="0.25">
      <c r="A116" s="165"/>
      <c r="B116" s="167"/>
      <c r="C116" s="167"/>
      <c r="D116" s="167"/>
      <c r="E116" s="167"/>
      <c r="F116" s="168"/>
      <c r="G116" s="167"/>
      <c r="H116" s="167"/>
      <c r="I116" s="167"/>
      <c r="J116" s="167"/>
      <c r="K116" s="167"/>
      <c r="L116" s="1"/>
      <c r="M116" s="1"/>
      <c r="N116" s="194"/>
      <c r="O116" s="194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</row>
    <row r="117" spans="1:25" s="175" customFormat="1" ht="21" hidden="1" customHeight="1" x14ac:dyDescent="0.35">
      <c r="A117" s="165"/>
      <c r="B117" s="167"/>
      <c r="C117" s="167"/>
      <c r="D117" s="167"/>
      <c r="E117" s="167"/>
      <c r="F117" s="168"/>
      <c r="G117" s="167"/>
      <c r="H117" s="167"/>
      <c r="I117" s="167"/>
      <c r="J117" s="167"/>
      <c r="K117" s="167"/>
      <c r="L117" s="191"/>
      <c r="M117" s="185"/>
      <c r="N117" s="185" t="s">
        <v>130</v>
      </c>
      <c r="O117" s="192"/>
      <c r="P117" s="170"/>
      <c r="Q117" s="170"/>
      <c r="R117" s="170"/>
      <c r="S117" s="185"/>
      <c r="T117" s="170"/>
      <c r="U117" s="170"/>
      <c r="V117" s="170"/>
      <c r="W117" s="170"/>
      <c r="X117" s="170"/>
      <c r="Y117" s="186"/>
    </row>
    <row r="118" spans="1:25" s="175" customFormat="1" ht="21" hidden="1" customHeight="1" x14ac:dyDescent="0.35">
      <c r="A118" s="165"/>
      <c r="B118" s="167"/>
      <c r="C118" s="167"/>
      <c r="D118" s="167"/>
      <c r="E118" s="167"/>
      <c r="F118" s="168"/>
      <c r="G118" s="167"/>
      <c r="H118" s="167"/>
      <c r="I118" s="167"/>
      <c r="J118" s="167"/>
      <c r="K118" s="167"/>
      <c r="L118" s="191"/>
      <c r="M118" s="192"/>
      <c r="N118" s="218" t="s">
        <v>1994</v>
      </c>
      <c r="O118" s="188"/>
      <c r="P118" s="129">
        <f>COUNTIFS($H$4:$H$82, "MCC", P4:P82,"&lt;&gt;")</f>
        <v>0</v>
      </c>
      <c r="Q118" s="129">
        <f>COUNTIFS($H$4:$H$82, "MCC", Q4:Q82,"&lt;&gt;")</f>
        <v>0</v>
      </c>
      <c r="R118" s="129" t="s">
        <v>1888</v>
      </c>
      <c r="S118" s="129">
        <f t="shared" ref="S118:X118" si="23">COUNTIFS($H$4:$H$82, "MCC", S4:S82,"&lt;&gt;")</f>
        <v>0</v>
      </c>
      <c r="T118" s="129">
        <f t="shared" si="23"/>
        <v>0</v>
      </c>
      <c r="U118" s="129">
        <f t="shared" si="23"/>
        <v>0</v>
      </c>
      <c r="V118" s="129">
        <f t="shared" si="23"/>
        <v>0</v>
      </c>
      <c r="W118" s="129">
        <f t="shared" si="23"/>
        <v>0</v>
      </c>
      <c r="X118" s="129">
        <f t="shared" si="23"/>
        <v>0</v>
      </c>
      <c r="Y118" s="129">
        <f>COUNTIFS($H$4:$H$82, "MCC", Y4:Y82,"Y")</f>
        <v>0</v>
      </c>
    </row>
    <row r="119" spans="1:25" s="175" customFormat="1" ht="21" hidden="1" customHeight="1" x14ac:dyDescent="0.35">
      <c r="A119" s="165"/>
      <c r="B119" s="167"/>
      <c r="C119" s="167"/>
      <c r="D119" s="167"/>
      <c r="E119" s="167"/>
      <c r="F119" s="168"/>
      <c r="G119" s="167"/>
      <c r="H119" s="167"/>
      <c r="I119" s="167"/>
      <c r="J119" s="167"/>
      <c r="K119" s="167"/>
      <c r="L119" s="191"/>
      <c r="M119" s="192"/>
      <c r="N119" s="218" t="s">
        <v>1995</v>
      </c>
      <c r="O119" s="188"/>
      <c r="P119" s="129">
        <f>COUNTIFS($H$4:$H$82, "MCC", $C$4:$C$82,"&lt;&gt;")</f>
        <v>0</v>
      </c>
      <c r="Q119" s="129">
        <f>COUNTIFS($H$4:$H$82, "MCC", $C$4:$C$82,"&lt;&gt;")</f>
        <v>0</v>
      </c>
      <c r="R119" s="129" t="s">
        <v>1888</v>
      </c>
      <c r="S119" s="129">
        <f t="shared" ref="S119:X119" si="24">COUNTIFS($H$4:$H$82, "MCC", $C$4:$C$82,"&lt;&gt;")</f>
        <v>0</v>
      </c>
      <c r="T119" s="129">
        <f t="shared" si="24"/>
        <v>0</v>
      </c>
      <c r="U119" s="129">
        <f t="shared" si="24"/>
        <v>0</v>
      </c>
      <c r="V119" s="129">
        <f t="shared" si="24"/>
        <v>0</v>
      </c>
      <c r="W119" s="129">
        <f t="shared" si="24"/>
        <v>0</v>
      </c>
      <c r="X119" s="129">
        <f t="shared" si="24"/>
        <v>0</v>
      </c>
      <c r="Y119" s="129">
        <f>COUNTIFS($H$4:$H$82, "MCC", X4:X82,"&lt;&gt;")</f>
        <v>0</v>
      </c>
    </row>
    <row r="120" spans="1:25" s="175" customFormat="1" ht="21" hidden="1" customHeight="1" x14ac:dyDescent="0.35">
      <c r="A120" s="165"/>
      <c r="B120" s="167"/>
      <c r="C120" s="167"/>
      <c r="D120" s="167"/>
      <c r="E120" s="167"/>
      <c r="F120" s="168"/>
      <c r="G120" s="167"/>
      <c r="H120" s="167"/>
      <c r="I120" s="167"/>
      <c r="J120" s="167"/>
      <c r="K120" s="167"/>
      <c r="L120" s="191"/>
      <c r="M120" s="192"/>
      <c r="N120" s="218" t="s">
        <v>1996</v>
      </c>
      <c r="O120" s="188"/>
      <c r="P120" s="179" t="e">
        <f>P118/P119</f>
        <v>#DIV/0!</v>
      </c>
      <c r="Q120" s="179" t="e">
        <f>Q118/Q119</f>
        <v>#DIV/0!</v>
      </c>
      <c r="R120" s="129" t="s">
        <v>1888</v>
      </c>
      <c r="S120" s="179" t="e">
        <f t="shared" ref="S120:X120" si="25">S118/S119</f>
        <v>#DIV/0!</v>
      </c>
      <c r="T120" s="179" t="e">
        <f t="shared" si="25"/>
        <v>#DIV/0!</v>
      </c>
      <c r="U120" s="179" t="e">
        <f t="shared" si="25"/>
        <v>#DIV/0!</v>
      </c>
      <c r="V120" s="179" t="e">
        <f t="shared" si="25"/>
        <v>#DIV/0!</v>
      </c>
      <c r="W120" s="179" t="e">
        <f t="shared" si="25"/>
        <v>#DIV/0!</v>
      </c>
      <c r="X120" s="179" t="e">
        <f t="shared" si="25"/>
        <v>#DIV/0!</v>
      </c>
      <c r="Y120" s="179">
        <f>IFERROR(Y118/Y119,0)</f>
        <v>0</v>
      </c>
    </row>
    <row r="121" spans="1:25" s="175" customFormat="1" ht="21" hidden="1" customHeight="1" x14ac:dyDescent="0.35">
      <c r="A121" s="165"/>
      <c r="B121" s="167"/>
      <c r="C121" s="167"/>
      <c r="D121" s="167"/>
      <c r="E121" s="167"/>
      <c r="F121" s="168"/>
      <c r="G121" s="167"/>
      <c r="H121" s="167"/>
      <c r="I121" s="167"/>
      <c r="J121" s="167"/>
      <c r="K121" s="167"/>
      <c r="L121" s="191"/>
      <c r="M121" s="192"/>
      <c r="N121" s="218" t="s">
        <v>1997</v>
      </c>
      <c r="O121" s="188"/>
      <c r="P121" s="179" t="e">
        <f>1-P120</f>
        <v>#DIV/0!</v>
      </c>
      <c r="Q121" s="179" t="e">
        <f>1-Q120</f>
        <v>#DIV/0!</v>
      </c>
      <c r="R121" s="129" t="s">
        <v>1888</v>
      </c>
      <c r="S121" s="179" t="e">
        <f t="shared" ref="S121:Y121" si="26">1-S120</f>
        <v>#DIV/0!</v>
      </c>
      <c r="T121" s="179" t="e">
        <f t="shared" si="26"/>
        <v>#DIV/0!</v>
      </c>
      <c r="U121" s="179" t="e">
        <f t="shared" si="26"/>
        <v>#DIV/0!</v>
      </c>
      <c r="V121" s="179" t="e">
        <f t="shared" si="26"/>
        <v>#DIV/0!</v>
      </c>
      <c r="W121" s="179" t="e">
        <f t="shared" si="26"/>
        <v>#DIV/0!</v>
      </c>
      <c r="X121" s="179" t="e">
        <f t="shared" si="26"/>
        <v>#DIV/0!</v>
      </c>
      <c r="Y121" s="179">
        <f t="shared" si="26"/>
        <v>1</v>
      </c>
    </row>
  </sheetData>
  <printOptions horizontalCentered="1"/>
  <pageMargins left="0.25" right="0.25" top="0.9" bottom="0.75" header="0.3" footer="0.3"/>
  <pageSetup paperSize="160" scale="54" fitToHeight="0" orientation="landscape"/>
  <headerFooter>
    <oddHeader>&amp;L&amp;G&amp;C&amp;"Yu Gothic UI,Bold"&amp;16 RL5 I/O LIST&amp;R&amp;G</oddHeader>
    <oddFooter>&amp;L&amp;D, &amp;T&amp;R&amp;P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79998168889431442"/>
    <pageSetUpPr fitToPage="1"/>
  </sheetPr>
  <dimension ref="A1:BE413"/>
  <sheetViews>
    <sheetView zoomScaleNormal="100" zoomScaleSheetLayoutView="100" workbookViewId="0">
      <pane xSplit="5" topLeftCell="I1" activePane="topRight" state="frozen"/>
      <selection pane="topRight" activeCell="J9" sqref="J9"/>
    </sheetView>
  </sheetViews>
  <sheetFormatPr defaultColWidth="20.28515625" defaultRowHeight="15" x14ac:dyDescent="0.25"/>
  <cols>
    <col min="1" max="1" width="13.28515625" style="14" bestFit="1" customWidth="1"/>
    <col min="2" max="2" width="12.42578125" bestFit="1" customWidth="1"/>
    <col min="3" max="3" width="19.28515625" customWidth="1"/>
    <col min="4" max="4" width="49.7109375" style="3" bestFit="1" customWidth="1"/>
    <col min="5" max="5" width="17.140625" bestFit="1" customWidth="1"/>
    <col min="6" max="6" width="15.28515625" bestFit="1" customWidth="1"/>
    <col min="7" max="7" width="12.140625" customWidth="1"/>
    <col min="8" max="8" width="13.85546875" bestFit="1" customWidth="1"/>
    <col min="9" max="9" width="8.28515625" customWidth="1"/>
    <col min="10" max="10" width="7.5703125" bestFit="1" customWidth="1"/>
    <col min="11" max="11" width="12.140625" bestFit="1" customWidth="1"/>
    <col min="12" max="12" width="14.5703125" bestFit="1" customWidth="1"/>
    <col min="13" max="13" width="7.5703125" style="14" bestFit="1" customWidth="1"/>
    <col min="14" max="14" width="24.5703125" bestFit="1" customWidth="1"/>
    <col min="15" max="15" width="27.7109375" style="1" bestFit="1" customWidth="1"/>
    <col min="16" max="16" width="9.28515625" style="14" customWidth="1"/>
    <col min="17" max="17" width="9.28515625" style="14" bestFit="1" customWidth="1"/>
    <col min="18" max="18" width="8" customWidth="1"/>
    <col min="19" max="20" width="9.28515625" style="14" customWidth="1"/>
    <col min="22" max="22" width="23.42578125" style="14" bestFit="1" customWidth="1"/>
    <col min="23" max="23" width="28.28515625" bestFit="1" customWidth="1"/>
    <col min="24" max="27" width="11.140625" style="14" bestFit="1" customWidth="1"/>
    <col min="28" max="28" width="28" style="14" bestFit="1" customWidth="1"/>
    <col min="29" max="29" width="22.85546875" style="14" bestFit="1" customWidth="1"/>
    <col min="30" max="30" width="14.5703125" style="14" bestFit="1" customWidth="1"/>
    <col min="31" max="31" width="13.140625" style="14" hidden="1" customWidth="1"/>
    <col min="32" max="32" width="15.85546875" style="14" hidden="1" customWidth="1"/>
    <col min="33" max="33" width="16.85546875" style="14" hidden="1" customWidth="1"/>
    <col min="34" max="34" width="9.140625" style="14" hidden="1" customWidth="1"/>
    <col min="35" max="35" width="16.140625" style="14" hidden="1" customWidth="1"/>
    <col min="36" max="36" width="15.140625" hidden="1" customWidth="1"/>
    <col min="37" max="37" width="11.140625" style="55" bestFit="1" customWidth="1"/>
    <col min="38" max="38" width="13.140625" customWidth="1"/>
    <col min="39" max="39" width="15.85546875" customWidth="1"/>
    <col min="40" max="40" width="16.85546875" customWidth="1"/>
    <col min="41" max="41" width="9.140625" customWidth="1"/>
    <col min="42" max="42" width="16.140625" customWidth="1"/>
    <col min="43" max="43" width="15.140625" customWidth="1"/>
    <col min="44" max="44" width="11.140625" style="55" bestFit="1" customWidth="1"/>
    <col min="45" max="45" width="11.140625" style="55" customWidth="1"/>
    <col min="46" max="54" width="13.7109375" style="55" customWidth="1"/>
    <col min="56" max="57" width="12.85546875" customWidth="1"/>
    <col min="58" max="58" width="95" style="14" bestFit="1" customWidth="1"/>
    <col min="59" max="69" width="20.28515625" style="14" customWidth="1"/>
    <col min="70" max="16384" width="20.28515625" style="14"/>
  </cols>
  <sheetData>
    <row r="1" spans="1:57" ht="58.5" customHeight="1" thickBot="1" x14ac:dyDescent="0.3">
      <c r="A1" s="63" t="s">
        <v>130</v>
      </c>
      <c r="B1" s="64" t="s">
        <v>2041</v>
      </c>
      <c r="C1" s="65" t="s">
        <v>2042</v>
      </c>
      <c r="D1" s="65" t="s">
        <v>5</v>
      </c>
      <c r="E1" s="65" t="s">
        <v>2043</v>
      </c>
      <c r="F1" s="64" t="s">
        <v>2044</v>
      </c>
      <c r="G1" s="65" t="s">
        <v>2045</v>
      </c>
      <c r="H1" s="66" t="s">
        <v>2046</v>
      </c>
      <c r="I1" s="65" t="s">
        <v>2047</v>
      </c>
      <c r="J1" s="64" t="s">
        <v>2048</v>
      </c>
      <c r="K1" s="66" t="s">
        <v>2049</v>
      </c>
      <c r="L1" s="66" t="s">
        <v>2050</v>
      </c>
      <c r="M1" s="66" t="s">
        <v>2051</v>
      </c>
      <c r="N1" s="66" t="s">
        <v>2052</v>
      </c>
      <c r="O1" s="67" t="s">
        <v>25</v>
      </c>
      <c r="P1" s="68" t="s">
        <v>18</v>
      </c>
      <c r="Q1" s="69" t="s">
        <v>2053</v>
      </c>
      <c r="R1" s="69" t="s">
        <v>2054</v>
      </c>
      <c r="S1" s="69" t="s">
        <v>2055</v>
      </c>
      <c r="T1" s="69" t="s">
        <v>2056</v>
      </c>
      <c r="U1" s="69" t="s">
        <v>2057</v>
      </c>
      <c r="V1" s="69" t="s">
        <v>2058</v>
      </c>
      <c r="W1" s="69" t="s">
        <v>2059</v>
      </c>
      <c r="X1" s="69" t="s">
        <v>2060</v>
      </c>
      <c r="Y1" s="69" t="s">
        <v>2061</v>
      </c>
      <c r="Z1" s="69" t="s">
        <v>2062</v>
      </c>
      <c r="AA1" s="69" t="s">
        <v>2063</v>
      </c>
      <c r="AB1" s="64" t="s">
        <v>2064</v>
      </c>
      <c r="AC1" s="65" t="s">
        <v>2065</v>
      </c>
      <c r="AD1" s="65" t="s">
        <v>2066</v>
      </c>
      <c r="AE1" s="64" t="s">
        <v>2067</v>
      </c>
      <c r="AF1" s="64" t="s">
        <v>2068</v>
      </c>
      <c r="AG1" s="64" t="s">
        <v>2069</v>
      </c>
      <c r="AH1" s="64" t="s">
        <v>2070</v>
      </c>
      <c r="AI1" s="64" t="s">
        <v>2071</v>
      </c>
      <c r="AJ1" s="64" t="s">
        <v>2072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</row>
    <row r="2" spans="1:57" x14ac:dyDescent="0.25">
      <c r="A2" s="70" t="s">
        <v>2073</v>
      </c>
      <c r="B2" s="71" t="s">
        <v>2074</v>
      </c>
      <c r="C2" s="72" t="s">
        <v>2075</v>
      </c>
      <c r="D2" s="73" t="s">
        <v>2076</v>
      </c>
      <c r="E2" s="72" t="s">
        <v>2075</v>
      </c>
      <c r="F2" s="75"/>
      <c r="G2" s="75"/>
      <c r="H2" s="76"/>
      <c r="I2" s="75"/>
      <c r="J2" s="74">
        <f>IF(ISNUMBER(MCC_Table[[#This Row],[SIZE]]), MCC_Table[[#This Row],[SIZE]]/12, 0)</f>
        <v>3.5</v>
      </c>
      <c r="K2" s="81">
        <v>1200</v>
      </c>
      <c r="L2" s="10">
        <v>1200</v>
      </c>
      <c r="M2" s="76"/>
      <c r="N2" s="76"/>
      <c r="O2" s="236"/>
      <c r="P2" s="78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224" t="s">
        <v>2077</v>
      </c>
      <c r="AC2" s="224" t="s">
        <v>2078</v>
      </c>
      <c r="AD2" s="224" t="s">
        <v>2079</v>
      </c>
      <c r="AE2" s="71">
        <f>_xlfn.NUMBERVALUE(LEFT(MCC_Table[[#This Row],[BUCKET]],LEN(MCC_Table[[#This Row],[BUCKET]])-1))</f>
        <v>1</v>
      </c>
      <c r="AF2" s="71" t="str">
        <f>RIGHT(MCC_Table[[#This Row],[BUCKET]],1)</f>
        <v>A</v>
      </c>
      <c r="AG2" s="71">
        <f>VLOOKUP(MCC_Table[[#This Row],[START UNIT]],UnitMap[],2,FALSE)</f>
        <v>1</v>
      </c>
      <c r="AH2" s="71">
        <f t="array" ref="AH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" s="71">
        <f>IF(ISNUMBER(MCC_Table[[#This Row],[SIZE]]), MCC_Table[[#This Row],[SIZE]]/6, 0)</f>
        <v>7</v>
      </c>
      <c r="AJ2" s="71">
        <f>MCC_Table[[#This Row],[START INDEX]]+MCC_Table[[#This Row],[UNITS USED]]-1</f>
        <v>7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</row>
    <row r="3" spans="1:57" x14ac:dyDescent="0.25">
      <c r="A3" s="39" t="s">
        <v>2073</v>
      </c>
      <c r="B3" s="29" t="s">
        <v>2080</v>
      </c>
      <c r="C3" s="24" t="s">
        <v>2081</v>
      </c>
      <c r="D3" s="62" t="s">
        <v>2082</v>
      </c>
      <c r="E3" s="24" t="s">
        <v>2083</v>
      </c>
      <c r="F3" s="8"/>
      <c r="G3" s="8"/>
      <c r="H3" s="81"/>
      <c r="I3" s="8"/>
      <c r="J3" s="80">
        <f>IF(ISNUMBER(MCC_Table[[#This Row],[SIZE]]), MCC_Table[[#This Row],[SIZE]]/12, 0)</f>
        <v>1.5</v>
      </c>
      <c r="K3" s="81" t="s">
        <v>1888</v>
      </c>
      <c r="L3" s="8" t="s">
        <v>1888</v>
      </c>
      <c r="M3" s="76">
        <v>0.75</v>
      </c>
      <c r="N3" s="76"/>
      <c r="O3" s="236"/>
      <c r="P3" s="78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225" t="s">
        <v>2077</v>
      </c>
      <c r="AC3" s="225" t="s">
        <v>2078</v>
      </c>
      <c r="AD3" s="225" t="s">
        <v>2079</v>
      </c>
      <c r="AE3" s="29">
        <f>_xlfn.NUMBERVALUE(LEFT(MCC_Table[[#This Row],[BUCKET]],LEN(MCC_Table[[#This Row],[BUCKET]])-1))</f>
        <v>1</v>
      </c>
      <c r="AF3" s="29" t="str">
        <f>RIGHT(MCC_Table[[#This Row],[BUCKET]],1)</f>
        <v>H</v>
      </c>
      <c r="AG3" s="29">
        <f>VLOOKUP(MCC_Table[[#This Row],[START UNIT]],UnitMap[],2,FALSE)</f>
        <v>8</v>
      </c>
      <c r="AH3" s="29">
        <f t="array" ref="AH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" s="29">
        <f>IF(ISNUMBER(MCC_Table[[#This Row],[SIZE]]), MCC_Table[[#This Row],[SIZE]]/6, 0)</f>
        <v>3</v>
      </c>
      <c r="AJ3" s="29">
        <f>MCC_Table[[#This Row],[START INDEX]]+MCC_Table[[#This Row],[UNITS USED]]-1</f>
        <v>10</v>
      </c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39" t="s">
        <v>2073</v>
      </c>
      <c r="B4" s="8" t="s">
        <v>2084</v>
      </c>
      <c r="C4" s="24" t="s">
        <v>1933</v>
      </c>
      <c r="D4" s="28" t="s">
        <v>2085</v>
      </c>
      <c r="E4" s="29" t="s">
        <v>2086</v>
      </c>
      <c r="F4" s="8"/>
      <c r="G4" s="8">
        <v>1.5</v>
      </c>
      <c r="H4" s="82"/>
      <c r="I4" s="8"/>
      <c r="J4" s="83">
        <f>IF(ISNUMBER(MCC_Table[[#This Row],[SIZE]]), MCC_Table[[#This Row],[SIZE]]/12, 0)</f>
        <v>1</v>
      </c>
      <c r="K4" s="87">
        <v>7</v>
      </c>
      <c r="L4" s="8">
        <v>125</v>
      </c>
      <c r="M4" s="82"/>
      <c r="N4" s="82"/>
      <c r="O4" s="239"/>
      <c r="P4" s="85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224" t="s">
        <v>2087</v>
      </c>
      <c r="AC4" s="224" t="s">
        <v>2088</v>
      </c>
      <c r="AD4" s="224" t="s">
        <v>2089</v>
      </c>
      <c r="AE4" s="8">
        <f>_xlfn.NUMBERVALUE(LEFT(MCC_Table[[#This Row],[BUCKET]],LEN(MCC_Table[[#This Row],[BUCKET]])-1))</f>
        <v>1</v>
      </c>
      <c r="AF4" s="8" t="str">
        <f>RIGHT(MCC_Table[[#This Row],[BUCKET]],1)</f>
        <v>L</v>
      </c>
      <c r="AG4" s="8">
        <f>VLOOKUP(MCC_Table[[#This Row],[START UNIT]],UnitMap[],2,FALSE)</f>
        <v>11</v>
      </c>
      <c r="AH4" s="8">
        <f t="array" ref="AH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4" s="8">
        <f>IF(ISNUMBER(MCC_Table[[#This Row],[SIZE]]), MCC_Table[[#This Row],[SIZE]]/6, 0)</f>
        <v>2</v>
      </c>
      <c r="AJ4" s="8">
        <f>MCC_Table[[#This Row],[START INDEX]]+MCC_Table[[#This Row],[UNITS USED]]-1</f>
        <v>12</v>
      </c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</row>
    <row r="5" spans="1:57" ht="30" customHeight="1" x14ac:dyDescent="0.25">
      <c r="A5" s="39" t="s">
        <v>2073</v>
      </c>
      <c r="B5" s="29" t="s">
        <v>2090</v>
      </c>
      <c r="C5" s="24" t="s">
        <v>2091</v>
      </c>
      <c r="D5" s="62" t="s">
        <v>2092</v>
      </c>
      <c r="E5" s="24" t="s">
        <v>2093</v>
      </c>
      <c r="F5" s="8"/>
      <c r="G5" s="8"/>
      <c r="H5" s="82"/>
      <c r="I5" s="8"/>
      <c r="J5" s="80">
        <f>IF(ISNUMBER(MCC_Table[[#This Row],[SIZE]]), MCC_Table[[#This Row],[SIZE]]/12, 0)</f>
        <v>1</v>
      </c>
      <c r="K5" s="87"/>
      <c r="L5" s="8"/>
      <c r="M5" s="82"/>
      <c r="N5" s="82"/>
      <c r="O5" s="236"/>
      <c r="P5" s="78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225" t="s">
        <v>2094</v>
      </c>
      <c r="AC5" s="225" t="s">
        <v>2095</v>
      </c>
      <c r="AD5" s="225"/>
      <c r="AE5" s="29">
        <f>_xlfn.NUMBERVALUE(LEFT(MCC_Table[[#This Row],[BUCKET]],LEN(MCC_Table[[#This Row],[BUCKET]])-1))</f>
        <v>2</v>
      </c>
      <c r="AF5" s="29" t="str">
        <f>RIGHT(MCC_Table[[#This Row],[BUCKET]],1)</f>
        <v>A</v>
      </c>
      <c r="AG5" s="29">
        <f>VLOOKUP(MCC_Table[[#This Row],[START UNIT]],UnitMap[],2,FALSE)</f>
        <v>1</v>
      </c>
      <c r="AH5" s="29">
        <f t="array" ref="AH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5" s="29">
        <f>IF(ISNUMBER(MCC_Table[[#This Row],[SIZE]]), MCC_Table[[#This Row],[SIZE]]/6, 0)</f>
        <v>2</v>
      </c>
      <c r="AJ5" s="29">
        <f>MCC_Table[[#This Row],[START INDEX]]+MCC_Table[[#This Row],[UNITS USED]]-1</f>
        <v>2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</row>
    <row r="6" spans="1:57" x14ac:dyDescent="0.25">
      <c r="A6" s="39" t="s">
        <v>2073</v>
      </c>
      <c r="B6" s="29" t="s">
        <v>2096</v>
      </c>
      <c r="C6" s="24" t="s">
        <v>2097</v>
      </c>
      <c r="D6" s="62" t="s">
        <v>2098</v>
      </c>
      <c r="E6" s="24" t="s">
        <v>2099</v>
      </c>
      <c r="F6" s="8"/>
      <c r="G6" s="8"/>
      <c r="H6" s="82"/>
      <c r="I6" s="8"/>
      <c r="J6" s="80">
        <f>IF(ISNUMBER(MCC_Table[[#This Row],[SIZE]]), MCC_Table[[#This Row],[SIZE]]/12, 0)</f>
        <v>1</v>
      </c>
      <c r="K6" s="87"/>
      <c r="L6" s="8"/>
      <c r="M6" s="82"/>
      <c r="N6" s="82"/>
      <c r="O6" s="236"/>
      <c r="P6" s="78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225" t="s">
        <v>2100</v>
      </c>
      <c r="AC6" s="225" t="s">
        <v>2101</v>
      </c>
      <c r="AD6" s="225"/>
      <c r="AE6" s="29">
        <f>_xlfn.NUMBERVALUE(LEFT(MCC_Table[[#This Row],[BUCKET]],LEN(MCC_Table[[#This Row],[BUCKET]])-1))</f>
        <v>2</v>
      </c>
      <c r="AF6" s="29" t="str">
        <f>RIGHT(MCC_Table[[#This Row],[BUCKET]],1)</f>
        <v>C</v>
      </c>
      <c r="AG6" s="29">
        <f>VLOOKUP(MCC_Table[[#This Row],[START UNIT]],UnitMap[],2,FALSE)</f>
        <v>3</v>
      </c>
      <c r="AH6" s="29">
        <f t="array" ref="AH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6" s="29">
        <f>IF(ISNUMBER(MCC_Table[[#This Row],[SIZE]]), MCC_Table[[#This Row],[SIZE]]/6, 0)</f>
        <v>2</v>
      </c>
      <c r="AJ6" s="29">
        <f>MCC_Table[[#This Row],[START INDEX]]+MCC_Table[[#This Row],[UNITS USED]]-1</f>
        <v>4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</row>
    <row r="7" spans="1:57" x14ac:dyDescent="0.25">
      <c r="A7" s="39" t="s">
        <v>2073</v>
      </c>
      <c r="B7" s="29" t="s">
        <v>2102</v>
      </c>
      <c r="C7" s="24" t="s">
        <v>2103</v>
      </c>
      <c r="D7" s="62" t="s">
        <v>2104</v>
      </c>
      <c r="E7" s="24" t="s">
        <v>2103</v>
      </c>
      <c r="F7" s="8"/>
      <c r="G7" s="8"/>
      <c r="H7" s="82"/>
      <c r="I7" s="8"/>
      <c r="J7" s="80">
        <f>IF(ISNUMBER(MCC_Table[[#This Row],[SIZE]]), MCC_Table[[#This Row],[SIZE]]/12, 0)</f>
        <v>0.5</v>
      </c>
      <c r="K7" s="87"/>
      <c r="L7" s="8"/>
      <c r="M7" s="82"/>
      <c r="N7" s="82"/>
      <c r="O7" s="236"/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225" t="s">
        <v>2105</v>
      </c>
      <c r="AC7" s="225" t="s">
        <v>2106</v>
      </c>
      <c r="AD7" s="225"/>
      <c r="AE7" s="29">
        <f>_xlfn.NUMBERVALUE(LEFT(MCC_Table[[#This Row],[BUCKET]],LEN(MCC_Table[[#This Row],[BUCKET]])-1))</f>
        <v>2</v>
      </c>
      <c r="AF7" s="29" t="str">
        <f>RIGHT(MCC_Table[[#This Row],[BUCKET]],1)</f>
        <v>E</v>
      </c>
      <c r="AG7" s="29">
        <f>VLOOKUP(MCC_Table[[#This Row],[START UNIT]],UnitMap[],2,FALSE)</f>
        <v>5</v>
      </c>
      <c r="AH7" s="29">
        <f t="array" ref="AH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7" s="29">
        <f>IF(ISNUMBER(MCC_Table[[#This Row],[SIZE]]), MCC_Table[[#This Row],[SIZE]]/6, 0)</f>
        <v>1</v>
      </c>
      <c r="AJ7" s="29">
        <f>MCC_Table[[#This Row],[START INDEX]]+MCC_Table[[#This Row],[UNITS USED]]-1</f>
        <v>5</v>
      </c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</row>
    <row r="8" spans="1:57" x14ac:dyDescent="0.25">
      <c r="A8" s="39" t="s">
        <v>2073</v>
      </c>
      <c r="B8" s="8" t="s">
        <v>2107</v>
      </c>
      <c r="C8" s="24" t="s">
        <v>1933</v>
      </c>
      <c r="D8" s="28" t="s">
        <v>2108</v>
      </c>
      <c r="E8" s="29" t="s">
        <v>2086</v>
      </c>
      <c r="F8" s="8"/>
      <c r="G8" s="8">
        <v>7.5</v>
      </c>
      <c r="H8" s="82"/>
      <c r="I8" s="8"/>
      <c r="J8" s="83">
        <f>IF(ISNUMBER(MCC_Table[[#This Row],[SIZE]]), MCC_Table[[#This Row],[SIZE]]/12, 0)</f>
        <v>1</v>
      </c>
      <c r="K8" s="87">
        <v>30</v>
      </c>
      <c r="L8" s="8">
        <v>125</v>
      </c>
      <c r="M8" s="82"/>
      <c r="N8" s="82"/>
      <c r="O8" s="236"/>
      <c r="P8" s="85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225" t="s">
        <v>2087</v>
      </c>
      <c r="AC8" s="224" t="s">
        <v>2088</v>
      </c>
      <c r="AD8" s="224" t="s">
        <v>2089</v>
      </c>
      <c r="AE8" s="8">
        <f>_xlfn.NUMBERVALUE(LEFT(MCC_Table[[#This Row],[BUCKET]],LEN(MCC_Table[[#This Row],[BUCKET]])-1))</f>
        <v>2</v>
      </c>
      <c r="AF8" s="8" t="str">
        <f>RIGHT(MCC_Table[[#This Row],[BUCKET]],1)</f>
        <v>F</v>
      </c>
      <c r="AG8" s="8">
        <f>VLOOKUP(MCC_Table[[#This Row],[START UNIT]],UnitMap[],2,FALSE)</f>
        <v>6</v>
      </c>
      <c r="AH8" s="8">
        <f t="array" ref="AH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8" s="8">
        <f>IF(ISNUMBER(MCC_Table[[#This Row],[SIZE]]), MCC_Table[[#This Row],[SIZE]]/6, 0)</f>
        <v>2</v>
      </c>
      <c r="AJ8" s="8">
        <f>MCC_Table[[#This Row],[START INDEX]]+MCC_Table[[#This Row],[UNITS USED]]-1</f>
        <v>7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</row>
    <row r="9" spans="1:57" x14ac:dyDescent="0.25">
      <c r="A9" s="39" t="s">
        <v>2073</v>
      </c>
      <c r="B9" s="8" t="s">
        <v>2109</v>
      </c>
      <c r="C9" s="24" t="s">
        <v>1933</v>
      </c>
      <c r="D9" s="28" t="s">
        <v>2110</v>
      </c>
      <c r="E9" s="29" t="s">
        <v>2111</v>
      </c>
      <c r="F9" s="8"/>
      <c r="G9" s="8">
        <v>10</v>
      </c>
      <c r="H9" s="82">
        <v>14</v>
      </c>
      <c r="I9" s="8"/>
      <c r="J9" s="83">
        <f>IF(ISNUMBER(MCC_Table[[#This Row],[SIZE]]), MCC_Table[[#This Row],[SIZE]]/12, 0)</f>
        <v>2.5</v>
      </c>
      <c r="K9" s="87">
        <v>30</v>
      </c>
      <c r="L9" s="8">
        <v>125</v>
      </c>
      <c r="M9" s="82">
        <v>25</v>
      </c>
      <c r="N9" s="82"/>
      <c r="O9" s="236"/>
      <c r="P9" s="85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225" t="s">
        <v>2087</v>
      </c>
      <c r="AC9" s="225" t="s">
        <v>2112</v>
      </c>
      <c r="AD9" s="224" t="s">
        <v>2089</v>
      </c>
      <c r="AE9" s="8">
        <f>_xlfn.NUMBERVALUE(LEFT(MCC_Table[[#This Row],[BUCKET]],LEN(MCC_Table[[#This Row],[BUCKET]])-1))</f>
        <v>2</v>
      </c>
      <c r="AF9" s="8" t="str">
        <f>RIGHT(MCC_Table[[#This Row],[BUCKET]],1)</f>
        <v>H</v>
      </c>
      <c r="AG9" s="8">
        <f>VLOOKUP(MCC_Table[[#This Row],[START UNIT]],UnitMap[],2,FALSE)</f>
        <v>8</v>
      </c>
      <c r="AH9" s="8">
        <f t="array" ref="AH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9" s="8">
        <f>IF(ISNUMBER(MCC_Table[[#This Row],[SIZE]]), MCC_Table[[#This Row],[SIZE]]/6, 0)</f>
        <v>5</v>
      </c>
      <c r="AJ9" s="8">
        <f>MCC_Table[[#This Row],[START INDEX]]+MCC_Table[[#This Row],[UNITS USED]]-1</f>
        <v>12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</row>
    <row r="10" spans="1:57" x14ac:dyDescent="0.25">
      <c r="A10" s="39" t="s">
        <v>2073</v>
      </c>
      <c r="B10" s="8" t="s">
        <v>2113</v>
      </c>
      <c r="C10" s="24" t="s">
        <v>1933</v>
      </c>
      <c r="D10" s="28" t="s">
        <v>2114</v>
      </c>
      <c r="E10" s="29" t="s">
        <v>2111</v>
      </c>
      <c r="F10" s="8"/>
      <c r="G10" s="8">
        <v>60</v>
      </c>
      <c r="H10" s="82">
        <v>77</v>
      </c>
      <c r="I10" s="8"/>
      <c r="J10" s="83">
        <f>IF(ISNUMBER(MCC_Table[[#This Row],[SIZE]]), MCC_Table[[#This Row],[SIZE]]/12, 0)</f>
        <v>6</v>
      </c>
      <c r="K10" s="87">
        <v>200</v>
      </c>
      <c r="L10" s="8">
        <v>250</v>
      </c>
      <c r="M10" s="82">
        <v>125</v>
      </c>
      <c r="N10" s="82"/>
      <c r="O10" s="236"/>
      <c r="P10" s="85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225" t="s">
        <v>2087</v>
      </c>
      <c r="AC10" s="225" t="s">
        <v>2112</v>
      </c>
      <c r="AD10" s="224" t="s">
        <v>2089</v>
      </c>
      <c r="AE10" s="8">
        <f>_xlfn.NUMBERVALUE(LEFT(MCC_Table[[#This Row],[BUCKET]],LEN(MCC_Table[[#This Row],[BUCKET]])-1))</f>
        <v>3</v>
      </c>
      <c r="AF10" s="8" t="str">
        <f>RIGHT(MCC_Table[[#This Row],[BUCKET]],1)</f>
        <v>A</v>
      </c>
      <c r="AG10" s="8">
        <f>VLOOKUP(MCC_Table[[#This Row],[START UNIT]],UnitMap[],2,FALSE)</f>
        <v>1</v>
      </c>
      <c r="AH10" s="8">
        <f t="array" ref="AH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0" s="8">
        <f>IF(ISNUMBER(MCC_Table[[#This Row],[SIZE]]), MCC_Table[[#This Row],[SIZE]]/6, 0)</f>
        <v>12</v>
      </c>
      <c r="AJ10" s="8">
        <f>MCC_Table[[#This Row],[START INDEX]]+MCC_Table[[#This Row],[UNITS USED]]-1</f>
        <v>12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</row>
    <row r="11" spans="1:57" x14ac:dyDescent="0.25">
      <c r="A11" s="39" t="s">
        <v>2073</v>
      </c>
      <c r="B11" s="8" t="s">
        <v>2115</v>
      </c>
      <c r="C11" s="24" t="s">
        <v>534</v>
      </c>
      <c r="D11" s="28" t="s">
        <v>2116</v>
      </c>
      <c r="E11" s="29" t="s">
        <v>2111</v>
      </c>
      <c r="F11" s="8">
        <v>215</v>
      </c>
      <c r="G11" s="8">
        <v>250</v>
      </c>
      <c r="H11" s="82">
        <v>302</v>
      </c>
      <c r="I11" s="8"/>
      <c r="J11" s="83">
        <f>IF(ISNUMBER(MCC_Table[[#This Row],[SIZE]]), MCC_Table[[#This Row],[SIZE]]/12, 0)</f>
        <v>6</v>
      </c>
      <c r="K11" s="87">
        <v>600</v>
      </c>
      <c r="L11" s="8">
        <v>800</v>
      </c>
      <c r="M11" s="82">
        <v>500</v>
      </c>
      <c r="N11" s="82" t="s">
        <v>2117</v>
      </c>
      <c r="O11" s="236"/>
      <c r="P11" s="85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225" t="s">
        <v>2087</v>
      </c>
      <c r="AC11" s="225" t="s">
        <v>2112</v>
      </c>
      <c r="AD11" s="224" t="s">
        <v>2089</v>
      </c>
      <c r="AE11" s="8">
        <f>_xlfn.NUMBERVALUE(LEFT(MCC_Table[[#This Row],[BUCKET]],LEN(MCC_Table[[#This Row],[BUCKET]])-1))</f>
        <v>4</v>
      </c>
      <c r="AF11" s="8" t="str">
        <f>RIGHT(MCC_Table[[#This Row],[BUCKET]],1)</f>
        <v>A</v>
      </c>
      <c r="AG11" s="8">
        <f>VLOOKUP(MCC_Table[[#This Row],[START UNIT]],UnitMap[],2,FALSE)</f>
        <v>1</v>
      </c>
      <c r="AH11" s="8">
        <f t="array" ref="AH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1" s="8">
        <f>IF(ISNUMBER(MCC_Table[[#This Row],[SIZE]]), MCC_Table[[#This Row],[SIZE]]/6, 0)</f>
        <v>12</v>
      </c>
      <c r="AJ11" s="8">
        <f>MCC_Table[[#This Row],[START INDEX]]+MCC_Table[[#This Row],[UNITS USED]]-1</f>
        <v>12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</row>
    <row r="12" spans="1:57" x14ac:dyDescent="0.25">
      <c r="A12" s="39" t="s">
        <v>2073</v>
      </c>
      <c r="B12" s="8" t="s">
        <v>2118</v>
      </c>
      <c r="C12" s="24" t="s">
        <v>1933</v>
      </c>
      <c r="D12" s="28" t="s">
        <v>2110</v>
      </c>
      <c r="E12" s="29" t="s">
        <v>2111</v>
      </c>
      <c r="F12" s="8"/>
      <c r="G12" s="8">
        <v>10</v>
      </c>
      <c r="H12" s="82">
        <v>14</v>
      </c>
      <c r="I12" s="8"/>
      <c r="J12" s="83">
        <f>IF(ISNUMBER(MCC_Table[[#This Row],[SIZE]]), MCC_Table[[#This Row],[SIZE]]/12, 0)</f>
        <v>2.5</v>
      </c>
      <c r="K12" s="87">
        <v>30</v>
      </c>
      <c r="L12" s="8">
        <v>125</v>
      </c>
      <c r="M12" s="82">
        <v>25</v>
      </c>
      <c r="N12" s="82"/>
      <c r="O12" s="236"/>
      <c r="P12" s="85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225" t="s">
        <v>2087</v>
      </c>
      <c r="AC12" s="225" t="s">
        <v>2112</v>
      </c>
      <c r="AD12" s="224" t="s">
        <v>2089</v>
      </c>
      <c r="AE12" s="8">
        <f>_xlfn.NUMBERVALUE(LEFT(MCC_Table[[#This Row],[BUCKET]],LEN(MCC_Table[[#This Row],[BUCKET]])-1))</f>
        <v>5</v>
      </c>
      <c r="AF12" s="8" t="str">
        <f>RIGHT(MCC_Table[[#This Row],[BUCKET]],1)</f>
        <v>A</v>
      </c>
      <c r="AG12" s="8">
        <f>VLOOKUP(MCC_Table[[#This Row],[START UNIT]],UnitMap[],2,FALSE)</f>
        <v>1</v>
      </c>
      <c r="AH12" s="8">
        <f t="array" ref="AH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2" s="8">
        <f>IF(ISNUMBER(MCC_Table[[#This Row],[SIZE]]), MCC_Table[[#This Row],[SIZE]]/6, 0)</f>
        <v>5</v>
      </c>
      <c r="AJ12" s="8">
        <f>MCC_Table[[#This Row],[START INDEX]]+MCC_Table[[#This Row],[UNITS USED]]-1</f>
        <v>5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</row>
    <row r="13" spans="1:57" x14ac:dyDescent="0.25">
      <c r="A13" s="39" t="s">
        <v>2073</v>
      </c>
      <c r="B13" s="8" t="s">
        <v>2119</v>
      </c>
      <c r="C13" s="24" t="s">
        <v>1933</v>
      </c>
      <c r="D13" s="28" t="s">
        <v>2120</v>
      </c>
      <c r="E13" s="29" t="s">
        <v>2111</v>
      </c>
      <c r="F13" s="8"/>
      <c r="G13" s="8">
        <v>25</v>
      </c>
      <c r="H13" s="82">
        <v>34</v>
      </c>
      <c r="I13" s="8"/>
      <c r="J13" s="83">
        <f>IF(ISNUMBER(MCC_Table[[#This Row],[SIZE]]), MCC_Table[[#This Row],[SIZE]]/12, 0)</f>
        <v>3.5</v>
      </c>
      <c r="K13" s="87">
        <v>60</v>
      </c>
      <c r="L13" s="8">
        <v>125</v>
      </c>
      <c r="M13" s="82">
        <v>60</v>
      </c>
      <c r="N13" s="82"/>
      <c r="O13" s="236"/>
      <c r="P13" s="85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225" t="s">
        <v>2087</v>
      </c>
      <c r="AC13" s="225" t="s">
        <v>2112</v>
      </c>
      <c r="AD13" s="224" t="s">
        <v>2089</v>
      </c>
      <c r="AE13" s="8">
        <f>_xlfn.NUMBERVALUE(LEFT(MCC_Table[[#This Row],[BUCKET]],LEN(MCC_Table[[#This Row],[BUCKET]])-1))</f>
        <v>5</v>
      </c>
      <c r="AF13" s="8" t="str">
        <f>RIGHT(MCC_Table[[#This Row],[BUCKET]],1)</f>
        <v>F</v>
      </c>
      <c r="AG13" s="8">
        <f>VLOOKUP(MCC_Table[[#This Row],[START UNIT]],UnitMap[],2,FALSE)</f>
        <v>6</v>
      </c>
      <c r="AH13" s="8">
        <f t="array" ref="AH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3" s="8">
        <f>IF(ISNUMBER(MCC_Table[[#This Row],[SIZE]]), MCC_Table[[#This Row],[SIZE]]/6, 0)</f>
        <v>7</v>
      </c>
      <c r="AJ13" s="8">
        <f>MCC_Table[[#This Row],[START INDEX]]+MCC_Table[[#This Row],[UNITS USED]]-1</f>
        <v>12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</row>
    <row r="14" spans="1:57" x14ac:dyDescent="0.25">
      <c r="A14" s="39" t="s">
        <v>2073</v>
      </c>
      <c r="B14" s="8" t="s">
        <v>2121</v>
      </c>
      <c r="C14" s="24" t="s">
        <v>2122</v>
      </c>
      <c r="D14" s="28" t="s">
        <v>2123</v>
      </c>
      <c r="E14" s="29" t="s">
        <v>2111</v>
      </c>
      <c r="F14" s="8">
        <v>1</v>
      </c>
      <c r="G14" s="8">
        <v>2</v>
      </c>
      <c r="H14" s="82">
        <v>3.4</v>
      </c>
      <c r="I14" s="8"/>
      <c r="J14" s="83">
        <f>IF(ISNUMBER(MCC_Table[[#This Row],[SIZE]]), MCC_Table[[#This Row],[SIZE]]/12, 0)</f>
        <v>2</v>
      </c>
      <c r="K14" s="87">
        <v>15</v>
      </c>
      <c r="L14" s="8">
        <v>125</v>
      </c>
      <c r="M14" s="82">
        <v>6</v>
      </c>
      <c r="N14" s="82" t="s">
        <v>2124</v>
      </c>
      <c r="O14" s="236"/>
      <c r="P14" s="85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225" t="s">
        <v>2087</v>
      </c>
      <c r="AC14" s="225" t="s">
        <v>2112</v>
      </c>
      <c r="AD14" s="224" t="s">
        <v>2089</v>
      </c>
      <c r="AE14" s="8">
        <f>_xlfn.NUMBERVALUE(LEFT(MCC_Table[[#This Row],[BUCKET]],LEN(MCC_Table[[#This Row],[BUCKET]])-1))</f>
        <v>6</v>
      </c>
      <c r="AF14" s="8" t="str">
        <f>RIGHT(MCC_Table[[#This Row],[BUCKET]],1)</f>
        <v>A</v>
      </c>
      <c r="AG14" s="8">
        <f>VLOOKUP(MCC_Table[[#This Row],[START UNIT]],UnitMap[],2,FALSE)</f>
        <v>1</v>
      </c>
      <c r="AH14" s="8">
        <f t="array" ref="AH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" s="8">
        <f>IF(ISNUMBER(MCC_Table[[#This Row],[SIZE]]), MCC_Table[[#This Row],[SIZE]]/6, 0)</f>
        <v>4</v>
      </c>
      <c r="AJ14" s="8">
        <f>MCC_Table[[#This Row],[START INDEX]]+MCC_Table[[#This Row],[UNITS USED]]-1</f>
        <v>4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</row>
    <row r="15" spans="1:57" x14ac:dyDescent="0.25">
      <c r="A15" s="39" t="s">
        <v>2073</v>
      </c>
      <c r="B15" s="8" t="s">
        <v>2125</v>
      </c>
      <c r="C15" s="24" t="s">
        <v>2126</v>
      </c>
      <c r="D15" s="28" t="s">
        <v>2127</v>
      </c>
      <c r="E15" s="29" t="s">
        <v>2111</v>
      </c>
      <c r="F15" s="8">
        <v>1</v>
      </c>
      <c r="G15" s="8">
        <v>2</v>
      </c>
      <c r="H15" s="82">
        <v>3.4</v>
      </c>
      <c r="I15" s="8"/>
      <c r="J15" s="83">
        <f>IF(ISNUMBER(MCC_Table[[#This Row],[SIZE]]), MCC_Table[[#This Row],[SIZE]]/12, 0)</f>
        <v>2</v>
      </c>
      <c r="K15" s="87">
        <v>15</v>
      </c>
      <c r="L15" s="8">
        <v>125</v>
      </c>
      <c r="M15" s="82">
        <v>6</v>
      </c>
      <c r="N15" s="82" t="s">
        <v>2124</v>
      </c>
      <c r="O15" s="236"/>
      <c r="P15" s="85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225" t="s">
        <v>2087</v>
      </c>
      <c r="AC15" s="225" t="s">
        <v>2112</v>
      </c>
      <c r="AD15" s="224" t="s">
        <v>2089</v>
      </c>
      <c r="AE15" s="8">
        <f>_xlfn.NUMBERVALUE(LEFT(MCC_Table[[#This Row],[BUCKET]],LEN(MCC_Table[[#This Row],[BUCKET]])-1))</f>
        <v>6</v>
      </c>
      <c r="AF15" s="8" t="str">
        <f>RIGHT(MCC_Table[[#This Row],[BUCKET]],1)</f>
        <v>E</v>
      </c>
      <c r="AG15" s="8">
        <f>VLOOKUP(MCC_Table[[#This Row],[START UNIT]],UnitMap[],2,FALSE)</f>
        <v>5</v>
      </c>
      <c r="AH15" s="8">
        <f t="array" ref="AH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5" s="8">
        <f>IF(ISNUMBER(MCC_Table[[#This Row],[SIZE]]), MCC_Table[[#This Row],[SIZE]]/6, 0)</f>
        <v>4</v>
      </c>
      <c r="AJ15" s="8">
        <f>MCC_Table[[#This Row],[START INDEX]]+MCC_Table[[#This Row],[UNITS USED]]-1</f>
        <v>8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</row>
    <row r="16" spans="1:57" x14ac:dyDescent="0.25">
      <c r="A16" s="39" t="s">
        <v>2073</v>
      </c>
      <c r="B16" s="8" t="s">
        <v>2128</v>
      </c>
      <c r="C16" s="24" t="s">
        <v>2129</v>
      </c>
      <c r="D16" s="28" t="s">
        <v>2130</v>
      </c>
      <c r="E16" s="29" t="s">
        <v>2111</v>
      </c>
      <c r="F16" s="8">
        <v>1</v>
      </c>
      <c r="G16" s="8">
        <v>2</v>
      </c>
      <c r="H16" s="82">
        <v>3.4</v>
      </c>
      <c r="I16" s="8"/>
      <c r="J16" s="83">
        <f>IF(ISNUMBER(MCC_Table[[#This Row],[SIZE]]), MCC_Table[[#This Row],[SIZE]]/12, 0)</f>
        <v>2</v>
      </c>
      <c r="K16" s="87">
        <v>15</v>
      </c>
      <c r="L16" s="8">
        <v>125</v>
      </c>
      <c r="M16" s="82">
        <v>6</v>
      </c>
      <c r="N16" s="82" t="s">
        <v>2124</v>
      </c>
      <c r="O16" s="236"/>
      <c r="P16" s="85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225" t="s">
        <v>2087</v>
      </c>
      <c r="AC16" s="225" t="s">
        <v>2112</v>
      </c>
      <c r="AD16" s="224" t="s">
        <v>2089</v>
      </c>
      <c r="AE16" s="8">
        <f>_xlfn.NUMBERVALUE(LEFT(MCC_Table[[#This Row],[BUCKET]],LEN(MCC_Table[[#This Row],[BUCKET]])-1))</f>
        <v>6</v>
      </c>
      <c r="AF16" s="8" t="str">
        <f>RIGHT(MCC_Table[[#This Row],[BUCKET]],1)</f>
        <v>J</v>
      </c>
      <c r="AG16" s="8">
        <f>VLOOKUP(MCC_Table[[#This Row],[START UNIT]],UnitMap[],2,FALSE)</f>
        <v>9</v>
      </c>
      <c r="AH16" s="8">
        <f t="array" ref="AH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" s="8">
        <f>IF(ISNUMBER(MCC_Table[[#This Row],[SIZE]]), MCC_Table[[#This Row],[SIZE]]/6, 0)</f>
        <v>4</v>
      </c>
      <c r="AJ16" s="8">
        <f>MCC_Table[[#This Row],[START INDEX]]+MCC_Table[[#This Row],[UNITS USED]]-1</f>
        <v>12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</row>
    <row r="17" spans="1:57" x14ac:dyDescent="0.25">
      <c r="A17" s="39" t="s">
        <v>2073</v>
      </c>
      <c r="B17" s="8" t="s">
        <v>2131</v>
      </c>
      <c r="C17" s="24" t="s">
        <v>2132</v>
      </c>
      <c r="D17" s="28" t="s">
        <v>2133</v>
      </c>
      <c r="E17" s="29" t="s">
        <v>2111</v>
      </c>
      <c r="F17" s="8">
        <v>1</v>
      </c>
      <c r="G17" s="8">
        <v>2</v>
      </c>
      <c r="H17" s="82">
        <v>3.4</v>
      </c>
      <c r="I17" s="8"/>
      <c r="J17" s="83">
        <f>IF(ISNUMBER(MCC_Table[[#This Row],[SIZE]]), MCC_Table[[#This Row],[SIZE]]/12, 0)</f>
        <v>2</v>
      </c>
      <c r="K17" s="87">
        <v>15</v>
      </c>
      <c r="L17" s="8">
        <v>125</v>
      </c>
      <c r="M17" s="82">
        <v>6</v>
      </c>
      <c r="N17" s="82" t="s">
        <v>2124</v>
      </c>
      <c r="O17" s="236"/>
      <c r="P17" s="85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225" t="s">
        <v>2087</v>
      </c>
      <c r="AC17" s="225" t="s">
        <v>2112</v>
      </c>
      <c r="AD17" s="224" t="s">
        <v>2089</v>
      </c>
      <c r="AE17" s="8">
        <f>_xlfn.NUMBERVALUE(LEFT(MCC_Table[[#This Row],[BUCKET]],LEN(MCC_Table[[#This Row],[BUCKET]])-1))</f>
        <v>7</v>
      </c>
      <c r="AF17" s="8" t="str">
        <f>RIGHT(MCC_Table[[#This Row],[BUCKET]],1)</f>
        <v>A</v>
      </c>
      <c r="AG17" s="8">
        <f>VLOOKUP(MCC_Table[[#This Row],[START UNIT]],UnitMap[],2,FALSE)</f>
        <v>1</v>
      </c>
      <c r="AH17" s="8">
        <f t="array" ref="AH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" s="8">
        <f>IF(ISNUMBER(MCC_Table[[#This Row],[SIZE]]), MCC_Table[[#This Row],[SIZE]]/6, 0)</f>
        <v>4</v>
      </c>
      <c r="AJ17" s="8">
        <f>MCC_Table[[#This Row],[START INDEX]]+MCC_Table[[#This Row],[UNITS USED]]-1</f>
        <v>4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</row>
    <row r="18" spans="1:57" x14ac:dyDescent="0.25">
      <c r="A18" s="39" t="s">
        <v>2073</v>
      </c>
      <c r="B18" s="8" t="s">
        <v>2134</v>
      </c>
      <c r="C18" s="24" t="s">
        <v>1933</v>
      </c>
      <c r="D18" s="28" t="s">
        <v>2135</v>
      </c>
      <c r="E18" s="29" t="s">
        <v>2111</v>
      </c>
      <c r="F18" s="8"/>
      <c r="G18" s="8">
        <v>2</v>
      </c>
      <c r="H18" s="82">
        <v>3.4</v>
      </c>
      <c r="I18" s="8"/>
      <c r="J18" s="83">
        <f>IF(ISNUMBER(MCC_Table[[#This Row],[SIZE]]), MCC_Table[[#This Row],[SIZE]]/12, 0)</f>
        <v>2</v>
      </c>
      <c r="K18" s="87">
        <v>15</v>
      </c>
      <c r="L18" s="8">
        <v>125</v>
      </c>
      <c r="M18" s="82">
        <v>6</v>
      </c>
      <c r="N18" s="82"/>
      <c r="O18" s="236"/>
      <c r="P18" s="85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225" t="s">
        <v>2087</v>
      </c>
      <c r="AC18" s="225" t="s">
        <v>2112</v>
      </c>
      <c r="AD18" s="224" t="s">
        <v>2089</v>
      </c>
      <c r="AE18" s="8">
        <f>_xlfn.NUMBERVALUE(LEFT(MCC_Table[[#This Row],[BUCKET]],LEN(MCC_Table[[#This Row],[BUCKET]])-1))</f>
        <v>7</v>
      </c>
      <c r="AF18" s="8" t="str">
        <f>RIGHT(MCC_Table[[#This Row],[BUCKET]],1)</f>
        <v>E</v>
      </c>
      <c r="AG18" s="8">
        <f>VLOOKUP(MCC_Table[[#This Row],[START UNIT]],UnitMap[],2,FALSE)</f>
        <v>5</v>
      </c>
      <c r="AH18" s="8">
        <f t="array" ref="AH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8" s="8">
        <f>IF(ISNUMBER(MCC_Table[[#This Row],[SIZE]]), MCC_Table[[#This Row],[SIZE]]/6, 0)</f>
        <v>4</v>
      </c>
      <c r="AJ18" s="8">
        <f>MCC_Table[[#This Row],[START INDEX]]+MCC_Table[[#This Row],[UNITS USED]]-1</f>
        <v>8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</row>
    <row r="19" spans="1:57" x14ac:dyDescent="0.25">
      <c r="A19" s="39" t="s">
        <v>2073</v>
      </c>
      <c r="B19" s="8" t="s">
        <v>2136</v>
      </c>
      <c r="C19" s="24" t="s">
        <v>2137</v>
      </c>
      <c r="D19" s="28" t="s">
        <v>2138</v>
      </c>
      <c r="E19" s="29" t="s">
        <v>2111</v>
      </c>
      <c r="F19" s="8">
        <v>1</v>
      </c>
      <c r="G19" s="8">
        <v>2</v>
      </c>
      <c r="H19" s="82">
        <v>3.4</v>
      </c>
      <c r="I19" s="8"/>
      <c r="J19" s="83">
        <f>IF(ISNUMBER(MCC_Table[[#This Row],[SIZE]]), MCC_Table[[#This Row],[SIZE]]/12, 0)</f>
        <v>2</v>
      </c>
      <c r="K19" s="87">
        <v>15</v>
      </c>
      <c r="L19" s="8">
        <v>125</v>
      </c>
      <c r="M19" s="82">
        <v>6</v>
      </c>
      <c r="N19" s="82" t="s">
        <v>2124</v>
      </c>
      <c r="O19" s="236"/>
      <c r="P19" s="85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225" t="s">
        <v>2087</v>
      </c>
      <c r="AC19" s="225" t="s">
        <v>2112</v>
      </c>
      <c r="AD19" s="224" t="s">
        <v>2089</v>
      </c>
      <c r="AE19" s="8">
        <f>_xlfn.NUMBERVALUE(LEFT(MCC_Table[[#This Row],[BUCKET]],LEN(MCC_Table[[#This Row],[BUCKET]])-1))</f>
        <v>7</v>
      </c>
      <c r="AF19" s="8" t="str">
        <f>RIGHT(MCC_Table[[#This Row],[BUCKET]],1)</f>
        <v>J</v>
      </c>
      <c r="AG19" s="8">
        <f>VLOOKUP(MCC_Table[[#This Row],[START UNIT]],UnitMap[],2,FALSE)</f>
        <v>9</v>
      </c>
      <c r="AH19" s="8">
        <f t="array" ref="AH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" s="8">
        <f>IF(ISNUMBER(MCC_Table[[#This Row],[SIZE]]), MCC_Table[[#This Row],[SIZE]]/6, 0)</f>
        <v>4</v>
      </c>
      <c r="AJ19" s="8">
        <f>MCC_Table[[#This Row],[START INDEX]]+MCC_Table[[#This Row],[UNITS USED]]-1</f>
        <v>12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x14ac:dyDescent="0.25">
      <c r="A20" s="39" t="s">
        <v>2073</v>
      </c>
      <c r="B20" s="8" t="s">
        <v>2139</v>
      </c>
      <c r="C20" s="24" t="s">
        <v>2140</v>
      </c>
      <c r="D20" s="28" t="s">
        <v>2141</v>
      </c>
      <c r="E20" s="29" t="s">
        <v>2111</v>
      </c>
      <c r="F20" s="8">
        <v>10</v>
      </c>
      <c r="G20" s="8">
        <v>10</v>
      </c>
      <c r="H20" s="82">
        <v>14</v>
      </c>
      <c r="I20" s="8"/>
      <c r="J20" s="83">
        <f>IF(ISNUMBER(MCC_Table[[#This Row],[SIZE]]), MCC_Table[[#This Row],[SIZE]]/12, 0)</f>
        <v>2.5</v>
      </c>
      <c r="K20" s="87">
        <v>30</v>
      </c>
      <c r="L20" s="8">
        <v>125</v>
      </c>
      <c r="M20" s="82">
        <v>25</v>
      </c>
      <c r="N20" s="82" t="s">
        <v>2124</v>
      </c>
      <c r="O20" s="236"/>
      <c r="P20" s="85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225" t="s">
        <v>2087</v>
      </c>
      <c r="AC20" s="225" t="s">
        <v>2112</v>
      </c>
      <c r="AD20" s="224" t="s">
        <v>2089</v>
      </c>
      <c r="AE20" s="8">
        <f>_xlfn.NUMBERVALUE(LEFT(MCC_Table[[#This Row],[BUCKET]],LEN(MCC_Table[[#This Row],[BUCKET]])-1))</f>
        <v>8</v>
      </c>
      <c r="AF20" s="8" t="str">
        <f>RIGHT(MCC_Table[[#This Row],[BUCKET]],1)</f>
        <v>A</v>
      </c>
      <c r="AG20" s="8">
        <f>VLOOKUP(MCC_Table[[#This Row],[START UNIT]],UnitMap[],2,FALSE)</f>
        <v>1</v>
      </c>
      <c r="AH20" s="8">
        <f t="array" ref="AH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0" s="8">
        <f>IF(ISNUMBER(MCC_Table[[#This Row],[SIZE]]), MCC_Table[[#This Row],[SIZE]]/6, 0)</f>
        <v>5</v>
      </c>
      <c r="AJ20" s="8">
        <f>MCC_Table[[#This Row],[START INDEX]]+MCC_Table[[#This Row],[UNITS USED]]-1</f>
        <v>5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</row>
    <row r="21" spans="1:57" x14ac:dyDescent="0.25">
      <c r="A21" s="39" t="s">
        <v>2073</v>
      </c>
      <c r="B21" s="29" t="s">
        <v>2142</v>
      </c>
      <c r="C21" s="24" t="s">
        <v>2103</v>
      </c>
      <c r="D21" s="62" t="s">
        <v>2143</v>
      </c>
      <c r="E21" s="24" t="s">
        <v>2103</v>
      </c>
      <c r="F21" s="8"/>
      <c r="G21" s="8"/>
      <c r="H21" s="82"/>
      <c r="I21" s="8"/>
      <c r="J21" s="80">
        <f>IF(ISNUMBER(MCC_Table[[#This Row],[SIZE]]), MCC_Table[[#This Row],[SIZE]]/12, 0)</f>
        <v>1</v>
      </c>
      <c r="K21" s="87"/>
      <c r="L21" s="8"/>
      <c r="M21" s="82"/>
      <c r="N21" s="82"/>
      <c r="O21" s="236"/>
      <c r="P21" s="85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225" t="s">
        <v>2105</v>
      </c>
      <c r="AC21" s="225" t="s">
        <v>2106</v>
      </c>
      <c r="AD21" s="225"/>
      <c r="AE21" s="29">
        <f>_xlfn.NUMBERVALUE(LEFT(MCC_Table[[#This Row],[BUCKET]],LEN(MCC_Table[[#This Row],[BUCKET]])-1))</f>
        <v>8</v>
      </c>
      <c r="AF21" s="29" t="str">
        <f>RIGHT(MCC_Table[[#This Row],[BUCKET]],1)</f>
        <v>F</v>
      </c>
      <c r="AG21" s="29">
        <f>VLOOKUP(MCC_Table[[#This Row],[START UNIT]],UnitMap[],2,FALSE)</f>
        <v>6</v>
      </c>
      <c r="AH21" s="29">
        <f t="array" ref="AH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1" s="29">
        <f>IF(ISNUMBER(MCC_Table[[#This Row],[SIZE]]), MCC_Table[[#This Row],[SIZE]]/6, 0)</f>
        <v>2</v>
      </c>
      <c r="AJ21" s="29">
        <f>MCC_Table[[#This Row],[START INDEX]]+MCC_Table[[#This Row],[UNITS USED]]-1</f>
        <v>7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</row>
    <row r="22" spans="1:57" x14ac:dyDescent="0.25">
      <c r="A22" s="39" t="s">
        <v>2073</v>
      </c>
      <c r="B22" s="8" t="s">
        <v>2144</v>
      </c>
      <c r="C22" s="24" t="s">
        <v>2145</v>
      </c>
      <c r="D22" s="28" t="s">
        <v>2146</v>
      </c>
      <c r="E22" s="29" t="s">
        <v>2111</v>
      </c>
      <c r="F22" s="8">
        <v>10</v>
      </c>
      <c r="G22" s="8">
        <v>10</v>
      </c>
      <c r="H22" s="82">
        <v>14</v>
      </c>
      <c r="I22" s="8"/>
      <c r="J22" s="83">
        <f>IF(ISNUMBER(MCC_Table[[#This Row],[SIZE]]), MCC_Table[[#This Row],[SIZE]]/12, 0)</f>
        <v>2.5</v>
      </c>
      <c r="K22" s="87">
        <v>30</v>
      </c>
      <c r="L22" s="8">
        <v>125</v>
      </c>
      <c r="M22" s="82">
        <v>25</v>
      </c>
      <c r="N22" s="82" t="s">
        <v>2124</v>
      </c>
      <c r="O22" s="236"/>
      <c r="P22" s="85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225" t="s">
        <v>2087</v>
      </c>
      <c r="AC22" s="225" t="s">
        <v>2112</v>
      </c>
      <c r="AD22" s="224" t="s">
        <v>2089</v>
      </c>
      <c r="AE22" s="8">
        <f>_xlfn.NUMBERVALUE(LEFT(MCC_Table[[#This Row],[BUCKET]],LEN(MCC_Table[[#This Row],[BUCKET]])-1))</f>
        <v>8</v>
      </c>
      <c r="AF22" s="8" t="str">
        <f>RIGHT(MCC_Table[[#This Row],[BUCKET]],1)</f>
        <v>H</v>
      </c>
      <c r="AG22" s="8">
        <f>VLOOKUP(MCC_Table[[#This Row],[START UNIT]],UnitMap[],2,FALSE)</f>
        <v>8</v>
      </c>
      <c r="AH22" s="8">
        <f t="array" ref="AH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2" s="8">
        <f>IF(ISNUMBER(MCC_Table[[#This Row],[SIZE]]), MCC_Table[[#This Row],[SIZE]]/6, 0)</f>
        <v>5</v>
      </c>
      <c r="AJ22" s="8">
        <f>MCC_Table[[#This Row],[START INDEX]]+MCC_Table[[#This Row],[UNITS USED]]-1</f>
        <v>12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1:57" x14ac:dyDescent="0.25">
      <c r="A23" s="39" t="s">
        <v>2073</v>
      </c>
      <c r="B23" s="8" t="s">
        <v>2147</v>
      </c>
      <c r="C23" s="24" t="s">
        <v>2148</v>
      </c>
      <c r="D23" s="28" t="s">
        <v>2149</v>
      </c>
      <c r="E23" s="29" t="s">
        <v>2111</v>
      </c>
      <c r="F23" s="8">
        <v>10</v>
      </c>
      <c r="G23" s="8">
        <v>10</v>
      </c>
      <c r="H23" s="82">
        <v>14</v>
      </c>
      <c r="I23" s="8"/>
      <c r="J23" s="83">
        <f>IF(ISNUMBER(MCC_Table[[#This Row],[SIZE]]), MCC_Table[[#This Row],[SIZE]]/12, 0)</f>
        <v>2.5</v>
      </c>
      <c r="K23" s="87">
        <v>30</v>
      </c>
      <c r="L23" s="8">
        <v>125</v>
      </c>
      <c r="M23" s="82">
        <v>25</v>
      </c>
      <c r="N23" s="82" t="s">
        <v>2124</v>
      </c>
      <c r="O23" s="236"/>
      <c r="P23" s="85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225" t="s">
        <v>2087</v>
      </c>
      <c r="AC23" s="225" t="s">
        <v>2112</v>
      </c>
      <c r="AD23" s="224" t="s">
        <v>2089</v>
      </c>
      <c r="AE23" s="8">
        <f>_xlfn.NUMBERVALUE(LEFT(MCC_Table[[#This Row],[BUCKET]],LEN(MCC_Table[[#This Row],[BUCKET]])-1))</f>
        <v>9</v>
      </c>
      <c r="AF23" s="8" t="str">
        <f>RIGHT(MCC_Table[[#This Row],[BUCKET]],1)</f>
        <v>A</v>
      </c>
      <c r="AG23" s="8">
        <f>VLOOKUP(MCC_Table[[#This Row],[START UNIT]],UnitMap[],2,FALSE)</f>
        <v>1</v>
      </c>
      <c r="AH23" s="8">
        <f t="array" ref="AH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3" s="8">
        <f>IF(ISNUMBER(MCC_Table[[#This Row],[SIZE]]), MCC_Table[[#This Row],[SIZE]]/6, 0)</f>
        <v>5</v>
      </c>
      <c r="AJ23" s="8">
        <f>MCC_Table[[#This Row],[START INDEX]]+MCC_Table[[#This Row],[UNITS USED]]-1</f>
        <v>5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</row>
    <row r="24" spans="1:57" x14ac:dyDescent="0.25">
      <c r="A24" s="39" t="s">
        <v>2073</v>
      </c>
      <c r="B24" s="29" t="s">
        <v>2150</v>
      </c>
      <c r="C24" s="24" t="s">
        <v>2103</v>
      </c>
      <c r="D24" s="62" t="s">
        <v>2143</v>
      </c>
      <c r="E24" s="24" t="s">
        <v>2103</v>
      </c>
      <c r="F24" s="8"/>
      <c r="G24" s="8"/>
      <c r="H24" s="82"/>
      <c r="I24" s="8"/>
      <c r="J24" s="80">
        <f>IF(ISNUMBER(MCC_Table[[#This Row],[SIZE]]), MCC_Table[[#This Row],[SIZE]]/12, 0)</f>
        <v>1</v>
      </c>
      <c r="K24" s="87"/>
      <c r="L24" s="8"/>
      <c r="M24" s="82"/>
      <c r="N24" s="82"/>
      <c r="O24" s="236"/>
      <c r="P24" s="85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225" t="s">
        <v>2105</v>
      </c>
      <c r="AC24" s="225" t="s">
        <v>2106</v>
      </c>
      <c r="AD24" s="225"/>
      <c r="AE24" s="29">
        <f>_xlfn.NUMBERVALUE(LEFT(MCC_Table[[#This Row],[BUCKET]],LEN(MCC_Table[[#This Row],[BUCKET]])-1))</f>
        <v>9</v>
      </c>
      <c r="AF24" s="29" t="str">
        <f>RIGHT(MCC_Table[[#This Row],[BUCKET]],1)</f>
        <v>F</v>
      </c>
      <c r="AG24" s="29">
        <f>VLOOKUP(MCC_Table[[#This Row],[START UNIT]],UnitMap[],2,FALSE)</f>
        <v>6</v>
      </c>
      <c r="AH24" s="29">
        <f t="array" ref="AH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4" s="29">
        <f>IF(ISNUMBER(MCC_Table[[#This Row],[SIZE]]), MCC_Table[[#This Row],[SIZE]]/6, 0)</f>
        <v>2</v>
      </c>
      <c r="AJ24" s="29">
        <f>MCC_Table[[#This Row],[START INDEX]]+MCC_Table[[#This Row],[UNITS USED]]-1</f>
        <v>7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</row>
    <row r="25" spans="1:57" x14ac:dyDescent="0.25">
      <c r="A25" s="39" t="s">
        <v>2073</v>
      </c>
      <c r="B25" s="8" t="s">
        <v>2151</v>
      </c>
      <c r="C25" s="24" t="s">
        <v>2152</v>
      </c>
      <c r="D25" s="28" t="s">
        <v>2153</v>
      </c>
      <c r="E25" s="29" t="s">
        <v>2111</v>
      </c>
      <c r="F25" s="8">
        <v>10</v>
      </c>
      <c r="G25" s="8">
        <v>10</v>
      </c>
      <c r="H25" s="82">
        <v>14</v>
      </c>
      <c r="I25" s="8"/>
      <c r="J25" s="83">
        <f>IF(ISNUMBER(MCC_Table[[#This Row],[SIZE]]), MCC_Table[[#This Row],[SIZE]]/12, 0)</f>
        <v>2.5</v>
      </c>
      <c r="K25" s="87">
        <v>30</v>
      </c>
      <c r="L25" s="8">
        <v>125</v>
      </c>
      <c r="M25" s="82">
        <v>25</v>
      </c>
      <c r="N25" s="82" t="s">
        <v>2124</v>
      </c>
      <c r="O25" s="236"/>
      <c r="P25" s="85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225" t="s">
        <v>2087</v>
      </c>
      <c r="AC25" s="225" t="s">
        <v>2112</v>
      </c>
      <c r="AD25" s="224" t="s">
        <v>2089</v>
      </c>
      <c r="AE25" s="8">
        <f>_xlfn.NUMBERVALUE(LEFT(MCC_Table[[#This Row],[BUCKET]],LEN(MCC_Table[[#This Row],[BUCKET]])-1))</f>
        <v>9</v>
      </c>
      <c r="AF25" s="8" t="str">
        <f>RIGHT(MCC_Table[[#This Row],[BUCKET]],1)</f>
        <v>H</v>
      </c>
      <c r="AG25" s="8">
        <f>VLOOKUP(MCC_Table[[#This Row],[START UNIT]],UnitMap[],2,FALSE)</f>
        <v>8</v>
      </c>
      <c r="AH25" s="8">
        <f t="array" ref="AH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5" s="8">
        <f>IF(ISNUMBER(MCC_Table[[#This Row],[SIZE]]), MCC_Table[[#This Row],[SIZE]]/6, 0)</f>
        <v>5</v>
      </c>
      <c r="AJ25" s="8">
        <f>MCC_Table[[#This Row],[START INDEX]]+MCC_Table[[#This Row],[UNITS USED]]-1</f>
        <v>12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</row>
    <row r="26" spans="1:57" x14ac:dyDescent="0.25">
      <c r="A26" s="39" t="s">
        <v>2073</v>
      </c>
      <c r="B26" s="8" t="s">
        <v>2154</v>
      </c>
      <c r="C26" s="24" t="s">
        <v>2155</v>
      </c>
      <c r="D26" s="28" t="s">
        <v>2156</v>
      </c>
      <c r="E26" s="29" t="s">
        <v>2111</v>
      </c>
      <c r="F26" s="8">
        <v>10</v>
      </c>
      <c r="G26" s="8">
        <v>10</v>
      </c>
      <c r="H26" s="82">
        <v>14</v>
      </c>
      <c r="I26" s="8"/>
      <c r="J26" s="83">
        <f>IF(ISNUMBER(MCC_Table[[#This Row],[SIZE]]), MCC_Table[[#This Row],[SIZE]]/12, 0)</f>
        <v>2.5</v>
      </c>
      <c r="K26" s="87">
        <v>30</v>
      </c>
      <c r="L26" s="8">
        <v>125</v>
      </c>
      <c r="M26" s="82">
        <v>25</v>
      </c>
      <c r="N26" s="82" t="s">
        <v>2124</v>
      </c>
      <c r="O26" s="236"/>
      <c r="P26" s="85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225" t="s">
        <v>2087</v>
      </c>
      <c r="AC26" s="225" t="s">
        <v>2112</v>
      </c>
      <c r="AD26" s="224" t="s">
        <v>2089</v>
      </c>
      <c r="AE26" s="8">
        <f>_xlfn.NUMBERVALUE(LEFT(MCC_Table[[#This Row],[BUCKET]],LEN(MCC_Table[[#This Row],[BUCKET]])-1))</f>
        <v>10</v>
      </c>
      <c r="AF26" s="8" t="str">
        <f>RIGHT(MCC_Table[[#This Row],[BUCKET]],1)</f>
        <v>A</v>
      </c>
      <c r="AG26" s="8">
        <f>VLOOKUP(MCC_Table[[#This Row],[START UNIT]],UnitMap[],2,FALSE)</f>
        <v>1</v>
      </c>
      <c r="AH26" s="8">
        <f t="array" ref="AH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6" s="8">
        <f>IF(ISNUMBER(MCC_Table[[#This Row],[SIZE]]), MCC_Table[[#This Row],[SIZE]]/6, 0)</f>
        <v>5</v>
      </c>
      <c r="AJ26" s="8">
        <f>MCC_Table[[#This Row],[START INDEX]]+MCC_Table[[#This Row],[UNITS USED]]-1</f>
        <v>5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</row>
    <row r="27" spans="1:57" x14ac:dyDescent="0.25">
      <c r="A27" s="39" t="s">
        <v>2073</v>
      </c>
      <c r="B27" s="29" t="s">
        <v>2157</v>
      </c>
      <c r="C27" s="24" t="s">
        <v>2103</v>
      </c>
      <c r="D27" s="62" t="s">
        <v>2143</v>
      </c>
      <c r="E27" s="24" t="s">
        <v>2103</v>
      </c>
      <c r="F27" s="8"/>
      <c r="G27" s="8"/>
      <c r="H27" s="82"/>
      <c r="I27" s="8"/>
      <c r="J27" s="80">
        <f>IF(ISNUMBER(MCC_Table[[#This Row],[SIZE]]), MCC_Table[[#This Row],[SIZE]]/12, 0)</f>
        <v>1</v>
      </c>
      <c r="K27" s="87"/>
      <c r="L27" s="8"/>
      <c r="M27" s="82"/>
      <c r="N27" s="82"/>
      <c r="O27" s="236"/>
      <c r="P27" s="85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225" t="s">
        <v>2105</v>
      </c>
      <c r="AC27" s="225" t="s">
        <v>2106</v>
      </c>
      <c r="AD27" s="225"/>
      <c r="AE27" s="29">
        <f>_xlfn.NUMBERVALUE(LEFT(MCC_Table[[#This Row],[BUCKET]],LEN(MCC_Table[[#This Row],[BUCKET]])-1))</f>
        <v>10</v>
      </c>
      <c r="AF27" s="29" t="str">
        <f>RIGHT(MCC_Table[[#This Row],[BUCKET]],1)</f>
        <v>F</v>
      </c>
      <c r="AG27" s="29">
        <f>VLOOKUP(MCC_Table[[#This Row],[START UNIT]],UnitMap[],2,FALSE)</f>
        <v>6</v>
      </c>
      <c r="AH27" s="29">
        <f t="array" ref="AH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7" s="29">
        <f>IF(ISNUMBER(MCC_Table[[#This Row],[SIZE]]), MCC_Table[[#This Row],[SIZE]]/6, 0)</f>
        <v>2</v>
      </c>
      <c r="AJ27" s="29">
        <f>MCC_Table[[#This Row],[START INDEX]]+MCC_Table[[#This Row],[UNITS USED]]-1</f>
        <v>7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</row>
    <row r="28" spans="1:57" x14ac:dyDescent="0.25">
      <c r="A28" s="39" t="s">
        <v>2073</v>
      </c>
      <c r="B28" s="8" t="s">
        <v>2158</v>
      </c>
      <c r="C28" s="24" t="s">
        <v>2159</v>
      </c>
      <c r="D28" s="28" t="s">
        <v>2160</v>
      </c>
      <c r="E28" s="29" t="s">
        <v>2111</v>
      </c>
      <c r="F28" s="8">
        <v>10</v>
      </c>
      <c r="G28" s="8">
        <v>10</v>
      </c>
      <c r="H28" s="82">
        <v>14</v>
      </c>
      <c r="I28" s="8"/>
      <c r="J28" s="83">
        <f>IF(ISNUMBER(MCC_Table[[#This Row],[SIZE]]), MCC_Table[[#This Row],[SIZE]]/12, 0)</f>
        <v>2.5</v>
      </c>
      <c r="K28" s="87">
        <v>30</v>
      </c>
      <c r="L28" s="8">
        <v>125</v>
      </c>
      <c r="M28" s="82">
        <v>25</v>
      </c>
      <c r="N28" s="82" t="s">
        <v>2124</v>
      </c>
      <c r="O28" s="236"/>
      <c r="P28" s="85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225" t="s">
        <v>2087</v>
      </c>
      <c r="AC28" s="225" t="s">
        <v>2112</v>
      </c>
      <c r="AD28" s="224" t="s">
        <v>2089</v>
      </c>
      <c r="AE28" s="8">
        <f>_xlfn.NUMBERVALUE(LEFT(MCC_Table[[#This Row],[BUCKET]],LEN(MCC_Table[[#This Row],[BUCKET]])-1))</f>
        <v>10</v>
      </c>
      <c r="AF28" s="8" t="str">
        <f>RIGHT(MCC_Table[[#This Row],[BUCKET]],1)</f>
        <v>H</v>
      </c>
      <c r="AG28" s="8">
        <f>VLOOKUP(MCC_Table[[#This Row],[START UNIT]],UnitMap[],2,FALSE)</f>
        <v>8</v>
      </c>
      <c r="AH28" s="8">
        <f t="array" ref="AH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8" s="8">
        <f>IF(ISNUMBER(MCC_Table[[#This Row],[SIZE]]), MCC_Table[[#This Row],[SIZE]]/6, 0)</f>
        <v>5</v>
      </c>
      <c r="AJ28" s="8">
        <f>MCC_Table[[#This Row],[START INDEX]]+MCC_Table[[#This Row],[UNITS USED]]-1</f>
        <v>12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</row>
    <row r="29" spans="1:57" x14ac:dyDescent="0.25">
      <c r="A29" s="39" t="s">
        <v>2073</v>
      </c>
      <c r="B29" s="8" t="s">
        <v>2161</v>
      </c>
      <c r="C29" s="24" t="s">
        <v>2162</v>
      </c>
      <c r="D29" s="28" t="s">
        <v>2163</v>
      </c>
      <c r="E29" s="29" t="s">
        <v>2111</v>
      </c>
      <c r="F29" s="8">
        <v>10</v>
      </c>
      <c r="G29" s="8">
        <v>10</v>
      </c>
      <c r="H29" s="82">
        <v>14</v>
      </c>
      <c r="I29" s="8"/>
      <c r="J29" s="83">
        <f>IF(ISNUMBER(MCC_Table[[#This Row],[SIZE]]), MCC_Table[[#This Row],[SIZE]]/12, 0)</f>
        <v>2.5</v>
      </c>
      <c r="K29" s="87">
        <v>30</v>
      </c>
      <c r="L29" s="8">
        <v>125</v>
      </c>
      <c r="M29" s="82">
        <v>25</v>
      </c>
      <c r="N29" s="82" t="s">
        <v>2124</v>
      </c>
      <c r="O29" s="236"/>
      <c r="P29" s="85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225" t="s">
        <v>2087</v>
      </c>
      <c r="AC29" s="225" t="s">
        <v>2112</v>
      </c>
      <c r="AD29" s="224" t="s">
        <v>2089</v>
      </c>
      <c r="AE29" s="8">
        <f>_xlfn.NUMBERVALUE(LEFT(MCC_Table[[#This Row],[BUCKET]],LEN(MCC_Table[[#This Row],[BUCKET]])-1))</f>
        <v>11</v>
      </c>
      <c r="AF29" s="8" t="str">
        <f>RIGHT(MCC_Table[[#This Row],[BUCKET]],1)</f>
        <v>A</v>
      </c>
      <c r="AG29" s="8">
        <f>VLOOKUP(MCC_Table[[#This Row],[START UNIT]],UnitMap[],2,FALSE)</f>
        <v>1</v>
      </c>
      <c r="AH29" s="8">
        <f t="array" ref="AH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9" s="8">
        <f>IF(ISNUMBER(MCC_Table[[#This Row],[SIZE]]), MCC_Table[[#This Row],[SIZE]]/6, 0)</f>
        <v>5</v>
      </c>
      <c r="AJ29" s="8">
        <f>MCC_Table[[#This Row],[START INDEX]]+MCC_Table[[#This Row],[UNITS USED]]-1</f>
        <v>5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</row>
    <row r="30" spans="1:57" x14ac:dyDescent="0.25">
      <c r="A30" s="39" t="s">
        <v>2073</v>
      </c>
      <c r="B30" s="29" t="s">
        <v>2164</v>
      </c>
      <c r="C30" s="24" t="s">
        <v>2103</v>
      </c>
      <c r="D30" s="62" t="s">
        <v>2143</v>
      </c>
      <c r="E30" s="24" t="s">
        <v>2103</v>
      </c>
      <c r="F30" s="8"/>
      <c r="G30" s="8"/>
      <c r="H30" s="82"/>
      <c r="I30" s="8"/>
      <c r="J30" s="80">
        <f>IF(ISNUMBER(MCC_Table[[#This Row],[SIZE]]), MCC_Table[[#This Row],[SIZE]]/12, 0)</f>
        <v>1</v>
      </c>
      <c r="K30" s="87"/>
      <c r="L30" s="8"/>
      <c r="M30" s="82"/>
      <c r="N30" s="82"/>
      <c r="O30" s="236"/>
      <c r="P30" s="85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225" t="s">
        <v>2105</v>
      </c>
      <c r="AC30" s="225" t="s">
        <v>2106</v>
      </c>
      <c r="AD30" s="225"/>
      <c r="AE30" s="29">
        <f>_xlfn.NUMBERVALUE(LEFT(MCC_Table[[#This Row],[BUCKET]],LEN(MCC_Table[[#This Row],[BUCKET]])-1))</f>
        <v>11</v>
      </c>
      <c r="AF30" s="29" t="str">
        <f>RIGHT(MCC_Table[[#This Row],[BUCKET]],1)</f>
        <v>F</v>
      </c>
      <c r="AG30" s="29">
        <f>VLOOKUP(MCC_Table[[#This Row],[START UNIT]],UnitMap[],2,FALSE)</f>
        <v>6</v>
      </c>
      <c r="AH30" s="29">
        <f t="array" ref="AH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0" s="29">
        <f>IF(ISNUMBER(MCC_Table[[#This Row],[SIZE]]), MCC_Table[[#This Row],[SIZE]]/6, 0)</f>
        <v>2</v>
      </c>
      <c r="AJ30" s="29">
        <f>MCC_Table[[#This Row],[START INDEX]]+MCC_Table[[#This Row],[UNITS USED]]-1</f>
        <v>7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</row>
    <row r="31" spans="1:57" x14ac:dyDescent="0.25">
      <c r="A31" s="39" t="s">
        <v>2073</v>
      </c>
      <c r="B31" s="8" t="s">
        <v>2165</v>
      </c>
      <c r="C31" s="24" t="s">
        <v>2166</v>
      </c>
      <c r="D31" s="28" t="s">
        <v>2167</v>
      </c>
      <c r="E31" s="29" t="s">
        <v>2111</v>
      </c>
      <c r="F31" s="8">
        <v>10</v>
      </c>
      <c r="G31" s="8">
        <v>10</v>
      </c>
      <c r="H31" s="82">
        <v>14</v>
      </c>
      <c r="I31" s="8"/>
      <c r="J31" s="83">
        <f>IF(ISNUMBER(MCC_Table[[#This Row],[SIZE]]), MCC_Table[[#This Row],[SIZE]]/12, 0)</f>
        <v>2.5</v>
      </c>
      <c r="K31" s="87">
        <v>30</v>
      </c>
      <c r="L31" s="8">
        <v>125</v>
      </c>
      <c r="M31" s="82">
        <v>25</v>
      </c>
      <c r="N31" s="82" t="s">
        <v>2124</v>
      </c>
      <c r="O31" s="236"/>
      <c r="P31" s="85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225" t="s">
        <v>2087</v>
      </c>
      <c r="AC31" s="225" t="s">
        <v>2112</v>
      </c>
      <c r="AD31" s="224" t="s">
        <v>2089</v>
      </c>
      <c r="AE31" s="8">
        <f>_xlfn.NUMBERVALUE(LEFT(MCC_Table[[#This Row],[BUCKET]],LEN(MCC_Table[[#This Row],[BUCKET]])-1))</f>
        <v>11</v>
      </c>
      <c r="AF31" s="8" t="str">
        <f>RIGHT(MCC_Table[[#This Row],[BUCKET]],1)</f>
        <v>H</v>
      </c>
      <c r="AG31" s="8">
        <f>VLOOKUP(MCC_Table[[#This Row],[START UNIT]],UnitMap[],2,FALSE)</f>
        <v>8</v>
      </c>
      <c r="AH31" s="8">
        <f t="array" ref="AH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31" s="8">
        <f>IF(ISNUMBER(MCC_Table[[#This Row],[SIZE]]), MCC_Table[[#This Row],[SIZE]]/6, 0)</f>
        <v>5</v>
      </c>
      <c r="AJ31" s="8">
        <f>MCC_Table[[#This Row],[START INDEX]]+MCC_Table[[#This Row],[UNITS USED]]-1</f>
        <v>12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</row>
    <row r="32" spans="1:57" x14ac:dyDescent="0.25">
      <c r="A32" s="39" t="s">
        <v>2073</v>
      </c>
      <c r="B32" s="8" t="s">
        <v>2168</v>
      </c>
      <c r="C32" s="24" t="s">
        <v>2169</v>
      </c>
      <c r="D32" s="28" t="s">
        <v>2170</v>
      </c>
      <c r="E32" s="29" t="s">
        <v>2111</v>
      </c>
      <c r="F32" s="8">
        <v>1</v>
      </c>
      <c r="G32" s="8">
        <v>2</v>
      </c>
      <c r="H32" s="82">
        <v>3.4</v>
      </c>
      <c r="I32" s="8"/>
      <c r="J32" s="83">
        <f>IF(ISNUMBER(MCC_Table[[#This Row],[SIZE]]), MCC_Table[[#This Row],[SIZE]]/12, 0)</f>
        <v>2</v>
      </c>
      <c r="K32" s="87">
        <v>15</v>
      </c>
      <c r="L32" s="8">
        <v>125</v>
      </c>
      <c r="M32" s="82">
        <v>6</v>
      </c>
      <c r="N32" s="82" t="s">
        <v>2124</v>
      </c>
      <c r="O32" s="236"/>
      <c r="P32" s="85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225" t="s">
        <v>2087</v>
      </c>
      <c r="AC32" s="225" t="s">
        <v>2112</v>
      </c>
      <c r="AD32" s="224" t="s">
        <v>2089</v>
      </c>
      <c r="AE32" s="8">
        <f>_xlfn.NUMBERVALUE(LEFT(MCC_Table[[#This Row],[BUCKET]],LEN(MCC_Table[[#This Row],[BUCKET]])-1))</f>
        <v>12</v>
      </c>
      <c r="AF32" s="8" t="str">
        <f>RIGHT(MCC_Table[[#This Row],[BUCKET]],1)</f>
        <v>A</v>
      </c>
      <c r="AG32" s="8">
        <f>VLOOKUP(MCC_Table[[#This Row],[START UNIT]],UnitMap[],2,FALSE)</f>
        <v>1</v>
      </c>
      <c r="AH32" s="8">
        <f t="array" ref="AH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2" s="8">
        <f>IF(ISNUMBER(MCC_Table[[#This Row],[SIZE]]), MCC_Table[[#This Row],[SIZE]]/6, 0)</f>
        <v>4</v>
      </c>
      <c r="AJ32" s="8">
        <f>MCC_Table[[#This Row],[START INDEX]]+MCC_Table[[#This Row],[UNITS USED]]-1</f>
        <v>4</v>
      </c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</row>
    <row r="33" spans="1:57" x14ac:dyDescent="0.25">
      <c r="A33" s="39" t="s">
        <v>2073</v>
      </c>
      <c r="B33" s="29" t="s">
        <v>2171</v>
      </c>
      <c r="C33" s="24" t="s">
        <v>2103</v>
      </c>
      <c r="D33" s="62" t="s">
        <v>2104</v>
      </c>
      <c r="E33" s="24" t="s">
        <v>2103</v>
      </c>
      <c r="F33" s="8"/>
      <c r="G33" s="8"/>
      <c r="H33" s="82"/>
      <c r="I33" s="8"/>
      <c r="J33" s="80">
        <f>IF(ISNUMBER(MCC_Table[[#This Row],[SIZE]]), MCC_Table[[#This Row],[SIZE]]/12, 0)</f>
        <v>0.5</v>
      </c>
      <c r="K33" s="87"/>
      <c r="L33" s="8"/>
      <c r="M33" s="82"/>
      <c r="N33" s="82"/>
      <c r="O33" s="236"/>
      <c r="P33" s="85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225" t="s">
        <v>2105</v>
      </c>
      <c r="AC33" s="225" t="s">
        <v>2106</v>
      </c>
      <c r="AD33" s="225"/>
      <c r="AE33" s="29">
        <f>_xlfn.NUMBERVALUE(LEFT(MCC_Table[[#This Row],[BUCKET]],LEN(MCC_Table[[#This Row],[BUCKET]])-1))</f>
        <v>12</v>
      </c>
      <c r="AF33" s="29" t="str">
        <f>RIGHT(MCC_Table[[#This Row],[BUCKET]],1)</f>
        <v>E</v>
      </c>
      <c r="AG33" s="29">
        <f>VLOOKUP(MCC_Table[[#This Row],[START UNIT]],UnitMap[],2,FALSE)</f>
        <v>5</v>
      </c>
      <c r="AH33" s="29">
        <f t="array" ref="AH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33" s="29">
        <f>IF(ISNUMBER(MCC_Table[[#This Row],[SIZE]]), MCC_Table[[#This Row],[SIZE]]/6, 0)</f>
        <v>1</v>
      </c>
      <c r="AJ33" s="29">
        <f>MCC_Table[[#This Row],[START INDEX]]+MCC_Table[[#This Row],[UNITS USED]]-1</f>
        <v>5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</row>
    <row r="34" spans="1:57" x14ac:dyDescent="0.25">
      <c r="A34" s="39" t="s">
        <v>2073</v>
      </c>
      <c r="B34" s="8" t="s">
        <v>2172</v>
      </c>
      <c r="C34" s="24" t="s">
        <v>2173</v>
      </c>
      <c r="D34" s="28" t="s">
        <v>2174</v>
      </c>
      <c r="E34" s="29" t="s">
        <v>2111</v>
      </c>
      <c r="F34" s="8">
        <v>25</v>
      </c>
      <c r="G34" s="8">
        <v>25</v>
      </c>
      <c r="H34" s="82">
        <v>34</v>
      </c>
      <c r="I34" s="8"/>
      <c r="J34" s="83">
        <f>IF(ISNUMBER(MCC_Table[[#This Row],[SIZE]]), MCC_Table[[#This Row],[SIZE]]/12, 0)</f>
        <v>3.5</v>
      </c>
      <c r="K34" s="87">
        <v>60</v>
      </c>
      <c r="L34" s="8">
        <v>125</v>
      </c>
      <c r="M34" s="82">
        <v>60</v>
      </c>
      <c r="N34" s="82" t="s">
        <v>2175</v>
      </c>
      <c r="O34" s="236"/>
      <c r="P34" s="85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225" t="s">
        <v>2087</v>
      </c>
      <c r="AC34" s="225" t="s">
        <v>2112</v>
      </c>
      <c r="AD34" s="224" t="s">
        <v>2089</v>
      </c>
      <c r="AE34" s="8">
        <f>_xlfn.NUMBERVALUE(LEFT(MCC_Table[[#This Row],[BUCKET]],LEN(MCC_Table[[#This Row],[BUCKET]])-1))</f>
        <v>12</v>
      </c>
      <c r="AF34" s="8" t="str">
        <f>RIGHT(MCC_Table[[#This Row],[BUCKET]],1)</f>
        <v>F</v>
      </c>
      <c r="AG34" s="8">
        <f>VLOOKUP(MCC_Table[[#This Row],[START UNIT]],UnitMap[],2,FALSE)</f>
        <v>6</v>
      </c>
      <c r="AH34" s="8">
        <f t="array" ref="AH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4" s="8">
        <f>IF(ISNUMBER(MCC_Table[[#This Row],[SIZE]]), MCC_Table[[#This Row],[SIZE]]/6, 0)</f>
        <v>7</v>
      </c>
      <c r="AJ34" s="8">
        <f>MCC_Table[[#This Row],[START INDEX]]+MCC_Table[[#This Row],[UNITS USED]]-1</f>
        <v>12</v>
      </c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</row>
    <row r="35" spans="1:57" x14ac:dyDescent="0.25">
      <c r="A35" s="39" t="s">
        <v>2073</v>
      </c>
      <c r="B35" s="8" t="s">
        <v>2176</v>
      </c>
      <c r="C35" s="24" t="s">
        <v>477</v>
      </c>
      <c r="D35" s="28" t="s">
        <v>2177</v>
      </c>
      <c r="E35" s="29" t="s">
        <v>2086</v>
      </c>
      <c r="F35" s="8">
        <v>1.5</v>
      </c>
      <c r="G35" s="8">
        <v>1.5</v>
      </c>
      <c r="H35" s="82"/>
      <c r="I35" s="8">
        <v>1</v>
      </c>
      <c r="J35" s="83">
        <f>IF(ISNUMBER(MCC_Table[[#This Row],[SIZE]]), MCC_Table[[#This Row],[SIZE]]/12, 0)</f>
        <v>1</v>
      </c>
      <c r="K35" s="87">
        <v>7</v>
      </c>
      <c r="L35" s="8">
        <v>125</v>
      </c>
      <c r="M35" s="82"/>
      <c r="N35" s="82" t="s">
        <v>2178</v>
      </c>
      <c r="O35" s="236"/>
      <c r="P35" s="85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225" t="s">
        <v>2087</v>
      </c>
      <c r="AC35" s="224" t="s">
        <v>2088</v>
      </c>
      <c r="AD35" s="224" t="s">
        <v>2089</v>
      </c>
      <c r="AE35" s="8">
        <f>_xlfn.NUMBERVALUE(LEFT(MCC_Table[[#This Row],[BUCKET]],LEN(MCC_Table[[#This Row],[BUCKET]])-1))</f>
        <v>13</v>
      </c>
      <c r="AF35" s="8" t="str">
        <f>RIGHT(MCC_Table[[#This Row],[BUCKET]],1)</f>
        <v>A</v>
      </c>
      <c r="AG35" s="8">
        <f>VLOOKUP(MCC_Table[[#This Row],[START UNIT]],UnitMap[],2,FALSE)</f>
        <v>1</v>
      </c>
      <c r="AH35" s="8">
        <f t="array" ref="AH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" s="8">
        <f>IF(ISNUMBER(MCC_Table[[#This Row],[SIZE]]), MCC_Table[[#This Row],[SIZE]]/6, 0)</f>
        <v>2</v>
      </c>
      <c r="AJ35" s="8">
        <f>MCC_Table[[#This Row],[START INDEX]]+MCC_Table[[#This Row],[UNITS USED]]-1</f>
        <v>2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</row>
    <row r="36" spans="1:57" x14ac:dyDescent="0.25">
      <c r="A36" s="39" t="s">
        <v>2073</v>
      </c>
      <c r="B36" s="8" t="s">
        <v>2179</v>
      </c>
      <c r="C36" s="24" t="s">
        <v>2180</v>
      </c>
      <c r="D36" s="28" t="s">
        <v>2181</v>
      </c>
      <c r="E36" s="29" t="s">
        <v>2111</v>
      </c>
      <c r="F36" s="8">
        <v>10</v>
      </c>
      <c r="G36" s="8">
        <v>10</v>
      </c>
      <c r="H36" s="82">
        <v>14</v>
      </c>
      <c r="I36" s="8"/>
      <c r="J36" s="83">
        <f>IF(ISNUMBER(MCC_Table[[#This Row],[SIZE]]), MCC_Table[[#This Row],[SIZE]]/12, 0)</f>
        <v>2.5</v>
      </c>
      <c r="K36" s="87">
        <v>30</v>
      </c>
      <c r="L36" s="8">
        <v>125</v>
      </c>
      <c r="M36" s="82">
        <v>25</v>
      </c>
      <c r="N36" s="82" t="s">
        <v>2124</v>
      </c>
      <c r="O36" s="236"/>
      <c r="P36" s="85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225" t="s">
        <v>2087</v>
      </c>
      <c r="AC36" s="225" t="s">
        <v>2112</v>
      </c>
      <c r="AD36" s="224" t="s">
        <v>2089</v>
      </c>
      <c r="AE36" s="8">
        <f>_xlfn.NUMBERVALUE(LEFT(MCC_Table[[#This Row],[BUCKET]],LEN(MCC_Table[[#This Row],[BUCKET]])-1))</f>
        <v>13</v>
      </c>
      <c r="AF36" s="8" t="str">
        <f>RIGHT(MCC_Table[[#This Row],[BUCKET]],1)</f>
        <v>C</v>
      </c>
      <c r="AG36" s="8">
        <f>VLOOKUP(MCC_Table[[#This Row],[START UNIT]],UnitMap[],2,FALSE)</f>
        <v>3</v>
      </c>
      <c r="AH36" s="8">
        <f t="array" ref="AH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36" s="8">
        <f>IF(ISNUMBER(MCC_Table[[#This Row],[SIZE]]), MCC_Table[[#This Row],[SIZE]]/6, 0)</f>
        <v>5</v>
      </c>
      <c r="AJ36" s="8">
        <f>MCC_Table[[#This Row],[START INDEX]]+MCC_Table[[#This Row],[UNITS USED]]-1</f>
        <v>7</v>
      </c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</row>
    <row r="37" spans="1:57" x14ac:dyDescent="0.25">
      <c r="A37" s="39" t="s">
        <v>2073</v>
      </c>
      <c r="B37" s="29" t="s">
        <v>2182</v>
      </c>
      <c r="C37" s="24" t="s">
        <v>2103</v>
      </c>
      <c r="D37" s="62" t="s">
        <v>2104</v>
      </c>
      <c r="E37" s="24" t="s">
        <v>2103</v>
      </c>
      <c r="F37" s="8"/>
      <c r="G37" s="8"/>
      <c r="H37" s="82"/>
      <c r="I37" s="8"/>
      <c r="J37" s="80">
        <f>IF(ISNUMBER(MCC_Table[[#This Row],[SIZE]]), MCC_Table[[#This Row],[SIZE]]/12, 0)</f>
        <v>0.5</v>
      </c>
      <c r="K37" s="87"/>
      <c r="L37" s="8"/>
      <c r="M37" s="82"/>
      <c r="N37" s="82"/>
      <c r="O37" s="236"/>
      <c r="P37" s="85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225" t="s">
        <v>2105</v>
      </c>
      <c r="AC37" s="225" t="s">
        <v>2106</v>
      </c>
      <c r="AD37" s="225"/>
      <c r="AE37" s="29">
        <f>_xlfn.NUMBERVALUE(LEFT(MCC_Table[[#This Row],[BUCKET]],LEN(MCC_Table[[#This Row],[BUCKET]])-1))</f>
        <v>13</v>
      </c>
      <c r="AF37" s="29" t="str">
        <f>RIGHT(MCC_Table[[#This Row],[BUCKET]],1)</f>
        <v>H</v>
      </c>
      <c r="AG37" s="29">
        <f>VLOOKUP(MCC_Table[[#This Row],[START UNIT]],UnitMap[],2,FALSE)</f>
        <v>8</v>
      </c>
      <c r="AH37" s="29">
        <f t="array" ref="AH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37" s="29">
        <f>IF(ISNUMBER(MCC_Table[[#This Row],[SIZE]]), MCC_Table[[#This Row],[SIZE]]/6, 0)</f>
        <v>1</v>
      </c>
      <c r="AJ37" s="29">
        <f>MCC_Table[[#This Row],[START INDEX]]+MCC_Table[[#This Row],[UNITS USED]]-1</f>
        <v>8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</row>
    <row r="38" spans="1:57" x14ac:dyDescent="0.25">
      <c r="A38" s="39" t="s">
        <v>2073</v>
      </c>
      <c r="B38" s="8" t="s">
        <v>2183</v>
      </c>
      <c r="C38" s="24" t="s">
        <v>2184</v>
      </c>
      <c r="D38" s="28" t="s">
        <v>2185</v>
      </c>
      <c r="E38" s="29" t="s">
        <v>2111</v>
      </c>
      <c r="F38" s="8">
        <v>0.75</v>
      </c>
      <c r="G38" s="8">
        <v>1</v>
      </c>
      <c r="H38" s="82">
        <v>2.1</v>
      </c>
      <c r="I38" s="8"/>
      <c r="J38" s="83">
        <f>IF(ISNUMBER(MCC_Table[[#This Row],[SIZE]]), MCC_Table[[#This Row],[SIZE]]/12, 0)</f>
        <v>2</v>
      </c>
      <c r="K38" s="87">
        <v>15</v>
      </c>
      <c r="L38" s="8">
        <v>125</v>
      </c>
      <c r="M38" s="82">
        <v>3</v>
      </c>
      <c r="N38" s="82" t="s">
        <v>2124</v>
      </c>
      <c r="O38" s="236"/>
      <c r="P38" s="85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225" t="s">
        <v>2087</v>
      </c>
      <c r="AC38" s="225" t="s">
        <v>2112</v>
      </c>
      <c r="AD38" s="224" t="s">
        <v>2089</v>
      </c>
      <c r="AE38" s="8">
        <f>_xlfn.NUMBERVALUE(LEFT(MCC_Table[[#This Row],[BUCKET]],LEN(MCC_Table[[#This Row],[BUCKET]])-1))</f>
        <v>13</v>
      </c>
      <c r="AF38" s="8" t="str">
        <f>RIGHT(MCC_Table[[#This Row],[BUCKET]],1)</f>
        <v>J</v>
      </c>
      <c r="AG38" s="8">
        <f>VLOOKUP(MCC_Table[[#This Row],[START UNIT]],UnitMap[],2,FALSE)</f>
        <v>9</v>
      </c>
      <c r="AH38" s="8">
        <f t="array" ref="AH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8" s="8">
        <f>IF(ISNUMBER(MCC_Table[[#This Row],[SIZE]]), MCC_Table[[#This Row],[SIZE]]/6, 0)</f>
        <v>4</v>
      </c>
      <c r="AJ38" s="8">
        <f>MCC_Table[[#This Row],[START INDEX]]+MCC_Table[[#This Row],[UNITS USED]]-1</f>
        <v>12</v>
      </c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</row>
    <row r="39" spans="1:57" ht="30" customHeight="1" x14ac:dyDescent="0.25">
      <c r="A39" s="39" t="s">
        <v>2073</v>
      </c>
      <c r="B39" s="29" t="s">
        <v>2186</v>
      </c>
      <c r="C39" s="24" t="s">
        <v>2187</v>
      </c>
      <c r="D39" s="62" t="s">
        <v>2092</v>
      </c>
      <c r="E39" s="24" t="s">
        <v>2093</v>
      </c>
      <c r="F39" s="8"/>
      <c r="G39" s="8"/>
      <c r="H39" s="82"/>
      <c r="I39" s="8"/>
      <c r="J39" s="80">
        <f>IF(ISNUMBER(MCC_Table[[#This Row],[SIZE]]), MCC_Table[[#This Row],[SIZE]]/12, 0)</f>
        <v>1</v>
      </c>
      <c r="K39" s="87"/>
      <c r="L39" s="8"/>
      <c r="M39" s="82"/>
      <c r="N39" s="82"/>
      <c r="O39" s="236"/>
      <c r="P39" s="85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225" t="s">
        <v>2094</v>
      </c>
      <c r="AC39" s="225" t="s">
        <v>2095</v>
      </c>
      <c r="AD39" s="225"/>
      <c r="AE39" s="29">
        <f>_xlfn.NUMBERVALUE(LEFT(MCC_Table[[#This Row],[BUCKET]],LEN(MCC_Table[[#This Row],[BUCKET]])-1))</f>
        <v>14</v>
      </c>
      <c r="AF39" s="29" t="str">
        <f>RIGHT(MCC_Table[[#This Row],[BUCKET]],1)</f>
        <v>A</v>
      </c>
      <c r="AG39" s="29">
        <f>VLOOKUP(MCC_Table[[#This Row],[START UNIT]],UnitMap[],2,FALSE)</f>
        <v>1</v>
      </c>
      <c r="AH39" s="29">
        <f t="array" ref="AH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9" s="29">
        <f>IF(ISNUMBER(MCC_Table[[#This Row],[SIZE]]), MCC_Table[[#This Row],[SIZE]]/6, 0)</f>
        <v>2</v>
      </c>
      <c r="AJ39" s="29">
        <f>MCC_Table[[#This Row],[START INDEX]]+MCC_Table[[#This Row],[UNITS USED]]-1</f>
        <v>2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</row>
    <row r="40" spans="1:57" x14ac:dyDescent="0.25">
      <c r="A40" s="39" t="s">
        <v>2073</v>
      </c>
      <c r="B40" s="29" t="s">
        <v>2188</v>
      </c>
      <c r="C40" s="24" t="s">
        <v>2103</v>
      </c>
      <c r="D40" s="62" t="s">
        <v>2143</v>
      </c>
      <c r="E40" s="24" t="s">
        <v>2103</v>
      </c>
      <c r="F40" s="8"/>
      <c r="G40" s="8"/>
      <c r="H40" s="82"/>
      <c r="I40" s="8"/>
      <c r="J40" s="80">
        <f>IF(ISNUMBER(MCC_Table[[#This Row],[SIZE]]), MCC_Table[[#This Row],[SIZE]]/12, 0)</f>
        <v>1</v>
      </c>
      <c r="K40" s="87"/>
      <c r="L40" s="8"/>
      <c r="M40" s="82"/>
      <c r="N40" s="82"/>
      <c r="O40" s="236"/>
      <c r="P40" s="85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225" t="s">
        <v>2105</v>
      </c>
      <c r="AC40" s="225" t="s">
        <v>2106</v>
      </c>
      <c r="AD40" s="225"/>
      <c r="AE40" s="29">
        <f>_xlfn.NUMBERVALUE(LEFT(MCC_Table[[#This Row],[BUCKET]],LEN(MCC_Table[[#This Row],[BUCKET]])-1))</f>
        <v>14</v>
      </c>
      <c r="AF40" s="29" t="str">
        <f>RIGHT(MCC_Table[[#This Row],[BUCKET]],1)</f>
        <v>C</v>
      </c>
      <c r="AG40" s="29">
        <f>VLOOKUP(MCC_Table[[#This Row],[START UNIT]],UnitMap[],2,FALSE)</f>
        <v>3</v>
      </c>
      <c r="AH40" s="29">
        <f t="array" ref="AH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40" s="29">
        <f>IF(ISNUMBER(MCC_Table[[#This Row],[SIZE]]), MCC_Table[[#This Row],[SIZE]]/6, 0)</f>
        <v>2</v>
      </c>
      <c r="AJ40" s="29">
        <f>MCC_Table[[#This Row],[START INDEX]]+MCC_Table[[#This Row],[UNITS USED]]-1</f>
        <v>4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</row>
    <row r="41" spans="1:57" x14ac:dyDescent="0.25">
      <c r="A41" s="39" t="s">
        <v>2073</v>
      </c>
      <c r="B41" s="29" t="s">
        <v>2189</v>
      </c>
      <c r="C41" s="24" t="s">
        <v>2190</v>
      </c>
      <c r="D41" s="4" t="s">
        <v>2191</v>
      </c>
      <c r="E41" s="29" t="s">
        <v>2111</v>
      </c>
      <c r="F41" s="29">
        <v>5</v>
      </c>
      <c r="G41" s="8">
        <v>5</v>
      </c>
      <c r="H41" s="82">
        <v>8</v>
      </c>
      <c r="I41" s="8"/>
      <c r="J41" s="80">
        <f>IF(ISNUMBER(MCC_Table[[#This Row],[SIZE]]), MCC_Table[[#This Row],[SIZE]]/12, 0)</f>
        <v>2</v>
      </c>
      <c r="K41" s="87">
        <v>20</v>
      </c>
      <c r="L41" s="8">
        <v>125</v>
      </c>
      <c r="M41" s="82">
        <v>12</v>
      </c>
      <c r="N41" s="82" t="s">
        <v>2124</v>
      </c>
      <c r="O41" s="236"/>
      <c r="P41" s="85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225" t="s">
        <v>2087</v>
      </c>
      <c r="AC41" s="225" t="s">
        <v>2112</v>
      </c>
      <c r="AD41" s="224" t="s">
        <v>2089</v>
      </c>
      <c r="AE41" s="29">
        <f>_xlfn.NUMBERVALUE(LEFT(MCC_Table[[#This Row],[BUCKET]],LEN(MCC_Table[[#This Row],[BUCKET]])-1))</f>
        <v>14</v>
      </c>
      <c r="AF41" s="29" t="str">
        <f>RIGHT(MCC_Table[[#This Row],[BUCKET]],1)</f>
        <v>E</v>
      </c>
      <c r="AG41" s="29">
        <f>VLOOKUP(MCC_Table[[#This Row],[START UNIT]],UnitMap[],2,FALSE)</f>
        <v>5</v>
      </c>
      <c r="AH41" s="29">
        <f t="array" ref="AH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41" s="29">
        <f>IF(ISNUMBER(MCC_Table[[#This Row],[SIZE]]), MCC_Table[[#This Row],[SIZE]]/6, 0)</f>
        <v>4</v>
      </c>
      <c r="AJ41" s="29">
        <f>MCC_Table[[#This Row],[START INDEX]]+MCC_Table[[#This Row],[UNITS USED]]-1</f>
        <v>8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</row>
    <row r="42" spans="1:57" x14ac:dyDescent="0.25">
      <c r="A42" s="39" t="s">
        <v>2073</v>
      </c>
      <c r="B42" s="8" t="s">
        <v>2192</v>
      </c>
      <c r="C42" s="24" t="s">
        <v>2193</v>
      </c>
      <c r="D42" s="4" t="s">
        <v>2194</v>
      </c>
      <c r="E42" s="29" t="s">
        <v>2111</v>
      </c>
      <c r="F42" s="29">
        <v>5</v>
      </c>
      <c r="G42" s="8">
        <v>5</v>
      </c>
      <c r="H42" s="82">
        <v>8</v>
      </c>
      <c r="I42" s="8"/>
      <c r="J42" s="83">
        <f>IF(ISNUMBER(MCC_Table[[#This Row],[SIZE]]), MCC_Table[[#This Row],[SIZE]]/12, 0)</f>
        <v>2</v>
      </c>
      <c r="K42" s="87">
        <v>20</v>
      </c>
      <c r="L42" s="8">
        <v>125</v>
      </c>
      <c r="M42" s="82">
        <v>12</v>
      </c>
      <c r="N42" s="82" t="s">
        <v>2124</v>
      </c>
      <c r="O42" s="236"/>
      <c r="P42" s="85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225" t="s">
        <v>2087</v>
      </c>
      <c r="AC42" s="225" t="s">
        <v>2112</v>
      </c>
      <c r="AD42" s="224" t="s">
        <v>2089</v>
      </c>
      <c r="AE42" s="8">
        <f>_xlfn.NUMBERVALUE(LEFT(MCC_Table[[#This Row],[BUCKET]],LEN(MCC_Table[[#This Row],[BUCKET]])-1))</f>
        <v>14</v>
      </c>
      <c r="AF42" s="8" t="str">
        <f>RIGHT(MCC_Table[[#This Row],[BUCKET]],1)</f>
        <v>J</v>
      </c>
      <c r="AG42" s="8">
        <f>VLOOKUP(MCC_Table[[#This Row],[START UNIT]],UnitMap[],2,FALSE)</f>
        <v>9</v>
      </c>
      <c r="AH42" s="8">
        <f t="array" ref="AH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42" s="8">
        <f>IF(ISNUMBER(MCC_Table[[#This Row],[SIZE]]), MCC_Table[[#This Row],[SIZE]]/6, 0)</f>
        <v>4</v>
      </c>
      <c r="AJ42" s="8">
        <f>MCC_Table[[#This Row],[START INDEX]]+MCC_Table[[#This Row],[UNITS USED]]-1</f>
        <v>12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</row>
    <row r="43" spans="1:57" x14ac:dyDescent="0.25">
      <c r="A43" s="39" t="s">
        <v>2073</v>
      </c>
      <c r="B43" s="8" t="s">
        <v>2195</v>
      </c>
      <c r="C43" s="24" t="s">
        <v>2196</v>
      </c>
      <c r="D43" s="4" t="s">
        <v>2197</v>
      </c>
      <c r="E43" s="29" t="s">
        <v>2111</v>
      </c>
      <c r="F43" s="29">
        <v>20</v>
      </c>
      <c r="G43" s="8">
        <v>20</v>
      </c>
      <c r="H43" s="87">
        <v>27</v>
      </c>
      <c r="I43" s="8"/>
      <c r="J43" s="83">
        <f>IF(ISNUMBER(MCC_Table[[#This Row],[SIZE]]), MCC_Table[[#This Row],[SIZE]]/12, 0)</f>
        <v>3</v>
      </c>
      <c r="K43" s="87">
        <v>60</v>
      </c>
      <c r="L43" s="8">
        <v>125</v>
      </c>
      <c r="M43" s="82">
        <v>45</v>
      </c>
      <c r="N43" s="82" t="s">
        <v>2198</v>
      </c>
      <c r="O43" s="236"/>
      <c r="P43" s="88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225" t="s">
        <v>2087</v>
      </c>
      <c r="AC43" s="225" t="s">
        <v>2112</v>
      </c>
      <c r="AD43" s="224" t="s">
        <v>2089</v>
      </c>
      <c r="AE43" s="8">
        <f>_xlfn.NUMBERVALUE(LEFT(MCC_Table[[#This Row],[BUCKET]],LEN(MCC_Table[[#This Row],[BUCKET]])-1))</f>
        <v>15</v>
      </c>
      <c r="AF43" s="8" t="str">
        <f>RIGHT(MCC_Table[[#This Row],[BUCKET]],1)</f>
        <v>A</v>
      </c>
      <c r="AG43" s="8">
        <f>VLOOKUP(MCC_Table[[#This Row],[START UNIT]],UnitMap[],2,FALSE)</f>
        <v>1</v>
      </c>
      <c r="AH43" s="8">
        <f t="array" ref="AH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43" s="8">
        <f>IF(ISNUMBER(MCC_Table[[#This Row],[SIZE]]), MCC_Table[[#This Row],[SIZE]]/6, 0)</f>
        <v>6</v>
      </c>
      <c r="AJ43" s="8">
        <f>MCC_Table[[#This Row],[START INDEX]]+MCC_Table[[#This Row],[UNITS USED]]-1</f>
        <v>6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</row>
    <row r="44" spans="1:57" x14ac:dyDescent="0.25">
      <c r="A44" s="39" t="s">
        <v>2073</v>
      </c>
      <c r="B44" s="8" t="s">
        <v>2199</v>
      </c>
      <c r="C44" s="24" t="s">
        <v>2200</v>
      </c>
      <c r="D44" s="4" t="s">
        <v>2201</v>
      </c>
      <c r="E44" s="29" t="s">
        <v>2111</v>
      </c>
      <c r="F44" s="29">
        <v>20</v>
      </c>
      <c r="G44" s="8">
        <v>20</v>
      </c>
      <c r="H44" s="87">
        <v>27</v>
      </c>
      <c r="I44" s="8"/>
      <c r="J44" s="83">
        <f>IF(ISNUMBER(MCC_Table[[#This Row],[SIZE]]), MCC_Table[[#This Row],[SIZE]]/12, 0)</f>
        <v>3</v>
      </c>
      <c r="K44" s="87">
        <v>60</v>
      </c>
      <c r="L44" s="8">
        <v>125</v>
      </c>
      <c r="M44" s="82">
        <v>45</v>
      </c>
      <c r="N44" s="82" t="s">
        <v>2198</v>
      </c>
      <c r="O44" s="236"/>
      <c r="P44" s="85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225" t="s">
        <v>2087</v>
      </c>
      <c r="AC44" s="225" t="s">
        <v>2112</v>
      </c>
      <c r="AD44" s="224" t="s">
        <v>2089</v>
      </c>
      <c r="AE44" s="8">
        <f>_xlfn.NUMBERVALUE(LEFT(MCC_Table[[#This Row],[BUCKET]],LEN(MCC_Table[[#This Row],[BUCKET]])-1))</f>
        <v>15</v>
      </c>
      <c r="AF44" s="8" t="str">
        <f>RIGHT(MCC_Table[[#This Row],[BUCKET]],1)</f>
        <v>G</v>
      </c>
      <c r="AG44" s="8">
        <f>VLOOKUP(MCC_Table[[#This Row],[START UNIT]],UnitMap[],2,FALSE)</f>
        <v>7</v>
      </c>
      <c r="AH44" s="8">
        <f t="array" ref="AH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44" s="8">
        <f>IF(ISNUMBER(MCC_Table[[#This Row],[SIZE]]), MCC_Table[[#This Row],[SIZE]]/6, 0)</f>
        <v>6</v>
      </c>
      <c r="AJ44" s="8">
        <f>MCC_Table[[#This Row],[START INDEX]]+MCC_Table[[#This Row],[UNITS USED]]-1</f>
        <v>12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</row>
    <row r="45" spans="1:57" x14ac:dyDescent="0.25">
      <c r="A45" s="39" t="s">
        <v>2073</v>
      </c>
      <c r="B45" s="8" t="s">
        <v>2202</v>
      </c>
      <c r="C45" s="24" t="s">
        <v>742</v>
      </c>
      <c r="D45" s="89" t="s">
        <v>2203</v>
      </c>
      <c r="E45" s="29" t="s">
        <v>2086</v>
      </c>
      <c r="F45" s="29">
        <v>7.5</v>
      </c>
      <c r="G45" s="8">
        <v>7.5</v>
      </c>
      <c r="H45" s="87"/>
      <c r="I45" s="8">
        <v>1</v>
      </c>
      <c r="J45" s="83">
        <f>IF(ISNUMBER(MCC_Table[[#This Row],[SIZE]]), MCC_Table[[#This Row],[SIZE]]/12, 0)</f>
        <v>1</v>
      </c>
      <c r="K45" s="87">
        <v>30</v>
      </c>
      <c r="L45" s="8">
        <v>125</v>
      </c>
      <c r="M45" s="82"/>
      <c r="N45" s="82" t="s">
        <v>2178</v>
      </c>
      <c r="O45" s="236"/>
      <c r="P45" s="88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225" t="s">
        <v>2087</v>
      </c>
      <c r="AC45" s="224" t="s">
        <v>2088</v>
      </c>
      <c r="AD45" s="224" t="s">
        <v>2089</v>
      </c>
      <c r="AE45" s="8">
        <f>_xlfn.NUMBERVALUE(LEFT(MCC_Table[[#This Row],[BUCKET]],LEN(MCC_Table[[#This Row],[BUCKET]])-1))</f>
        <v>16</v>
      </c>
      <c r="AF45" s="8" t="str">
        <f>RIGHT(MCC_Table[[#This Row],[BUCKET]],1)</f>
        <v>A</v>
      </c>
      <c r="AG45" s="8">
        <f>VLOOKUP(MCC_Table[[#This Row],[START UNIT]],UnitMap[],2,FALSE)</f>
        <v>1</v>
      </c>
      <c r="AH45" s="8">
        <f t="array" ref="AH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45" s="8">
        <f>IF(ISNUMBER(MCC_Table[[#This Row],[SIZE]]), MCC_Table[[#This Row],[SIZE]]/6, 0)</f>
        <v>2</v>
      </c>
      <c r="AJ45" s="8">
        <f>MCC_Table[[#This Row],[START INDEX]]+MCC_Table[[#This Row],[UNITS USED]]-1</f>
        <v>2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</row>
    <row r="46" spans="1:57" x14ac:dyDescent="0.25">
      <c r="A46" s="39" t="s">
        <v>2073</v>
      </c>
      <c r="B46" s="8" t="s">
        <v>2204</v>
      </c>
      <c r="C46" s="24" t="s">
        <v>795</v>
      </c>
      <c r="D46" s="89" t="s">
        <v>2205</v>
      </c>
      <c r="E46" s="29" t="s">
        <v>2086</v>
      </c>
      <c r="F46" s="29">
        <v>7.5</v>
      </c>
      <c r="G46" s="8">
        <v>7.5</v>
      </c>
      <c r="H46" s="87"/>
      <c r="I46" s="8">
        <v>1</v>
      </c>
      <c r="J46" s="83">
        <f>IF(ISNUMBER(MCC_Table[[#This Row],[SIZE]]), MCC_Table[[#This Row],[SIZE]]/12, 0)</f>
        <v>1</v>
      </c>
      <c r="K46" s="87">
        <v>30</v>
      </c>
      <c r="L46" s="8">
        <v>125</v>
      </c>
      <c r="M46" s="82"/>
      <c r="N46" s="82" t="s">
        <v>2178</v>
      </c>
      <c r="O46" s="236"/>
      <c r="P46" s="88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225" t="s">
        <v>2087</v>
      </c>
      <c r="AC46" s="224" t="s">
        <v>2088</v>
      </c>
      <c r="AD46" s="224" t="s">
        <v>2089</v>
      </c>
      <c r="AE46" s="8">
        <f>_xlfn.NUMBERVALUE(LEFT(MCC_Table[[#This Row],[BUCKET]],LEN(MCC_Table[[#This Row],[BUCKET]])-1))</f>
        <v>16</v>
      </c>
      <c r="AF46" s="8" t="str">
        <f>RIGHT(MCC_Table[[#This Row],[BUCKET]],1)</f>
        <v>C</v>
      </c>
      <c r="AG46" s="8">
        <f>VLOOKUP(MCC_Table[[#This Row],[START UNIT]],UnitMap[],2,FALSE)</f>
        <v>3</v>
      </c>
      <c r="AH46" s="8">
        <f t="array" ref="AH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46" s="8">
        <f>IF(ISNUMBER(MCC_Table[[#This Row],[SIZE]]), MCC_Table[[#This Row],[SIZE]]/6, 0)</f>
        <v>2</v>
      </c>
      <c r="AJ46" s="8">
        <f>MCC_Table[[#This Row],[START INDEX]]+MCC_Table[[#This Row],[UNITS USED]]-1</f>
        <v>4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</row>
    <row r="47" spans="1:57" x14ac:dyDescent="0.25">
      <c r="A47" s="39" t="s">
        <v>2073</v>
      </c>
      <c r="B47" s="8" t="s">
        <v>2206</v>
      </c>
      <c r="C47" s="24" t="s">
        <v>2207</v>
      </c>
      <c r="D47" s="4" t="s">
        <v>2208</v>
      </c>
      <c r="E47" s="29" t="s">
        <v>2111</v>
      </c>
      <c r="F47" s="29">
        <v>5</v>
      </c>
      <c r="G47" s="8">
        <v>5</v>
      </c>
      <c r="H47" s="82">
        <v>8</v>
      </c>
      <c r="I47" s="8"/>
      <c r="J47" s="83">
        <f>IF(ISNUMBER(MCC_Table[[#This Row],[SIZE]]), MCC_Table[[#This Row],[SIZE]]/12, 0)</f>
        <v>2</v>
      </c>
      <c r="K47" s="87">
        <v>20</v>
      </c>
      <c r="L47" s="8">
        <v>125</v>
      </c>
      <c r="M47" s="82">
        <v>12</v>
      </c>
      <c r="N47" s="82" t="s">
        <v>2124</v>
      </c>
      <c r="O47" s="236"/>
      <c r="P47" s="85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225" t="s">
        <v>2087</v>
      </c>
      <c r="AC47" s="225" t="s">
        <v>2112</v>
      </c>
      <c r="AD47" s="224" t="s">
        <v>2089</v>
      </c>
      <c r="AE47" s="8">
        <f>_xlfn.NUMBERVALUE(LEFT(MCC_Table[[#This Row],[BUCKET]],LEN(MCC_Table[[#This Row],[BUCKET]])-1))</f>
        <v>16</v>
      </c>
      <c r="AF47" s="8" t="str">
        <f>RIGHT(MCC_Table[[#This Row],[BUCKET]],1)</f>
        <v>E</v>
      </c>
      <c r="AG47" s="8">
        <f>VLOOKUP(MCC_Table[[#This Row],[START UNIT]],UnitMap[],2,FALSE)</f>
        <v>5</v>
      </c>
      <c r="AH47" s="8">
        <f t="array" ref="AH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47" s="8">
        <f>IF(ISNUMBER(MCC_Table[[#This Row],[SIZE]]), MCC_Table[[#This Row],[SIZE]]/6, 0)</f>
        <v>4</v>
      </c>
      <c r="AJ47" s="8">
        <f>MCC_Table[[#This Row],[START INDEX]]+MCC_Table[[#This Row],[UNITS USED]]-1</f>
        <v>8</v>
      </c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</row>
    <row r="48" spans="1:57" x14ac:dyDescent="0.25">
      <c r="A48" s="39" t="s">
        <v>2073</v>
      </c>
      <c r="B48" s="8" t="s">
        <v>2209</v>
      </c>
      <c r="C48" s="24" t="s">
        <v>2210</v>
      </c>
      <c r="D48" s="4" t="s">
        <v>2211</v>
      </c>
      <c r="E48" s="29" t="s">
        <v>2111</v>
      </c>
      <c r="F48" s="29">
        <v>5</v>
      </c>
      <c r="G48" s="8">
        <v>5</v>
      </c>
      <c r="H48" s="82">
        <v>8</v>
      </c>
      <c r="I48" s="8"/>
      <c r="J48" s="83">
        <f>IF(ISNUMBER(MCC_Table[[#This Row],[SIZE]]), MCC_Table[[#This Row],[SIZE]]/12, 0)</f>
        <v>2</v>
      </c>
      <c r="K48" s="87">
        <v>20</v>
      </c>
      <c r="L48" s="8">
        <v>125</v>
      </c>
      <c r="M48" s="82">
        <v>12</v>
      </c>
      <c r="N48" s="82" t="s">
        <v>2124</v>
      </c>
      <c r="O48" s="236"/>
      <c r="P48" s="88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225" t="s">
        <v>2087</v>
      </c>
      <c r="AC48" s="225" t="s">
        <v>2112</v>
      </c>
      <c r="AD48" s="224" t="s">
        <v>2089</v>
      </c>
      <c r="AE48" s="8">
        <f>_xlfn.NUMBERVALUE(LEFT(MCC_Table[[#This Row],[BUCKET]],LEN(MCC_Table[[#This Row],[BUCKET]])-1))</f>
        <v>16</v>
      </c>
      <c r="AF48" s="8" t="str">
        <f>RIGHT(MCC_Table[[#This Row],[BUCKET]],1)</f>
        <v>J</v>
      </c>
      <c r="AG48" s="8">
        <f>VLOOKUP(MCC_Table[[#This Row],[START UNIT]],UnitMap[],2,FALSE)</f>
        <v>9</v>
      </c>
      <c r="AH48" s="8">
        <f t="array" ref="AH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48" s="8">
        <f>IF(ISNUMBER(MCC_Table[[#This Row],[SIZE]]), MCC_Table[[#This Row],[SIZE]]/6, 0)</f>
        <v>4</v>
      </c>
      <c r="AJ48" s="8">
        <f>MCC_Table[[#This Row],[START INDEX]]+MCC_Table[[#This Row],[UNITS USED]]-1</f>
        <v>12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</row>
    <row r="49" spans="1:57" x14ac:dyDescent="0.25">
      <c r="A49" s="39" t="s">
        <v>2073</v>
      </c>
      <c r="B49" s="8" t="s">
        <v>2212</v>
      </c>
      <c r="C49" s="24" t="s">
        <v>2213</v>
      </c>
      <c r="D49" s="28" t="s">
        <v>2214</v>
      </c>
      <c r="E49" s="29" t="s">
        <v>2111</v>
      </c>
      <c r="F49" s="8">
        <v>50</v>
      </c>
      <c r="G49" s="8">
        <v>50</v>
      </c>
      <c r="H49" s="87">
        <v>65</v>
      </c>
      <c r="I49" s="8"/>
      <c r="J49" s="83">
        <f>IF(ISNUMBER(MCC_Table[[#This Row],[SIZE]]), MCC_Table[[#This Row],[SIZE]]/12, 0)</f>
        <v>6</v>
      </c>
      <c r="K49" s="87">
        <v>125</v>
      </c>
      <c r="L49" s="8">
        <v>125</v>
      </c>
      <c r="M49" s="82">
        <v>100</v>
      </c>
      <c r="N49" s="82" t="s">
        <v>2215</v>
      </c>
      <c r="O49" s="236"/>
      <c r="P49" s="88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225" t="s">
        <v>2087</v>
      </c>
      <c r="AC49" s="225" t="s">
        <v>2112</v>
      </c>
      <c r="AD49" s="224" t="s">
        <v>2089</v>
      </c>
      <c r="AE49" s="8">
        <f>_xlfn.NUMBERVALUE(LEFT(MCC_Table[[#This Row],[BUCKET]],LEN(MCC_Table[[#This Row],[BUCKET]])-1))</f>
        <v>17</v>
      </c>
      <c r="AF49" s="8" t="str">
        <f>RIGHT(MCC_Table[[#This Row],[BUCKET]],1)</f>
        <v>A</v>
      </c>
      <c r="AG49" s="8">
        <f>VLOOKUP(MCC_Table[[#This Row],[START UNIT]],UnitMap[],2,FALSE)</f>
        <v>1</v>
      </c>
      <c r="AH49" s="8">
        <f t="array" ref="AH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49" s="8">
        <f>IF(ISNUMBER(MCC_Table[[#This Row],[SIZE]]), MCC_Table[[#This Row],[SIZE]]/6, 0)</f>
        <v>12</v>
      </c>
      <c r="AJ49" s="8">
        <f>MCC_Table[[#This Row],[START INDEX]]+MCC_Table[[#This Row],[UNITS USED]]-1</f>
        <v>12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</row>
    <row r="50" spans="1:57" ht="15.75" customHeight="1" thickBot="1" x14ac:dyDescent="0.3">
      <c r="A50" s="90" t="s">
        <v>2073</v>
      </c>
      <c r="B50" s="91" t="s">
        <v>2216</v>
      </c>
      <c r="C50" s="92" t="s">
        <v>2217</v>
      </c>
      <c r="D50" s="93" t="s">
        <v>2214</v>
      </c>
      <c r="E50" s="94" t="s">
        <v>2111</v>
      </c>
      <c r="F50" s="91">
        <v>50</v>
      </c>
      <c r="G50" s="91">
        <v>50</v>
      </c>
      <c r="H50" s="96">
        <v>65</v>
      </c>
      <c r="I50" s="91"/>
      <c r="J50" s="95">
        <f>IF(ISNUMBER(MCC_Table[[#This Row],[SIZE]]), MCC_Table[[#This Row],[SIZE]]/12, 0)</f>
        <v>6</v>
      </c>
      <c r="K50" s="96">
        <v>125</v>
      </c>
      <c r="L50" s="91">
        <v>125</v>
      </c>
      <c r="M50" s="97">
        <v>100</v>
      </c>
      <c r="N50" s="97" t="s">
        <v>2215</v>
      </c>
      <c r="O50" s="237"/>
      <c r="P50" s="228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117" t="s">
        <v>2087</v>
      </c>
      <c r="AC50" s="117" t="s">
        <v>2112</v>
      </c>
      <c r="AD50" s="117" t="s">
        <v>2089</v>
      </c>
      <c r="AE50" s="91">
        <f>_xlfn.NUMBERVALUE(LEFT(MCC_Table[[#This Row],[BUCKET]],LEN(MCC_Table[[#This Row],[BUCKET]])-1))</f>
        <v>18</v>
      </c>
      <c r="AF50" s="91" t="str">
        <f>RIGHT(MCC_Table[[#This Row],[BUCKET]],1)</f>
        <v>A</v>
      </c>
      <c r="AG50" s="91">
        <f>VLOOKUP(MCC_Table[[#This Row],[START UNIT]],UnitMap[],2,FALSE)</f>
        <v>1</v>
      </c>
      <c r="AH50" s="91">
        <f t="array" ref="AH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50" s="91">
        <f>IF(ISNUMBER(MCC_Table[[#This Row],[SIZE]]), MCC_Table[[#This Row],[SIZE]]/6, 0)</f>
        <v>12</v>
      </c>
      <c r="AJ50" s="91">
        <f>MCC_Table[[#This Row],[START INDEX]]+MCC_Table[[#This Row],[UNITS USED]]-1</f>
        <v>12</v>
      </c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ht="15.75" customHeight="1" thickTop="1" x14ac:dyDescent="0.25">
      <c r="A51" s="37" t="s">
        <v>2218</v>
      </c>
      <c r="B51" s="98" t="s">
        <v>2074</v>
      </c>
      <c r="C51" s="99" t="s">
        <v>2075</v>
      </c>
      <c r="D51" s="100" t="s">
        <v>2076</v>
      </c>
      <c r="E51" s="99" t="s">
        <v>2075</v>
      </c>
      <c r="F51" s="10"/>
      <c r="G51" s="10"/>
      <c r="H51" s="76"/>
      <c r="I51" s="10"/>
      <c r="J51" s="101">
        <f>IF(ISNUMBER(MCC_Table[[#This Row],[SIZE]]), MCC_Table[[#This Row],[SIZE]]/12, 0)</f>
        <v>3.5</v>
      </c>
      <c r="K51" s="81">
        <v>1200</v>
      </c>
      <c r="L51" s="10">
        <v>1200</v>
      </c>
      <c r="M51" s="76"/>
      <c r="N51" s="76"/>
      <c r="O51" s="239"/>
      <c r="P51" s="227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224" t="s">
        <v>2077</v>
      </c>
      <c r="AC51" s="224" t="s">
        <v>2219</v>
      </c>
      <c r="AD51" s="224" t="s">
        <v>2079</v>
      </c>
      <c r="AE51" s="98">
        <f>_xlfn.NUMBERVALUE(LEFT(MCC_Table[[#This Row],[BUCKET]],LEN(MCC_Table[[#This Row],[BUCKET]])-1))</f>
        <v>1</v>
      </c>
      <c r="AF51" s="98" t="str">
        <f>RIGHT(MCC_Table[[#This Row],[BUCKET]],1)</f>
        <v>A</v>
      </c>
      <c r="AG51" s="98">
        <f>VLOOKUP(MCC_Table[[#This Row],[START UNIT]],UnitMap[],2,FALSE)</f>
        <v>1</v>
      </c>
      <c r="AH51" s="98">
        <f t="array" ref="AH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51" s="98">
        <f>IF(ISNUMBER(MCC_Table[[#This Row],[SIZE]]), MCC_Table[[#This Row],[SIZE]]/6, 0)</f>
        <v>7</v>
      </c>
      <c r="AJ51" s="98">
        <f>MCC_Table[[#This Row],[START INDEX]]+MCC_Table[[#This Row],[UNITS USED]]-1</f>
        <v>7</v>
      </c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37" t="s">
        <v>2218</v>
      </c>
      <c r="B52" s="98" t="s">
        <v>2080</v>
      </c>
      <c r="C52" s="99" t="s">
        <v>2220</v>
      </c>
      <c r="D52" s="100" t="s">
        <v>2082</v>
      </c>
      <c r="E52" s="99" t="s">
        <v>2083</v>
      </c>
      <c r="F52" s="10"/>
      <c r="G52" s="10"/>
      <c r="H52" s="81"/>
      <c r="I52" s="10"/>
      <c r="J52" s="101">
        <f>IF(ISNUMBER(MCC_Table[[#This Row],[SIZE]]), MCC_Table[[#This Row],[SIZE]]/12, 0)</f>
        <v>1.5</v>
      </c>
      <c r="K52" s="81"/>
      <c r="L52" s="8"/>
      <c r="M52" s="76">
        <v>0.75</v>
      </c>
      <c r="N52" s="76"/>
      <c r="O52" s="239"/>
      <c r="P52" s="102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224" t="s">
        <v>2077</v>
      </c>
      <c r="AC52" s="224" t="s">
        <v>2219</v>
      </c>
      <c r="AD52" s="224" t="s">
        <v>2079</v>
      </c>
      <c r="AE52" s="98">
        <f>_xlfn.NUMBERVALUE(LEFT(MCC_Table[[#This Row],[BUCKET]],LEN(MCC_Table[[#This Row],[BUCKET]])-1))</f>
        <v>1</v>
      </c>
      <c r="AF52" s="98" t="str">
        <f>RIGHT(MCC_Table[[#This Row],[BUCKET]],1)</f>
        <v>H</v>
      </c>
      <c r="AG52" s="98">
        <f>VLOOKUP(MCC_Table[[#This Row],[START UNIT]],UnitMap[],2,FALSE)</f>
        <v>8</v>
      </c>
      <c r="AH52" s="98">
        <f t="array" ref="AH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52" s="98">
        <f>IF(ISNUMBER(MCC_Table[[#This Row],[SIZE]]), MCC_Table[[#This Row],[SIZE]]/6, 0)</f>
        <v>3</v>
      </c>
      <c r="AJ52" s="98">
        <f>MCC_Table[[#This Row],[START INDEX]]+MCC_Table[[#This Row],[UNITS USED]]-1</f>
        <v>10</v>
      </c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37" t="s">
        <v>2218</v>
      </c>
      <c r="B53" s="8" t="s">
        <v>2084</v>
      </c>
      <c r="C53" s="24" t="s">
        <v>683</v>
      </c>
      <c r="D53" s="28" t="s">
        <v>2221</v>
      </c>
      <c r="E53" s="29" t="s">
        <v>2086</v>
      </c>
      <c r="F53" s="8">
        <v>2</v>
      </c>
      <c r="G53" s="8">
        <v>2</v>
      </c>
      <c r="H53" s="82"/>
      <c r="I53" s="8">
        <v>1</v>
      </c>
      <c r="J53" s="83">
        <f>IF(ISNUMBER(MCC_Table[[#This Row],[SIZE]]), MCC_Table[[#This Row],[SIZE]]/12, 0)</f>
        <v>1</v>
      </c>
      <c r="K53" s="87">
        <v>7</v>
      </c>
      <c r="L53" s="8">
        <v>125</v>
      </c>
      <c r="M53" s="82"/>
      <c r="N53" s="82" t="s">
        <v>2178</v>
      </c>
      <c r="O53" s="236"/>
      <c r="P53" s="85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225" t="s">
        <v>2087</v>
      </c>
      <c r="AC53" s="224" t="s">
        <v>2088</v>
      </c>
      <c r="AD53" s="225" t="s">
        <v>2089</v>
      </c>
      <c r="AE53" s="8">
        <f>_xlfn.NUMBERVALUE(LEFT(MCC_Table[[#This Row],[BUCKET]],LEN(MCC_Table[[#This Row],[BUCKET]])-1))</f>
        <v>1</v>
      </c>
      <c r="AF53" s="8" t="str">
        <f>RIGHT(MCC_Table[[#This Row],[BUCKET]],1)</f>
        <v>L</v>
      </c>
      <c r="AG53" s="8">
        <f>VLOOKUP(MCC_Table[[#This Row],[START UNIT]],UnitMap[],2,FALSE)</f>
        <v>11</v>
      </c>
      <c r="AH53" s="8">
        <f t="array" ref="AH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53" s="8">
        <f>IF(ISNUMBER(MCC_Table[[#This Row],[SIZE]]), MCC_Table[[#This Row],[SIZE]]/6, 0)</f>
        <v>2</v>
      </c>
      <c r="AJ53" s="8">
        <f>MCC_Table[[#This Row],[START INDEX]]+MCC_Table[[#This Row],[UNITS USED]]-1</f>
        <v>12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37" t="s">
        <v>2218</v>
      </c>
      <c r="B54" s="29" t="s">
        <v>2222</v>
      </c>
      <c r="C54" s="24" t="s">
        <v>2223</v>
      </c>
      <c r="D54" s="62" t="s">
        <v>2224</v>
      </c>
      <c r="E54" s="24" t="s">
        <v>2225</v>
      </c>
      <c r="F54" s="8"/>
      <c r="G54" s="9"/>
      <c r="H54" s="233"/>
      <c r="I54" s="9"/>
      <c r="J54" s="234">
        <f>IF(ISNUMBER(MCC_Table[[#This Row],[SIZE]]), MCC_Table[[#This Row],[SIZE]]/12, 0)</f>
        <v>1</v>
      </c>
      <c r="K54" s="238"/>
      <c r="L54" s="9"/>
      <c r="M54" s="233"/>
      <c r="N54" s="82"/>
      <c r="O54" s="236"/>
      <c r="P54" s="78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225" t="s">
        <v>2094</v>
      </c>
      <c r="AC54" s="225" t="s">
        <v>2226</v>
      </c>
      <c r="AD54" s="225"/>
      <c r="AE54" s="29">
        <f>_xlfn.NUMBERVALUE(LEFT(MCC_Table[[#This Row],[BUCKET]],LEN(MCC_Table[[#This Row],[BUCKET]])-1))</f>
        <v>2</v>
      </c>
      <c r="AF54" s="29" t="str">
        <f>RIGHT(MCC_Table[[#This Row],[BUCKET]],1)</f>
        <v>A</v>
      </c>
      <c r="AG54" s="29">
        <f>VLOOKUP(MCC_Table[[#This Row],[START UNIT]],UnitMap[],2,FALSE)</f>
        <v>1</v>
      </c>
      <c r="AH54" s="29">
        <f t="array" ref="AH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54" s="29">
        <f>IF(ISNUMBER(MCC_Table[[#This Row],[SIZE]]), MCC_Table[[#This Row],[SIZE]]/6, 0)</f>
        <v>2</v>
      </c>
      <c r="AJ54" s="29">
        <f>MCC_Table[[#This Row],[START INDEX]]+MCC_Table[[#This Row],[UNITS USED]]-1</f>
        <v>2</v>
      </c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39" t="s">
        <v>2218</v>
      </c>
      <c r="B55" s="29" t="s">
        <v>2096</v>
      </c>
      <c r="C55" s="24" t="s">
        <v>2227</v>
      </c>
      <c r="D55" s="62" t="s">
        <v>2098</v>
      </c>
      <c r="E55" s="24" t="s">
        <v>2099</v>
      </c>
      <c r="F55" s="230"/>
      <c r="G55" s="8"/>
      <c r="H55" s="8">
        <v>14</v>
      </c>
      <c r="I55" s="8"/>
      <c r="J55" s="80">
        <f>IF(ISNUMBER(MCC_Table[[#This Row],[SIZE]]), MCC_Table[[#This Row],[SIZE]]/12, 0)</f>
        <v>1</v>
      </c>
      <c r="K55" s="230"/>
      <c r="L55" s="8"/>
      <c r="M55" s="82"/>
      <c r="N55" s="82"/>
      <c r="O55" s="236"/>
      <c r="P55" s="105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225" t="s">
        <v>2100</v>
      </c>
      <c r="AC55" s="225" t="s">
        <v>2101</v>
      </c>
      <c r="AD55" s="225"/>
      <c r="AE55" s="29">
        <f>_xlfn.NUMBERVALUE(LEFT(MCC_Table[[#This Row],[BUCKET]],LEN(MCC_Table[[#This Row],[BUCKET]])-1))</f>
        <v>2</v>
      </c>
      <c r="AF55" s="29" t="str">
        <f>RIGHT(MCC_Table[[#This Row],[BUCKET]],1)</f>
        <v>C</v>
      </c>
      <c r="AG55" s="29">
        <f>VLOOKUP(MCC_Table[[#This Row],[START UNIT]],UnitMap[],2,FALSE)</f>
        <v>3</v>
      </c>
      <c r="AH55" s="29">
        <f t="array" ref="AH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55" s="29">
        <f>IF(ISNUMBER(MCC_Table[[#This Row],[SIZE]]), MCC_Table[[#This Row],[SIZE]]/6, 0)</f>
        <v>2</v>
      </c>
      <c r="AJ55" s="29">
        <f>MCC_Table[[#This Row],[START INDEX]]+MCC_Table[[#This Row],[UNITS USED]]-1</f>
        <v>4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37" t="s">
        <v>2218</v>
      </c>
      <c r="B56" s="29" t="s">
        <v>2102</v>
      </c>
      <c r="C56" s="24" t="s">
        <v>2103</v>
      </c>
      <c r="D56" s="62" t="s">
        <v>2104</v>
      </c>
      <c r="E56" s="24" t="s">
        <v>2103</v>
      </c>
      <c r="F56" s="230"/>
      <c r="G56" s="8"/>
      <c r="H56" s="8"/>
      <c r="I56" s="8"/>
      <c r="J56" s="80">
        <f>IF(ISNUMBER(MCC_Table[[#This Row],[SIZE]]), MCC_Table[[#This Row],[SIZE]]/12, 0)</f>
        <v>0.5</v>
      </c>
      <c r="K56" s="230"/>
      <c r="L56" s="8"/>
      <c r="M56" s="82"/>
      <c r="N56" s="82"/>
      <c r="O56" s="236"/>
      <c r="P56" s="88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225" t="s">
        <v>2105</v>
      </c>
      <c r="AC56" s="225" t="s">
        <v>2106</v>
      </c>
      <c r="AD56" s="225"/>
      <c r="AE56" s="29">
        <f>_xlfn.NUMBERVALUE(LEFT(MCC_Table[[#This Row],[BUCKET]],LEN(MCC_Table[[#This Row],[BUCKET]])-1))</f>
        <v>2</v>
      </c>
      <c r="AF56" s="29" t="str">
        <f>RIGHT(MCC_Table[[#This Row],[BUCKET]],1)</f>
        <v>E</v>
      </c>
      <c r="AG56" s="29">
        <f>VLOOKUP(MCC_Table[[#This Row],[START UNIT]],UnitMap[],2,FALSE)</f>
        <v>5</v>
      </c>
      <c r="AH56" s="29">
        <f t="array" ref="AH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56" s="29">
        <f>IF(ISNUMBER(MCC_Table[[#This Row],[SIZE]]), MCC_Table[[#This Row],[SIZE]]/6, 0)</f>
        <v>1</v>
      </c>
      <c r="AJ56" s="29">
        <f>MCC_Table[[#This Row],[START INDEX]]+MCC_Table[[#This Row],[UNITS USED]]-1</f>
        <v>5</v>
      </c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37" t="s">
        <v>2218</v>
      </c>
      <c r="B57" s="8" t="s">
        <v>2107</v>
      </c>
      <c r="C57" s="8" t="s">
        <v>1933</v>
      </c>
      <c r="D57" s="28" t="s">
        <v>2120</v>
      </c>
      <c r="E57" s="29" t="s">
        <v>2111</v>
      </c>
      <c r="F57" s="230">
        <v>25</v>
      </c>
      <c r="G57" s="8">
        <v>25</v>
      </c>
      <c r="H57" s="8">
        <v>34</v>
      </c>
      <c r="I57" s="104"/>
      <c r="J57" s="83">
        <f>IF(ISNUMBER(MCC_Table[[#This Row],[SIZE]]), MCC_Table[[#This Row],[SIZE]]/12, 0)</f>
        <v>3.5</v>
      </c>
      <c r="K57" s="230">
        <v>60</v>
      </c>
      <c r="L57" s="8">
        <v>125</v>
      </c>
      <c r="M57" s="82">
        <v>60</v>
      </c>
      <c r="N57" s="82"/>
      <c r="O57" s="236"/>
      <c r="P57" s="88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225" t="s">
        <v>2087</v>
      </c>
      <c r="AC57" s="225" t="s">
        <v>2112</v>
      </c>
      <c r="AD57" s="224" t="s">
        <v>2089</v>
      </c>
      <c r="AE57" s="8">
        <f>_xlfn.NUMBERVALUE(LEFT(MCC_Table[[#This Row],[BUCKET]],LEN(MCC_Table[[#This Row],[BUCKET]])-1))</f>
        <v>2</v>
      </c>
      <c r="AF57" s="8" t="str">
        <f>RIGHT(MCC_Table[[#This Row],[BUCKET]],1)</f>
        <v>F</v>
      </c>
      <c r="AG57" s="8">
        <f>VLOOKUP(MCC_Table[[#This Row],[START UNIT]],UnitMap[],2,FALSE)</f>
        <v>6</v>
      </c>
      <c r="AH57" s="8">
        <f t="array" ref="AH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57" s="8">
        <f>IF(ISNUMBER(MCC_Table[[#This Row],[SIZE]]), MCC_Table[[#This Row],[SIZE]]/6, 0)</f>
        <v>7</v>
      </c>
      <c r="AJ57" s="8">
        <f>MCC_Table[[#This Row],[START INDEX]]+MCC_Table[[#This Row],[UNITS USED]]-1</f>
        <v>12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37" t="s">
        <v>2218</v>
      </c>
      <c r="B58" s="8" t="s">
        <v>2113</v>
      </c>
      <c r="C58" s="24" t="s">
        <v>2228</v>
      </c>
      <c r="D58" s="28" t="s">
        <v>2229</v>
      </c>
      <c r="E58" s="29" t="s">
        <v>2111</v>
      </c>
      <c r="F58" s="231">
        <v>25</v>
      </c>
      <c r="G58" s="8">
        <v>25</v>
      </c>
      <c r="H58" s="8">
        <v>34</v>
      </c>
      <c r="I58" s="8"/>
      <c r="J58" s="83">
        <f>IF(ISNUMBER(MCC_Table[[#This Row],[SIZE]]), MCC_Table[[#This Row],[SIZE]]/12, 0)</f>
        <v>3.5</v>
      </c>
      <c r="K58" s="230">
        <v>60</v>
      </c>
      <c r="L58" s="8">
        <v>125</v>
      </c>
      <c r="M58" s="82">
        <v>60</v>
      </c>
      <c r="N58" s="82" t="s">
        <v>2175</v>
      </c>
      <c r="O58" s="236"/>
      <c r="P58" s="85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225" t="s">
        <v>2087</v>
      </c>
      <c r="AC58" s="225" t="s">
        <v>2112</v>
      </c>
      <c r="AD58" s="224" t="s">
        <v>2089</v>
      </c>
      <c r="AE58" s="8">
        <f>_xlfn.NUMBERVALUE(LEFT(MCC_Table[[#This Row],[BUCKET]],LEN(MCC_Table[[#This Row],[BUCKET]])-1))</f>
        <v>3</v>
      </c>
      <c r="AF58" s="8" t="str">
        <f>RIGHT(MCC_Table[[#This Row],[BUCKET]],1)</f>
        <v>A</v>
      </c>
      <c r="AG58" s="8">
        <f>VLOOKUP(MCC_Table[[#This Row],[START UNIT]],UnitMap[],2,FALSE)</f>
        <v>1</v>
      </c>
      <c r="AH58" s="8">
        <f t="array" ref="AH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58" s="8">
        <f>IF(ISNUMBER(MCC_Table[[#This Row],[SIZE]]), MCC_Table[[#This Row],[SIZE]]/6, 0)</f>
        <v>7</v>
      </c>
      <c r="AJ58" s="8">
        <f>MCC_Table[[#This Row],[START INDEX]]+MCC_Table[[#This Row],[UNITS USED]]-1</f>
        <v>7</v>
      </c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37" t="s">
        <v>2218</v>
      </c>
      <c r="B59" s="8" t="s">
        <v>2230</v>
      </c>
      <c r="C59" s="24" t="s">
        <v>1933</v>
      </c>
      <c r="D59" s="28" t="s">
        <v>2135</v>
      </c>
      <c r="E59" s="29" t="s">
        <v>2111</v>
      </c>
      <c r="F59" s="230"/>
      <c r="G59" s="8">
        <v>2</v>
      </c>
      <c r="H59" s="8">
        <v>3.4</v>
      </c>
      <c r="I59" s="8"/>
      <c r="J59" s="83">
        <f>IF(ISNUMBER(MCC_Table[[#This Row],[SIZE]]), MCC_Table[[#This Row],[SIZE]]/12, 0)</f>
        <v>2</v>
      </c>
      <c r="K59" s="230">
        <v>15</v>
      </c>
      <c r="L59" s="8">
        <v>125</v>
      </c>
      <c r="M59" s="82">
        <v>6</v>
      </c>
      <c r="N59" s="82"/>
      <c r="O59" s="236"/>
      <c r="P59" s="85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225" t="s">
        <v>2087</v>
      </c>
      <c r="AC59" s="225" t="s">
        <v>2112</v>
      </c>
      <c r="AD59" s="224" t="s">
        <v>2089</v>
      </c>
      <c r="AE59" s="8">
        <f>_xlfn.NUMBERVALUE(LEFT(MCC_Table[[#This Row],[BUCKET]],LEN(MCC_Table[[#This Row],[BUCKET]])-1))</f>
        <v>3</v>
      </c>
      <c r="AF59" s="8" t="str">
        <f>RIGHT(MCC_Table[[#This Row],[BUCKET]],1)</f>
        <v>H</v>
      </c>
      <c r="AG59" s="8">
        <f>VLOOKUP(MCC_Table[[#This Row],[START UNIT]],UnitMap[],2,FALSE)</f>
        <v>8</v>
      </c>
      <c r="AH59" s="8">
        <f t="array" ref="AH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59" s="8">
        <f>IF(ISNUMBER(MCC_Table[[#This Row],[SIZE]]), MCC_Table[[#This Row],[SIZE]]/6, 0)</f>
        <v>4</v>
      </c>
      <c r="AJ59" s="8">
        <f>MCC_Table[[#This Row],[START INDEX]]+MCC_Table[[#This Row],[UNITS USED]]-1</f>
        <v>11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37" t="s">
        <v>2218</v>
      </c>
      <c r="B60" s="29" t="s">
        <v>2231</v>
      </c>
      <c r="C60" s="24" t="s">
        <v>2103</v>
      </c>
      <c r="D60" s="62" t="s">
        <v>2104</v>
      </c>
      <c r="E60" s="24" t="s">
        <v>2103</v>
      </c>
      <c r="F60" s="230"/>
      <c r="G60" s="8"/>
      <c r="H60" s="8"/>
      <c r="I60" s="8"/>
      <c r="J60" s="80">
        <f>IF(ISNUMBER(MCC_Table[[#This Row],[SIZE]]), MCC_Table[[#This Row],[SIZE]]/12, 0)</f>
        <v>0.5</v>
      </c>
      <c r="K60" s="230"/>
      <c r="L60" s="8"/>
      <c r="M60" s="82"/>
      <c r="N60" s="82"/>
      <c r="O60" s="236"/>
      <c r="P60" s="88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225" t="s">
        <v>2105</v>
      </c>
      <c r="AC60" s="225" t="s">
        <v>2106</v>
      </c>
      <c r="AD60" s="225"/>
      <c r="AE60" s="29">
        <f>_xlfn.NUMBERVALUE(LEFT(MCC_Table[[#This Row],[BUCKET]],LEN(MCC_Table[[#This Row],[BUCKET]])-1))</f>
        <v>3</v>
      </c>
      <c r="AF60" s="29" t="str">
        <f>RIGHT(MCC_Table[[#This Row],[BUCKET]],1)</f>
        <v>M</v>
      </c>
      <c r="AG60" s="29">
        <f>VLOOKUP(MCC_Table[[#This Row],[START UNIT]],UnitMap[],2,FALSE)</f>
        <v>12</v>
      </c>
      <c r="AH60" s="29">
        <f t="array" ref="AH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60" s="29">
        <f>IF(ISNUMBER(MCC_Table[[#This Row],[SIZE]]), MCC_Table[[#This Row],[SIZE]]/6, 0)</f>
        <v>1</v>
      </c>
      <c r="AJ60" s="29">
        <f>MCC_Table[[#This Row],[START INDEX]]+MCC_Table[[#This Row],[UNITS USED]]-1</f>
        <v>12</v>
      </c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37" t="s">
        <v>2218</v>
      </c>
      <c r="B61" s="8" t="s">
        <v>2115</v>
      </c>
      <c r="C61" s="24" t="s">
        <v>2232</v>
      </c>
      <c r="D61" s="28" t="s">
        <v>2233</v>
      </c>
      <c r="E61" s="29" t="s">
        <v>2111</v>
      </c>
      <c r="F61" s="231">
        <v>25</v>
      </c>
      <c r="G61" s="8">
        <v>25</v>
      </c>
      <c r="H61" s="8">
        <v>34</v>
      </c>
      <c r="I61" s="8"/>
      <c r="J61" s="83">
        <f>IF(ISNUMBER(MCC_Table[[#This Row],[SIZE]]), MCC_Table[[#This Row],[SIZE]]/12, 0)</f>
        <v>3.5</v>
      </c>
      <c r="K61" s="230">
        <v>60</v>
      </c>
      <c r="L61" s="8">
        <v>125</v>
      </c>
      <c r="M61" s="82">
        <v>60</v>
      </c>
      <c r="N61" s="82" t="s">
        <v>2175</v>
      </c>
      <c r="O61" s="236"/>
      <c r="P61" s="85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225" t="s">
        <v>2087</v>
      </c>
      <c r="AC61" s="225" t="s">
        <v>2112</v>
      </c>
      <c r="AD61" s="224" t="s">
        <v>2089</v>
      </c>
      <c r="AE61" s="8">
        <f>_xlfn.NUMBERVALUE(LEFT(MCC_Table[[#This Row],[BUCKET]],LEN(MCC_Table[[#This Row],[BUCKET]])-1))</f>
        <v>4</v>
      </c>
      <c r="AF61" s="8" t="str">
        <f>RIGHT(MCC_Table[[#This Row],[BUCKET]],1)</f>
        <v>A</v>
      </c>
      <c r="AG61" s="8">
        <f>VLOOKUP(MCC_Table[[#This Row],[START UNIT]],UnitMap[],2,FALSE)</f>
        <v>1</v>
      </c>
      <c r="AH61" s="8">
        <f t="array" ref="AH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61" s="8">
        <f>IF(ISNUMBER(MCC_Table[[#This Row],[SIZE]]), MCC_Table[[#This Row],[SIZE]]/6, 0)</f>
        <v>7</v>
      </c>
      <c r="AJ61" s="8">
        <f>MCC_Table[[#This Row],[START INDEX]]+MCC_Table[[#This Row],[UNITS USED]]-1</f>
        <v>7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37" t="s">
        <v>2218</v>
      </c>
      <c r="B62" s="8" t="s">
        <v>2234</v>
      </c>
      <c r="C62" s="24" t="s">
        <v>1933</v>
      </c>
      <c r="D62" s="28" t="s">
        <v>2135</v>
      </c>
      <c r="E62" s="29" t="s">
        <v>2111</v>
      </c>
      <c r="F62" s="230"/>
      <c r="G62" s="8">
        <v>2</v>
      </c>
      <c r="H62" s="8">
        <v>3.4</v>
      </c>
      <c r="I62" s="8"/>
      <c r="J62" s="83">
        <f>IF(ISNUMBER(MCC_Table[[#This Row],[SIZE]]), MCC_Table[[#This Row],[SIZE]]/12, 0)</f>
        <v>2</v>
      </c>
      <c r="K62" s="230">
        <v>15</v>
      </c>
      <c r="L62" s="8">
        <v>125</v>
      </c>
      <c r="M62" s="82">
        <v>6</v>
      </c>
      <c r="N62" s="82"/>
      <c r="O62" s="236"/>
      <c r="P62" s="85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225" t="s">
        <v>2087</v>
      </c>
      <c r="AC62" s="225" t="s">
        <v>2112</v>
      </c>
      <c r="AD62" s="224" t="s">
        <v>2089</v>
      </c>
      <c r="AE62" s="8">
        <f>_xlfn.NUMBERVALUE(LEFT(MCC_Table[[#This Row],[BUCKET]],LEN(MCC_Table[[#This Row],[BUCKET]])-1))</f>
        <v>4</v>
      </c>
      <c r="AF62" s="8" t="str">
        <f>RIGHT(MCC_Table[[#This Row],[BUCKET]],1)</f>
        <v>H</v>
      </c>
      <c r="AG62" s="8">
        <f>VLOOKUP(MCC_Table[[#This Row],[START UNIT]],UnitMap[],2,FALSE)</f>
        <v>8</v>
      </c>
      <c r="AH62" s="8">
        <f t="array" ref="AH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62" s="8">
        <f>IF(ISNUMBER(MCC_Table[[#This Row],[SIZE]]), MCC_Table[[#This Row],[SIZE]]/6, 0)</f>
        <v>4</v>
      </c>
      <c r="AJ62" s="8">
        <f>MCC_Table[[#This Row],[START INDEX]]+MCC_Table[[#This Row],[UNITS USED]]-1</f>
        <v>11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37" t="s">
        <v>2218</v>
      </c>
      <c r="B63" s="29" t="s">
        <v>2235</v>
      </c>
      <c r="C63" s="24" t="s">
        <v>2103</v>
      </c>
      <c r="D63" s="62" t="s">
        <v>2104</v>
      </c>
      <c r="E63" s="24" t="s">
        <v>2103</v>
      </c>
      <c r="F63" s="230"/>
      <c r="G63" s="8"/>
      <c r="H63" s="8"/>
      <c r="I63" s="8"/>
      <c r="J63" s="80">
        <f>IF(ISNUMBER(MCC_Table[[#This Row],[SIZE]]), MCC_Table[[#This Row],[SIZE]]/12, 0)</f>
        <v>0.5</v>
      </c>
      <c r="K63" s="230"/>
      <c r="L63" s="8"/>
      <c r="M63" s="82"/>
      <c r="N63" s="82"/>
      <c r="O63" s="236"/>
      <c r="P63" s="88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225" t="s">
        <v>2105</v>
      </c>
      <c r="AC63" s="225" t="s">
        <v>2106</v>
      </c>
      <c r="AD63" s="225"/>
      <c r="AE63" s="29">
        <f>_xlfn.NUMBERVALUE(LEFT(MCC_Table[[#This Row],[BUCKET]],LEN(MCC_Table[[#This Row],[BUCKET]])-1))</f>
        <v>4</v>
      </c>
      <c r="AF63" s="29" t="str">
        <f>RIGHT(MCC_Table[[#This Row],[BUCKET]],1)</f>
        <v>M</v>
      </c>
      <c r="AG63" s="29">
        <f>VLOOKUP(MCC_Table[[#This Row],[START UNIT]],UnitMap[],2,FALSE)</f>
        <v>12</v>
      </c>
      <c r="AH63" s="29">
        <f t="array" ref="AH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63" s="29">
        <f>IF(ISNUMBER(MCC_Table[[#This Row],[SIZE]]), MCC_Table[[#This Row],[SIZE]]/6, 0)</f>
        <v>1</v>
      </c>
      <c r="AJ63" s="29">
        <f>MCC_Table[[#This Row],[START INDEX]]+MCC_Table[[#This Row],[UNITS USED]]-1</f>
        <v>12</v>
      </c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37" t="s">
        <v>2218</v>
      </c>
      <c r="B64" s="8" t="s">
        <v>2118</v>
      </c>
      <c r="C64" s="24" t="s">
        <v>2236</v>
      </c>
      <c r="D64" s="28" t="s">
        <v>2237</v>
      </c>
      <c r="E64" s="29" t="s">
        <v>2111</v>
      </c>
      <c r="F64" s="231">
        <v>25</v>
      </c>
      <c r="G64" s="8">
        <v>25</v>
      </c>
      <c r="H64" s="8">
        <v>34</v>
      </c>
      <c r="I64" s="8"/>
      <c r="J64" s="83">
        <f>IF(ISNUMBER(MCC_Table[[#This Row],[SIZE]]), MCC_Table[[#This Row],[SIZE]]/12, 0)</f>
        <v>3.5</v>
      </c>
      <c r="K64" s="230">
        <v>60</v>
      </c>
      <c r="L64" s="8">
        <v>125</v>
      </c>
      <c r="M64" s="82">
        <v>60</v>
      </c>
      <c r="N64" s="82" t="s">
        <v>2175</v>
      </c>
      <c r="O64" s="236"/>
      <c r="P64" s="85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225" t="s">
        <v>2087</v>
      </c>
      <c r="AC64" s="225" t="s">
        <v>2112</v>
      </c>
      <c r="AD64" s="224" t="s">
        <v>2089</v>
      </c>
      <c r="AE64" s="8">
        <f>_xlfn.NUMBERVALUE(LEFT(MCC_Table[[#This Row],[BUCKET]],LEN(MCC_Table[[#This Row],[BUCKET]])-1))</f>
        <v>5</v>
      </c>
      <c r="AF64" s="8" t="str">
        <f>RIGHT(MCC_Table[[#This Row],[BUCKET]],1)</f>
        <v>A</v>
      </c>
      <c r="AG64" s="8">
        <f>VLOOKUP(MCC_Table[[#This Row],[START UNIT]],UnitMap[],2,FALSE)</f>
        <v>1</v>
      </c>
      <c r="AH64" s="8">
        <f t="array" ref="AH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64" s="8">
        <f>IF(ISNUMBER(MCC_Table[[#This Row],[SIZE]]), MCC_Table[[#This Row],[SIZE]]/6, 0)</f>
        <v>7</v>
      </c>
      <c r="AJ64" s="8">
        <f>MCC_Table[[#This Row],[START INDEX]]+MCC_Table[[#This Row],[UNITS USED]]-1</f>
        <v>7</v>
      </c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37" t="s">
        <v>2218</v>
      </c>
      <c r="B65" s="8" t="s">
        <v>2238</v>
      </c>
      <c r="C65" s="24" t="s">
        <v>1933</v>
      </c>
      <c r="D65" s="28" t="s">
        <v>2135</v>
      </c>
      <c r="E65" s="29" t="s">
        <v>2111</v>
      </c>
      <c r="F65" s="230"/>
      <c r="G65" s="8">
        <v>2</v>
      </c>
      <c r="H65" s="8">
        <v>3.4</v>
      </c>
      <c r="I65" s="8"/>
      <c r="J65" s="83">
        <f>IF(ISNUMBER(MCC_Table[[#This Row],[SIZE]]), MCC_Table[[#This Row],[SIZE]]/12, 0)</f>
        <v>2</v>
      </c>
      <c r="K65" s="230">
        <v>15</v>
      </c>
      <c r="L65" s="8">
        <v>125</v>
      </c>
      <c r="M65" s="82">
        <v>6</v>
      </c>
      <c r="N65" s="82"/>
      <c r="O65" s="236"/>
      <c r="P65" s="85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225" t="s">
        <v>2087</v>
      </c>
      <c r="AC65" s="225" t="s">
        <v>2112</v>
      </c>
      <c r="AD65" s="224" t="s">
        <v>2089</v>
      </c>
      <c r="AE65" s="8">
        <f>_xlfn.NUMBERVALUE(LEFT(MCC_Table[[#This Row],[BUCKET]],LEN(MCC_Table[[#This Row],[BUCKET]])-1))</f>
        <v>5</v>
      </c>
      <c r="AF65" s="8" t="str">
        <f>RIGHT(MCC_Table[[#This Row],[BUCKET]],1)</f>
        <v>H</v>
      </c>
      <c r="AG65" s="8">
        <f>VLOOKUP(MCC_Table[[#This Row],[START UNIT]],UnitMap[],2,FALSE)</f>
        <v>8</v>
      </c>
      <c r="AH65" s="8">
        <f t="array" ref="AH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65" s="8">
        <f>IF(ISNUMBER(MCC_Table[[#This Row],[SIZE]]), MCC_Table[[#This Row],[SIZE]]/6, 0)</f>
        <v>4</v>
      </c>
      <c r="AJ65" s="8">
        <f>MCC_Table[[#This Row],[START INDEX]]+MCC_Table[[#This Row],[UNITS USED]]-1</f>
        <v>11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37" t="s">
        <v>2218</v>
      </c>
      <c r="B66" s="29" t="s">
        <v>2239</v>
      </c>
      <c r="C66" s="24" t="s">
        <v>2103</v>
      </c>
      <c r="D66" s="62" t="s">
        <v>2104</v>
      </c>
      <c r="E66" s="24" t="s">
        <v>2103</v>
      </c>
      <c r="F66" s="230"/>
      <c r="G66" s="8"/>
      <c r="H66" s="8"/>
      <c r="I66" s="8"/>
      <c r="J66" s="80">
        <f>IF(ISNUMBER(MCC_Table[[#This Row],[SIZE]]), MCC_Table[[#This Row],[SIZE]]/12, 0)</f>
        <v>0.5</v>
      </c>
      <c r="K66" s="230"/>
      <c r="L66" s="8"/>
      <c r="M66" s="82"/>
      <c r="N66" s="82"/>
      <c r="O66" s="236"/>
      <c r="P66" s="88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225" t="s">
        <v>2105</v>
      </c>
      <c r="AC66" s="225" t="s">
        <v>2106</v>
      </c>
      <c r="AD66" s="225"/>
      <c r="AE66" s="29">
        <f>_xlfn.NUMBERVALUE(LEFT(MCC_Table[[#This Row],[BUCKET]],LEN(MCC_Table[[#This Row],[BUCKET]])-1))</f>
        <v>5</v>
      </c>
      <c r="AF66" s="29" t="str">
        <f>RIGHT(MCC_Table[[#This Row],[BUCKET]],1)</f>
        <v>M</v>
      </c>
      <c r="AG66" s="29">
        <f>VLOOKUP(MCC_Table[[#This Row],[START UNIT]],UnitMap[],2,FALSE)</f>
        <v>12</v>
      </c>
      <c r="AH66" s="29">
        <f t="array" ref="AH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66" s="29">
        <f>IF(ISNUMBER(MCC_Table[[#This Row],[SIZE]]), MCC_Table[[#This Row],[SIZE]]/6, 0)</f>
        <v>1</v>
      </c>
      <c r="AJ66" s="29">
        <f>MCC_Table[[#This Row],[START INDEX]]+MCC_Table[[#This Row],[UNITS USED]]-1</f>
        <v>12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37" t="s">
        <v>2218</v>
      </c>
      <c r="B67" s="8" t="s">
        <v>2121</v>
      </c>
      <c r="C67" s="24" t="s">
        <v>2240</v>
      </c>
      <c r="D67" s="28" t="s">
        <v>2241</v>
      </c>
      <c r="E67" s="29" t="s">
        <v>2111</v>
      </c>
      <c r="F67" s="230">
        <v>75</v>
      </c>
      <c r="G67" s="8">
        <v>75</v>
      </c>
      <c r="H67" s="8">
        <v>96</v>
      </c>
      <c r="I67" s="8"/>
      <c r="J67" s="83">
        <f>IF(ISNUMBER(MCC_Table[[#This Row],[SIZE]]), MCC_Table[[#This Row],[SIZE]]/12, 0)</f>
        <v>6</v>
      </c>
      <c r="K67" s="230">
        <v>250</v>
      </c>
      <c r="L67" s="8">
        <v>250</v>
      </c>
      <c r="M67" s="82">
        <v>175</v>
      </c>
      <c r="N67" s="82" t="s">
        <v>2242</v>
      </c>
      <c r="O67" s="236"/>
      <c r="P67" s="85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225" t="s">
        <v>2087</v>
      </c>
      <c r="AC67" s="225" t="s">
        <v>2112</v>
      </c>
      <c r="AD67" s="224" t="s">
        <v>2089</v>
      </c>
      <c r="AE67" s="8">
        <f>_xlfn.NUMBERVALUE(LEFT(MCC_Table[[#This Row],[BUCKET]],LEN(MCC_Table[[#This Row],[BUCKET]])-1))</f>
        <v>6</v>
      </c>
      <c r="AF67" s="8" t="str">
        <f>RIGHT(MCC_Table[[#This Row],[BUCKET]],1)</f>
        <v>A</v>
      </c>
      <c r="AG67" s="8">
        <f>VLOOKUP(MCC_Table[[#This Row],[START UNIT]],UnitMap[],2,FALSE)</f>
        <v>1</v>
      </c>
      <c r="AH67" s="8">
        <f t="array" ref="AH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67" s="8">
        <f>IF(ISNUMBER(MCC_Table[[#This Row],[SIZE]]), MCC_Table[[#This Row],[SIZE]]/6, 0)</f>
        <v>12</v>
      </c>
      <c r="AJ67" s="8">
        <f>MCC_Table[[#This Row],[START INDEX]]+MCC_Table[[#This Row],[UNITS USED]]-1</f>
        <v>12</v>
      </c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37" t="s">
        <v>2218</v>
      </c>
      <c r="B68" s="8" t="s">
        <v>2131</v>
      </c>
      <c r="C68" s="24" t="s">
        <v>2243</v>
      </c>
      <c r="D68" s="28" t="s">
        <v>2244</v>
      </c>
      <c r="E68" s="29" t="s">
        <v>2111</v>
      </c>
      <c r="F68" s="231">
        <v>25</v>
      </c>
      <c r="G68" s="8">
        <v>25</v>
      </c>
      <c r="H68" s="8">
        <v>34</v>
      </c>
      <c r="I68" s="8"/>
      <c r="J68" s="83">
        <f>IF(ISNUMBER(MCC_Table[[#This Row],[SIZE]]), MCC_Table[[#This Row],[SIZE]]/12, 0)</f>
        <v>3.5</v>
      </c>
      <c r="K68" s="230">
        <v>60</v>
      </c>
      <c r="L68" s="8">
        <v>125</v>
      </c>
      <c r="M68" s="82">
        <v>60</v>
      </c>
      <c r="N68" s="82" t="s">
        <v>2175</v>
      </c>
      <c r="O68" s="236"/>
      <c r="P68" s="88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225" t="s">
        <v>2087</v>
      </c>
      <c r="AC68" s="225" t="s">
        <v>2112</v>
      </c>
      <c r="AD68" s="224" t="s">
        <v>2089</v>
      </c>
      <c r="AE68" s="8">
        <f>_xlfn.NUMBERVALUE(LEFT(MCC_Table[[#This Row],[BUCKET]],LEN(MCC_Table[[#This Row],[BUCKET]])-1))</f>
        <v>7</v>
      </c>
      <c r="AF68" s="8" t="str">
        <f>RIGHT(MCC_Table[[#This Row],[BUCKET]],1)</f>
        <v>A</v>
      </c>
      <c r="AG68" s="8">
        <f>VLOOKUP(MCC_Table[[#This Row],[START UNIT]],UnitMap[],2,FALSE)</f>
        <v>1</v>
      </c>
      <c r="AH68" s="8">
        <f t="array" ref="AH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68" s="8">
        <f>IF(ISNUMBER(MCC_Table[[#This Row],[SIZE]]), MCC_Table[[#This Row],[SIZE]]/6, 0)</f>
        <v>7</v>
      </c>
      <c r="AJ68" s="8">
        <f>MCC_Table[[#This Row],[START INDEX]]+MCC_Table[[#This Row],[UNITS USED]]-1</f>
        <v>7</v>
      </c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39" t="s">
        <v>2218</v>
      </c>
      <c r="B69" s="8" t="s">
        <v>2245</v>
      </c>
      <c r="C69" s="24" t="s">
        <v>2246</v>
      </c>
      <c r="D69" s="89" t="s">
        <v>2247</v>
      </c>
      <c r="E69" s="29" t="s">
        <v>2111</v>
      </c>
      <c r="F69" s="231">
        <v>10</v>
      </c>
      <c r="G69" s="8">
        <v>10</v>
      </c>
      <c r="H69" s="8">
        <v>14</v>
      </c>
      <c r="I69" s="8"/>
      <c r="J69" s="83">
        <f>IF(ISNUMBER(MCC_Table[[#This Row],[SIZE]]), MCC_Table[[#This Row],[SIZE]]/12, 0)</f>
        <v>2.5</v>
      </c>
      <c r="K69" s="230">
        <v>30</v>
      </c>
      <c r="L69" s="8">
        <v>125</v>
      </c>
      <c r="M69" s="82">
        <v>25</v>
      </c>
      <c r="N69" s="82" t="s">
        <v>2124</v>
      </c>
      <c r="O69" s="236" t="s">
        <v>2248</v>
      </c>
      <c r="P69" s="88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225" t="s">
        <v>2087</v>
      </c>
      <c r="AC69" s="225" t="s">
        <v>2112</v>
      </c>
      <c r="AD69" s="224" t="s">
        <v>2089</v>
      </c>
      <c r="AE69" s="8">
        <f>_xlfn.NUMBERVALUE(LEFT(MCC_Table[[#This Row],[BUCKET]],LEN(MCC_Table[[#This Row],[BUCKET]])-1))</f>
        <v>7</v>
      </c>
      <c r="AF69" s="8" t="str">
        <f>RIGHT(MCC_Table[[#This Row],[BUCKET]],1)</f>
        <v>H</v>
      </c>
      <c r="AG69" s="8">
        <f>VLOOKUP(MCC_Table[[#This Row],[START UNIT]],UnitMap[],2,FALSE)</f>
        <v>8</v>
      </c>
      <c r="AH69" s="8">
        <f t="array" ref="AH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69" s="8">
        <f>IF(ISNUMBER(MCC_Table[[#This Row],[SIZE]]), MCC_Table[[#This Row],[SIZE]]/6, 0)</f>
        <v>5</v>
      </c>
      <c r="AJ69" s="8">
        <f>MCC_Table[[#This Row],[START INDEX]]+MCC_Table[[#This Row],[UNITS USED]]-1</f>
        <v>12</v>
      </c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39" t="s">
        <v>2218</v>
      </c>
      <c r="B70" s="8" t="s">
        <v>2139</v>
      </c>
      <c r="C70" s="24" t="s">
        <v>2249</v>
      </c>
      <c r="D70" s="28" t="s">
        <v>2250</v>
      </c>
      <c r="E70" s="29" t="s">
        <v>2111</v>
      </c>
      <c r="F70" s="230">
        <v>5</v>
      </c>
      <c r="G70" s="8">
        <v>5</v>
      </c>
      <c r="H70" s="8">
        <v>8</v>
      </c>
      <c r="I70" s="8"/>
      <c r="J70" s="83">
        <f>IF(ISNUMBER(MCC_Table[[#This Row],[SIZE]]), MCC_Table[[#This Row],[SIZE]]/12, 0)</f>
        <v>2</v>
      </c>
      <c r="K70" s="230">
        <v>20</v>
      </c>
      <c r="L70" s="8">
        <v>125</v>
      </c>
      <c r="M70" s="82">
        <v>12</v>
      </c>
      <c r="N70" s="82" t="s">
        <v>2124</v>
      </c>
      <c r="O70" s="236"/>
      <c r="P70" s="85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225" t="s">
        <v>2087</v>
      </c>
      <c r="AC70" s="225" t="s">
        <v>2112</v>
      </c>
      <c r="AD70" s="224" t="s">
        <v>2089</v>
      </c>
      <c r="AE70" s="8">
        <f>_xlfn.NUMBERVALUE(LEFT(MCC_Table[[#This Row],[BUCKET]],LEN(MCC_Table[[#This Row],[BUCKET]])-1))</f>
        <v>8</v>
      </c>
      <c r="AF70" s="8" t="str">
        <f>RIGHT(MCC_Table[[#This Row],[BUCKET]],1)</f>
        <v>A</v>
      </c>
      <c r="AG70" s="8">
        <f>VLOOKUP(MCC_Table[[#This Row],[START UNIT]],UnitMap[],2,FALSE)</f>
        <v>1</v>
      </c>
      <c r="AH70" s="8">
        <f t="array" ref="AH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70" s="8">
        <f>IF(ISNUMBER(MCC_Table[[#This Row],[SIZE]]), MCC_Table[[#This Row],[SIZE]]/6, 0)</f>
        <v>4</v>
      </c>
      <c r="AJ70" s="8">
        <f>MCC_Table[[#This Row],[START INDEX]]+MCC_Table[[#This Row],[UNITS USED]]-1</f>
        <v>4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39" t="s">
        <v>2218</v>
      </c>
      <c r="B71" s="29" t="s">
        <v>2251</v>
      </c>
      <c r="C71" s="24" t="s">
        <v>2103</v>
      </c>
      <c r="D71" s="62" t="s">
        <v>2143</v>
      </c>
      <c r="E71" s="24" t="s">
        <v>2103</v>
      </c>
      <c r="F71" s="230"/>
      <c r="G71" s="8"/>
      <c r="H71" s="8"/>
      <c r="I71" s="8"/>
      <c r="J71" s="80">
        <f>IF(ISNUMBER(MCC_Table[[#This Row],[SIZE]]), MCC_Table[[#This Row],[SIZE]]/12, 0)</f>
        <v>1</v>
      </c>
      <c r="K71" s="230"/>
      <c r="L71" s="8"/>
      <c r="M71" s="82"/>
      <c r="N71" s="82"/>
      <c r="O71" s="236"/>
      <c r="P71" s="88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225" t="s">
        <v>2105</v>
      </c>
      <c r="AC71" s="225" t="s">
        <v>2106</v>
      </c>
      <c r="AD71" s="225"/>
      <c r="AE71" s="29">
        <f>_xlfn.NUMBERVALUE(LEFT(MCC_Table[[#This Row],[BUCKET]],LEN(MCC_Table[[#This Row],[BUCKET]])-1))</f>
        <v>8</v>
      </c>
      <c r="AF71" s="29" t="str">
        <f>RIGHT(MCC_Table[[#This Row],[BUCKET]],1)</f>
        <v>E</v>
      </c>
      <c r="AG71" s="29">
        <f>VLOOKUP(MCC_Table[[#This Row],[START UNIT]],UnitMap[],2,FALSE)</f>
        <v>5</v>
      </c>
      <c r="AH71" s="29">
        <f t="array" ref="AH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71" s="29">
        <f>IF(ISNUMBER(MCC_Table[[#This Row],[SIZE]]), MCC_Table[[#This Row],[SIZE]]/6, 0)</f>
        <v>2</v>
      </c>
      <c r="AJ71" s="29">
        <f>MCC_Table[[#This Row],[START INDEX]]+MCC_Table[[#This Row],[UNITS USED]]-1</f>
        <v>6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39" t="s">
        <v>2218</v>
      </c>
      <c r="B72" s="8" t="s">
        <v>2252</v>
      </c>
      <c r="C72" s="24" t="s">
        <v>2253</v>
      </c>
      <c r="D72" s="28" t="s">
        <v>2254</v>
      </c>
      <c r="E72" s="29" t="s">
        <v>2111</v>
      </c>
      <c r="F72" s="231">
        <v>20</v>
      </c>
      <c r="G72" s="8">
        <v>20</v>
      </c>
      <c r="H72" s="8">
        <v>27</v>
      </c>
      <c r="I72" s="8"/>
      <c r="J72" s="83">
        <f>IF(ISNUMBER(MCC_Table[[#This Row],[SIZE]]), MCC_Table[[#This Row],[SIZE]]/12, 0)</f>
        <v>3</v>
      </c>
      <c r="K72" s="230">
        <v>60</v>
      </c>
      <c r="L72" s="8">
        <v>125</v>
      </c>
      <c r="M72" s="82">
        <v>45</v>
      </c>
      <c r="N72" s="82" t="s">
        <v>2198</v>
      </c>
      <c r="O72" s="236"/>
      <c r="P72" s="88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225" t="s">
        <v>2087</v>
      </c>
      <c r="AC72" s="225" t="s">
        <v>2112</v>
      </c>
      <c r="AD72" s="224" t="s">
        <v>2089</v>
      </c>
      <c r="AE72" s="8">
        <f>_xlfn.NUMBERVALUE(LEFT(MCC_Table[[#This Row],[BUCKET]],LEN(MCC_Table[[#This Row],[BUCKET]])-1))</f>
        <v>8</v>
      </c>
      <c r="AF72" s="8" t="str">
        <f>RIGHT(MCC_Table[[#This Row],[BUCKET]],1)</f>
        <v>G</v>
      </c>
      <c r="AG72" s="8">
        <f>VLOOKUP(MCC_Table[[#This Row],[START UNIT]],UnitMap[],2,FALSE)</f>
        <v>7</v>
      </c>
      <c r="AH72" s="8">
        <f t="array" ref="AH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72" s="8">
        <f>IF(ISNUMBER(MCC_Table[[#This Row],[SIZE]]), MCC_Table[[#This Row],[SIZE]]/6, 0)</f>
        <v>6</v>
      </c>
      <c r="AJ72" s="8">
        <f>MCC_Table[[#This Row],[START INDEX]]+MCC_Table[[#This Row],[UNITS USED]]-1</f>
        <v>12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39" t="s">
        <v>2218</v>
      </c>
      <c r="B73" s="8" t="s">
        <v>2147</v>
      </c>
      <c r="C73" s="24" t="s">
        <v>2255</v>
      </c>
      <c r="D73" s="28" t="s">
        <v>2256</v>
      </c>
      <c r="E73" s="29" t="s">
        <v>2111</v>
      </c>
      <c r="F73" s="231">
        <v>5</v>
      </c>
      <c r="G73" s="8">
        <v>5</v>
      </c>
      <c r="H73" s="8">
        <v>8</v>
      </c>
      <c r="I73" s="8"/>
      <c r="J73" s="83">
        <f>IF(ISNUMBER(MCC_Table[[#This Row],[SIZE]]), MCC_Table[[#This Row],[SIZE]]/12, 0)</f>
        <v>2</v>
      </c>
      <c r="K73" s="230">
        <v>20</v>
      </c>
      <c r="L73" s="8">
        <v>125</v>
      </c>
      <c r="M73" s="82">
        <v>12</v>
      </c>
      <c r="N73" s="82" t="s">
        <v>2124</v>
      </c>
      <c r="O73" s="236"/>
      <c r="P73" s="85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225" t="s">
        <v>2087</v>
      </c>
      <c r="AC73" s="225" t="s">
        <v>2112</v>
      </c>
      <c r="AD73" s="224" t="s">
        <v>2089</v>
      </c>
      <c r="AE73" s="8">
        <f>_xlfn.NUMBERVALUE(LEFT(MCC_Table[[#This Row],[BUCKET]],LEN(MCC_Table[[#This Row],[BUCKET]])-1))</f>
        <v>9</v>
      </c>
      <c r="AF73" s="8" t="str">
        <f>RIGHT(MCC_Table[[#This Row],[BUCKET]],1)</f>
        <v>A</v>
      </c>
      <c r="AG73" s="8">
        <f>VLOOKUP(MCC_Table[[#This Row],[START UNIT]],UnitMap[],2,FALSE)</f>
        <v>1</v>
      </c>
      <c r="AH73" s="8">
        <f t="array" ref="AH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73" s="8">
        <f>IF(ISNUMBER(MCC_Table[[#This Row],[SIZE]]), MCC_Table[[#This Row],[SIZE]]/6, 0)</f>
        <v>4</v>
      </c>
      <c r="AJ73" s="8">
        <f>MCC_Table[[#This Row],[START INDEX]]+MCC_Table[[#This Row],[UNITS USED]]-1</f>
        <v>4</v>
      </c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39" t="s">
        <v>2218</v>
      </c>
      <c r="B74" s="29" t="s">
        <v>2257</v>
      </c>
      <c r="C74" s="24" t="s">
        <v>2103</v>
      </c>
      <c r="D74" s="62" t="s">
        <v>2143</v>
      </c>
      <c r="E74" s="24" t="s">
        <v>2103</v>
      </c>
      <c r="F74" s="230"/>
      <c r="G74" s="8"/>
      <c r="H74" s="8"/>
      <c r="I74" s="8"/>
      <c r="J74" s="80">
        <f>IF(ISNUMBER(MCC_Table[[#This Row],[SIZE]]), MCC_Table[[#This Row],[SIZE]]/12, 0)</f>
        <v>1</v>
      </c>
      <c r="K74" s="230"/>
      <c r="L74" s="8"/>
      <c r="M74" s="82"/>
      <c r="N74" s="82"/>
      <c r="O74" s="236"/>
      <c r="P74" s="88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225" t="s">
        <v>2105</v>
      </c>
      <c r="AC74" s="225" t="s">
        <v>2106</v>
      </c>
      <c r="AD74" s="225"/>
      <c r="AE74" s="29">
        <f>_xlfn.NUMBERVALUE(LEFT(MCC_Table[[#This Row],[BUCKET]],LEN(MCC_Table[[#This Row],[BUCKET]])-1))</f>
        <v>9</v>
      </c>
      <c r="AF74" s="29" t="str">
        <f>RIGHT(MCC_Table[[#This Row],[BUCKET]],1)</f>
        <v>E</v>
      </c>
      <c r="AG74" s="29">
        <f>VLOOKUP(MCC_Table[[#This Row],[START UNIT]],UnitMap[],2,FALSE)</f>
        <v>5</v>
      </c>
      <c r="AH74" s="29">
        <f t="array" ref="AH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74" s="29">
        <f>IF(ISNUMBER(MCC_Table[[#This Row],[SIZE]]), MCC_Table[[#This Row],[SIZE]]/6, 0)</f>
        <v>2</v>
      </c>
      <c r="AJ74" s="29">
        <f>MCC_Table[[#This Row],[START INDEX]]+MCC_Table[[#This Row],[UNITS USED]]-1</f>
        <v>6</v>
      </c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39" t="s">
        <v>2218</v>
      </c>
      <c r="B75" s="8" t="s">
        <v>2258</v>
      </c>
      <c r="C75" s="24" t="s">
        <v>2259</v>
      </c>
      <c r="D75" s="28" t="s">
        <v>2260</v>
      </c>
      <c r="E75" s="29" t="s">
        <v>2111</v>
      </c>
      <c r="F75" s="231">
        <v>20</v>
      </c>
      <c r="G75" s="8">
        <v>20</v>
      </c>
      <c r="H75" s="8">
        <v>27</v>
      </c>
      <c r="I75" s="8"/>
      <c r="J75" s="83">
        <f>IF(ISNUMBER(MCC_Table[[#This Row],[SIZE]]), MCC_Table[[#This Row],[SIZE]]/12, 0)</f>
        <v>3</v>
      </c>
      <c r="K75" s="230">
        <v>60</v>
      </c>
      <c r="L75" s="8">
        <v>125</v>
      </c>
      <c r="M75" s="82">
        <v>45</v>
      </c>
      <c r="N75" s="82" t="s">
        <v>2198</v>
      </c>
      <c r="O75" s="236"/>
      <c r="P75" s="88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225" t="s">
        <v>2087</v>
      </c>
      <c r="AC75" s="225" t="s">
        <v>2112</v>
      </c>
      <c r="AD75" s="224" t="s">
        <v>2089</v>
      </c>
      <c r="AE75" s="8">
        <f>_xlfn.NUMBERVALUE(LEFT(MCC_Table[[#This Row],[BUCKET]],LEN(MCC_Table[[#This Row],[BUCKET]])-1))</f>
        <v>9</v>
      </c>
      <c r="AF75" s="8" t="str">
        <f>RIGHT(MCC_Table[[#This Row],[BUCKET]],1)</f>
        <v>G</v>
      </c>
      <c r="AG75" s="8">
        <f>VLOOKUP(MCC_Table[[#This Row],[START UNIT]],UnitMap[],2,FALSE)</f>
        <v>7</v>
      </c>
      <c r="AH75" s="8">
        <f t="array" ref="AH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75" s="8">
        <f>IF(ISNUMBER(MCC_Table[[#This Row],[SIZE]]), MCC_Table[[#This Row],[SIZE]]/6, 0)</f>
        <v>6</v>
      </c>
      <c r="AJ75" s="8">
        <f>MCC_Table[[#This Row],[START INDEX]]+MCC_Table[[#This Row],[UNITS USED]]-1</f>
        <v>12</v>
      </c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39" t="s">
        <v>2218</v>
      </c>
      <c r="B76" s="8" t="s">
        <v>2154</v>
      </c>
      <c r="C76" s="24" t="s">
        <v>2261</v>
      </c>
      <c r="D76" s="28" t="s">
        <v>2262</v>
      </c>
      <c r="E76" s="29" t="s">
        <v>2111</v>
      </c>
      <c r="F76" s="231">
        <v>5</v>
      </c>
      <c r="G76" s="8">
        <v>5</v>
      </c>
      <c r="H76" s="8">
        <v>8</v>
      </c>
      <c r="I76" s="8"/>
      <c r="J76" s="83">
        <f>IF(ISNUMBER(MCC_Table[[#This Row],[SIZE]]), MCC_Table[[#This Row],[SIZE]]/12, 0)</f>
        <v>2</v>
      </c>
      <c r="K76" s="230">
        <v>20</v>
      </c>
      <c r="L76" s="8">
        <v>125</v>
      </c>
      <c r="M76" s="82">
        <v>12</v>
      </c>
      <c r="N76" s="82" t="s">
        <v>2124</v>
      </c>
      <c r="O76" s="236"/>
      <c r="P76" s="88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225" t="s">
        <v>2087</v>
      </c>
      <c r="AC76" s="225" t="s">
        <v>2112</v>
      </c>
      <c r="AD76" s="224" t="s">
        <v>2089</v>
      </c>
      <c r="AE76" s="8">
        <f>_xlfn.NUMBERVALUE(LEFT(MCC_Table[[#This Row],[BUCKET]],LEN(MCC_Table[[#This Row],[BUCKET]])-1))</f>
        <v>10</v>
      </c>
      <c r="AF76" s="8" t="str">
        <f>RIGHT(MCC_Table[[#This Row],[BUCKET]],1)</f>
        <v>A</v>
      </c>
      <c r="AG76" s="8">
        <f>VLOOKUP(MCC_Table[[#This Row],[START UNIT]],UnitMap[],2,FALSE)</f>
        <v>1</v>
      </c>
      <c r="AH76" s="8">
        <f t="array" ref="AH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76" s="8">
        <f>IF(ISNUMBER(MCC_Table[[#This Row],[SIZE]]), MCC_Table[[#This Row],[SIZE]]/6, 0)</f>
        <v>4</v>
      </c>
      <c r="AJ76" s="8">
        <f>MCC_Table[[#This Row],[START INDEX]]+MCC_Table[[#This Row],[UNITS USED]]-1</f>
        <v>4</v>
      </c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39" t="s">
        <v>2218</v>
      </c>
      <c r="B77" s="8" t="s">
        <v>2263</v>
      </c>
      <c r="C77" s="24" t="s">
        <v>2264</v>
      </c>
      <c r="D77" s="28" t="s">
        <v>2265</v>
      </c>
      <c r="E77" s="29" t="s">
        <v>2111</v>
      </c>
      <c r="F77" s="230">
        <v>20</v>
      </c>
      <c r="G77" s="8">
        <v>20</v>
      </c>
      <c r="H77" s="8">
        <v>27</v>
      </c>
      <c r="I77" s="8"/>
      <c r="J77" s="83">
        <f>IF(ISNUMBER(MCC_Table[[#This Row],[SIZE]]), MCC_Table[[#This Row],[SIZE]]/12, 0)</f>
        <v>3</v>
      </c>
      <c r="K77" s="230">
        <v>60</v>
      </c>
      <c r="L77" s="8">
        <v>125</v>
      </c>
      <c r="M77" s="82">
        <v>45</v>
      </c>
      <c r="N77" s="82" t="s">
        <v>2198</v>
      </c>
      <c r="O77" s="236"/>
      <c r="P77" s="85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225" t="s">
        <v>2087</v>
      </c>
      <c r="AC77" s="225" t="s">
        <v>2112</v>
      </c>
      <c r="AD77" s="224" t="s">
        <v>2089</v>
      </c>
      <c r="AE77" s="8">
        <f>_xlfn.NUMBERVALUE(LEFT(MCC_Table[[#This Row],[BUCKET]],LEN(MCC_Table[[#This Row],[BUCKET]])-1))</f>
        <v>10</v>
      </c>
      <c r="AF77" s="8" t="str">
        <f>RIGHT(MCC_Table[[#This Row],[BUCKET]],1)</f>
        <v>E</v>
      </c>
      <c r="AG77" s="8">
        <f>VLOOKUP(MCC_Table[[#This Row],[START UNIT]],UnitMap[],2,FALSE)</f>
        <v>5</v>
      </c>
      <c r="AH77" s="8">
        <f t="array" ref="AH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77" s="8">
        <f>IF(ISNUMBER(MCC_Table[[#This Row],[SIZE]]), MCC_Table[[#This Row],[SIZE]]/6, 0)</f>
        <v>6</v>
      </c>
      <c r="AJ77" s="8">
        <f>MCC_Table[[#This Row],[START INDEX]]+MCC_Table[[#This Row],[UNITS USED]]-1</f>
        <v>10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39" t="s">
        <v>2218</v>
      </c>
      <c r="B78" s="29" t="s">
        <v>2266</v>
      </c>
      <c r="C78" s="24" t="s">
        <v>2103</v>
      </c>
      <c r="D78" s="62" t="s">
        <v>2143</v>
      </c>
      <c r="E78" s="24" t="s">
        <v>2103</v>
      </c>
      <c r="F78" s="230"/>
      <c r="G78" s="8"/>
      <c r="H78" s="8"/>
      <c r="I78" s="8"/>
      <c r="J78" s="80">
        <f>IF(ISNUMBER(MCC_Table[[#This Row],[SIZE]]), MCC_Table[[#This Row],[SIZE]]/12, 0)</f>
        <v>1</v>
      </c>
      <c r="K78" s="230"/>
      <c r="L78" s="8"/>
      <c r="M78" s="82"/>
      <c r="N78" s="82"/>
      <c r="O78" s="236"/>
      <c r="P78" s="78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225" t="s">
        <v>2105</v>
      </c>
      <c r="AC78" s="225" t="s">
        <v>2106</v>
      </c>
      <c r="AD78" s="225"/>
      <c r="AE78" s="29">
        <f>_xlfn.NUMBERVALUE(LEFT(MCC_Table[[#This Row],[BUCKET]],LEN(MCC_Table[[#This Row],[BUCKET]])-1))</f>
        <v>10</v>
      </c>
      <c r="AF78" s="29" t="str">
        <f>RIGHT(MCC_Table[[#This Row],[BUCKET]],1)</f>
        <v>L</v>
      </c>
      <c r="AG78" s="29">
        <f>VLOOKUP(MCC_Table[[#This Row],[START UNIT]],UnitMap[],2,FALSE)</f>
        <v>11</v>
      </c>
      <c r="AH78" s="29">
        <f t="array" ref="AH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78" s="29">
        <f>IF(ISNUMBER(MCC_Table[[#This Row],[SIZE]]), MCC_Table[[#This Row],[SIZE]]/6, 0)</f>
        <v>2</v>
      </c>
      <c r="AJ78" s="29">
        <f>MCC_Table[[#This Row],[START INDEX]]+MCC_Table[[#This Row],[UNITS USED]]-1</f>
        <v>12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39" t="s">
        <v>2218</v>
      </c>
      <c r="B79" s="8" t="s">
        <v>2161</v>
      </c>
      <c r="C79" s="24" t="s">
        <v>2103</v>
      </c>
      <c r="D79" s="62" t="s">
        <v>2267</v>
      </c>
      <c r="E79" s="24" t="s">
        <v>2103</v>
      </c>
      <c r="F79" s="230"/>
      <c r="G79" s="8"/>
      <c r="H79" s="8"/>
      <c r="I79" s="8"/>
      <c r="J79" s="83">
        <f>IF(ISNUMBER(MCC_Table[[#This Row],[SIZE]]), MCC_Table[[#This Row],[SIZE]]/12, 0)</f>
        <v>1.5</v>
      </c>
      <c r="K79" s="230"/>
      <c r="L79" s="8"/>
      <c r="M79" s="82"/>
      <c r="N79" s="82"/>
      <c r="O79" s="236"/>
      <c r="P79" s="105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225" t="s">
        <v>2105</v>
      </c>
      <c r="AC79" s="225" t="s">
        <v>2106</v>
      </c>
      <c r="AD79" s="225"/>
      <c r="AE79" s="8">
        <f>_xlfn.NUMBERVALUE(LEFT(MCC_Table[[#This Row],[BUCKET]],LEN(MCC_Table[[#This Row],[BUCKET]])-1))</f>
        <v>11</v>
      </c>
      <c r="AF79" s="8" t="str">
        <f>RIGHT(MCC_Table[[#This Row],[BUCKET]],1)</f>
        <v>A</v>
      </c>
      <c r="AG79" s="8">
        <f>VLOOKUP(MCC_Table[[#This Row],[START UNIT]],UnitMap[],2,FALSE)</f>
        <v>1</v>
      </c>
      <c r="AH79" s="8">
        <f t="array" ref="AH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79" s="8">
        <f>IF(ISNUMBER(MCC_Table[[#This Row],[SIZE]]), MCC_Table[[#This Row],[SIZE]]/6, 0)</f>
        <v>3</v>
      </c>
      <c r="AJ79" s="8">
        <f>MCC_Table[[#This Row],[START INDEX]]+MCC_Table[[#This Row],[UNITS USED]]-1</f>
        <v>3</v>
      </c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37" t="s">
        <v>2218</v>
      </c>
      <c r="B80" s="8" t="s">
        <v>2268</v>
      </c>
      <c r="C80" s="24" t="s">
        <v>2269</v>
      </c>
      <c r="D80" s="28" t="s">
        <v>2270</v>
      </c>
      <c r="E80" s="29" t="s">
        <v>2111</v>
      </c>
      <c r="F80" s="231">
        <v>2</v>
      </c>
      <c r="G80" s="8">
        <v>2</v>
      </c>
      <c r="H80" s="8">
        <v>3.4</v>
      </c>
      <c r="I80" s="8"/>
      <c r="J80" s="83">
        <f>IF(ISNUMBER(MCC_Table[[#This Row],[SIZE]]), MCC_Table[[#This Row],[SIZE]]/12, 0)</f>
        <v>2</v>
      </c>
      <c r="K80" s="230">
        <v>15</v>
      </c>
      <c r="L80" s="8">
        <v>125</v>
      </c>
      <c r="M80" s="82">
        <v>6</v>
      </c>
      <c r="N80" s="82" t="s">
        <v>2124</v>
      </c>
      <c r="O80" s="236"/>
      <c r="P80" s="85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225" t="s">
        <v>2087</v>
      </c>
      <c r="AC80" s="225" t="s">
        <v>2112</v>
      </c>
      <c r="AD80" s="224" t="s">
        <v>2089</v>
      </c>
      <c r="AE80" s="8">
        <f>_xlfn.NUMBERVALUE(LEFT(MCC_Table[[#This Row],[BUCKET]],LEN(MCC_Table[[#This Row],[BUCKET]])-1))</f>
        <v>11</v>
      </c>
      <c r="AF80" s="8" t="str">
        <f>RIGHT(MCC_Table[[#This Row],[BUCKET]],1)</f>
        <v>D</v>
      </c>
      <c r="AG80" s="8">
        <f>VLOOKUP(MCC_Table[[#This Row],[START UNIT]],UnitMap[],2,FALSE)</f>
        <v>4</v>
      </c>
      <c r="AH80" s="8">
        <f t="array" ref="AH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80" s="8">
        <f>IF(ISNUMBER(MCC_Table[[#This Row],[SIZE]]), MCC_Table[[#This Row],[SIZE]]/6, 0)</f>
        <v>4</v>
      </c>
      <c r="AJ80" s="8">
        <f>MCC_Table[[#This Row],[START INDEX]]+MCC_Table[[#This Row],[UNITS USED]]-1</f>
        <v>7</v>
      </c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39" t="s">
        <v>2218</v>
      </c>
      <c r="B81" s="8" t="s">
        <v>2165</v>
      </c>
      <c r="C81" s="24" t="s">
        <v>2271</v>
      </c>
      <c r="D81" s="89" t="s">
        <v>2272</v>
      </c>
      <c r="E81" s="29" t="s">
        <v>2111</v>
      </c>
      <c r="F81" s="231">
        <v>10</v>
      </c>
      <c r="G81" s="8">
        <v>10</v>
      </c>
      <c r="H81" s="8">
        <v>14</v>
      </c>
      <c r="I81" s="8"/>
      <c r="J81" s="83">
        <f>IF(ISNUMBER(MCC_Table[[#This Row],[SIZE]]), MCC_Table[[#This Row],[SIZE]]/12, 0)</f>
        <v>2.5</v>
      </c>
      <c r="K81" s="230">
        <v>30</v>
      </c>
      <c r="L81" s="8">
        <v>125</v>
      </c>
      <c r="M81" s="82">
        <v>25</v>
      </c>
      <c r="N81" s="82" t="s">
        <v>2124</v>
      </c>
      <c r="O81" s="236"/>
      <c r="P81" s="88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225" t="s">
        <v>2087</v>
      </c>
      <c r="AC81" s="225" t="s">
        <v>2112</v>
      </c>
      <c r="AD81" s="224" t="s">
        <v>2089</v>
      </c>
      <c r="AE81" s="8">
        <f>_xlfn.NUMBERVALUE(LEFT(MCC_Table[[#This Row],[BUCKET]],LEN(MCC_Table[[#This Row],[BUCKET]])-1))</f>
        <v>11</v>
      </c>
      <c r="AF81" s="8" t="str">
        <f>RIGHT(MCC_Table[[#This Row],[BUCKET]],1)</f>
        <v>H</v>
      </c>
      <c r="AG81" s="8">
        <f>VLOOKUP(MCC_Table[[#This Row],[START UNIT]],UnitMap[],2,FALSE)</f>
        <v>8</v>
      </c>
      <c r="AH81" s="8">
        <f t="array" ref="AH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81" s="8">
        <f>IF(ISNUMBER(MCC_Table[[#This Row],[SIZE]]), MCC_Table[[#This Row],[SIZE]]/6, 0)</f>
        <v>5</v>
      </c>
      <c r="AJ81" s="8">
        <f>MCC_Table[[#This Row],[START INDEX]]+MCC_Table[[#This Row],[UNITS USED]]-1</f>
        <v>12</v>
      </c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39" t="s">
        <v>2218</v>
      </c>
      <c r="B82" s="29" t="s">
        <v>2168</v>
      </c>
      <c r="C82" s="24" t="s">
        <v>2273</v>
      </c>
      <c r="D82" s="62" t="s">
        <v>2224</v>
      </c>
      <c r="E82" s="24" t="s">
        <v>2225</v>
      </c>
      <c r="F82" s="230"/>
      <c r="G82" s="8"/>
      <c r="H82" s="8"/>
      <c r="I82" s="8"/>
      <c r="J82" s="80">
        <f>IF(ISNUMBER(MCC_Table[[#This Row],[SIZE]]), MCC_Table[[#This Row],[SIZE]]/12, 0)</f>
        <v>1</v>
      </c>
      <c r="K82" s="230"/>
      <c r="L82" s="8"/>
      <c r="M82" s="82"/>
      <c r="N82" s="82"/>
      <c r="O82" s="236"/>
      <c r="P82" s="105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225" t="s">
        <v>2094</v>
      </c>
      <c r="AC82" s="225" t="s">
        <v>2226</v>
      </c>
      <c r="AD82" s="225"/>
      <c r="AE82" s="29">
        <f>_xlfn.NUMBERVALUE(LEFT(MCC_Table[[#This Row],[BUCKET]],LEN(MCC_Table[[#This Row],[BUCKET]])-1))</f>
        <v>12</v>
      </c>
      <c r="AF82" s="29" t="str">
        <f>RIGHT(MCC_Table[[#This Row],[BUCKET]],1)</f>
        <v>A</v>
      </c>
      <c r="AG82" s="29">
        <f>VLOOKUP(MCC_Table[[#This Row],[START UNIT]],UnitMap[],2,FALSE)</f>
        <v>1</v>
      </c>
      <c r="AH82" s="29">
        <f t="array" ref="AH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82" s="29">
        <f>IF(ISNUMBER(MCC_Table[[#This Row],[SIZE]]), MCC_Table[[#This Row],[SIZE]]/6, 0)</f>
        <v>2</v>
      </c>
      <c r="AJ82" s="29">
        <f>MCC_Table[[#This Row],[START INDEX]]+MCC_Table[[#This Row],[UNITS USED]]-1</f>
        <v>2</v>
      </c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39" t="s">
        <v>2218</v>
      </c>
      <c r="B83" s="8" t="s">
        <v>2274</v>
      </c>
      <c r="C83" s="24" t="s">
        <v>1933</v>
      </c>
      <c r="D83" s="28" t="s">
        <v>2275</v>
      </c>
      <c r="E83" s="29" t="s">
        <v>2086</v>
      </c>
      <c r="F83" s="230"/>
      <c r="G83" s="8">
        <v>5</v>
      </c>
      <c r="H83" s="8"/>
      <c r="I83" s="8">
        <v>1</v>
      </c>
      <c r="J83" s="83">
        <f>IF(ISNUMBER(MCC_Table[[#This Row],[SIZE]]), MCC_Table[[#This Row],[SIZE]]/12, 0)</f>
        <v>1</v>
      </c>
      <c r="K83" s="230">
        <v>15</v>
      </c>
      <c r="L83" s="8">
        <v>125</v>
      </c>
      <c r="M83" s="82"/>
      <c r="N83" s="82" t="s">
        <v>2178</v>
      </c>
      <c r="O83" s="236"/>
      <c r="P83" s="88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225" t="s">
        <v>2087</v>
      </c>
      <c r="AC83" s="224" t="s">
        <v>2088</v>
      </c>
      <c r="AD83" s="224" t="s">
        <v>2089</v>
      </c>
      <c r="AE83" s="8">
        <f>_xlfn.NUMBERVALUE(LEFT(MCC_Table[[#This Row],[BUCKET]],LEN(MCC_Table[[#This Row],[BUCKET]])-1))</f>
        <v>12</v>
      </c>
      <c r="AF83" s="8" t="str">
        <f>RIGHT(MCC_Table[[#This Row],[BUCKET]],1)</f>
        <v>C</v>
      </c>
      <c r="AG83" s="8">
        <f>VLOOKUP(MCC_Table[[#This Row],[START UNIT]],UnitMap[],2,FALSE)</f>
        <v>3</v>
      </c>
      <c r="AH83" s="8">
        <f t="array" ref="AH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83" s="8">
        <f>IF(ISNUMBER(MCC_Table[[#This Row],[SIZE]]), MCC_Table[[#This Row],[SIZE]]/6, 0)</f>
        <v>2</v>
      </c>
      <c r="AJ83" s="8">
        <f>MCC_Table[[#This Row],[START INDEX]]+MCC_Table[[#This Row],[UNITS USED]]-1</f>
        <v>4</v>
      </c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39" t="s">
        <v>2218</v>
      </c>
      <c r="B84" s="8" t="s">
        <v>2171</v>
      </c>
      <c r="C84" s="24" t="s">
        <v>2276</v>
      </c>
      <c r="D84" s="28" t="s">
        <v>2277</v>
      </c>
      <c r="E84" s="29" t="s">
        <v>2111</v>
      </c>
      <c r="F84" s="231">
        <v>1</v>
      </c>
      <c r="G84" s="8">
        <v>2</v>
      </c>
      <c r="H84" s="8">
        <v>3.4</v>
      </c>
      <c r="I84" s="8"/>
      <c r="J84" s="83">
        <f>IF(ISNUMBER(MCC_Table[[#This Row],[SIZE]]), MCC_Table[[#This Row],[SIZE]]/12, 0)</f>
        <v>2</v>
      </c>
      <c r="K84" s="230">
        <v>15</v>
      </c>
      <c r="L84" s="8">
        <v>125</v>
      </c>
      <c r="M84" s="82">
        <v>6</v>
      </c>
      <c r="N84" s="82" t="s">
        <v>2124</v>
      </c>
      <c r="O84" s="236"/>
      <c r="P84" s="88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225" t="s">
        <v>2087</v>
      </c>
      <c r="AC84" s="225" t="s">
        <v>2112</v>
      </c>
      <c r="AD84" s="224" t="s">
        <v>2089</v>
      </c>
      <c r="AE84" s="8">
        <f>_xlfn.NUMBERVALUE(LEFT(MCC_Table[[#This Row],[BUCKET]],LEN(MCC_Table[[#This Row],[BUCKET]])-1))</f>
        <v>12</v>
      </c>
      <c r="AF84" s="8" t="str">
        <f>RIGHT(MCC_Table[[#This Row],[BUCKET]],1)</f>
        <v>E</v>
      </c>
      <c r="AG84" s="8">
        <f>VLOOKUP(MCC_Table[[#This Row],[START UNIT]],UnitMap[],2,FALSE)</f>
        <v>5</v>
      </c>
      <c r="AH84" s="8">
        <f t="array" ref="AH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84" s="8">
        <f>IF(ISNUMBER(MCC_Table[[#This Row],[SIZE]]), MCC_Table[[#This Row],[SIZE]]/6, 0)</f>
        <v>4</v>
      </c>
      <c r="AJ84" s="8">
        <f>MCC_Table[[#This Row],[START INDEX]]+MCC_Table[[#This Row],[UNITS USED]]-1</f>
        <v>8</v>
      </c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39" t="s">
        <v>2218</v>
      </c>
      <c r="B85" s="8" t="s">
        <v>2278</v>
      </c>
      <c r="C85" s="24" t="s">
        <v>2279</v>
      </c>
      <c r="D85" s="28" t="s">
        <v>2280</v>
      </c>
      <c r="E85" s="29" t="s">
        <v>2111</v>
      </c>
      <c r="F85" s="231">
        <v>1</v>
      </c>
      <c r="G85" s="8">
        <v>2</v>
      </c>
      <c r="H85" s="8">
        <v>3.4</v>
      </c>
      <c r="I85" s="8"/>
      <c r="J85" s="83">
        <f>IF(ISNUMBER(MCC_Table[[#This Row],[SIZE]]), MCC_Table[[#This Row],[SIZE]]/12, 0)</f>
        <v>2</v>
      </c>
      <c r="K85" s="230">
        <v>15</v>
      </c>
      <c r="L85" s="8">
        <v>125</v>
      </c>
      <c r="M85" s="82">
        <v>6</v>
      </c>
      <c r="N85" s="82" t="s">
        <v>2124</v>
      </c>
      <c r="O85" s="236"/>
      <c r="P85" s="88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225" t="s">
        <v>2087</v>
      </c>
      <c r="AC85" s="225" t="s">
        <v>2112</v>
      </c>
      <c r="AD85" s="224" t="s">
        <v>2089</v>
      </c>
      <c r="AE85" s="8">
        <f>_xlfn.NUMBERVALUE(LEFT(MCC_Table[[#This Row],[BUCKET]],LEN(MCC_Table[[#This Row],[BUCKET]])-1))</f>
        <v>12</v>
      </c>
      <c r="AF85" s="8" t="str">
        <f>RIGHT(MCC_Table[[#This Row],[BUCKET]],1)</f>
        <v>J</v>
      </c>
      <c r="AG85" s="8">
        <f>VLOOKUP(MCC_Table[[#This Row],[START UNIT]],UnitMap[],2,FALSE)</f>
        <v>9</v>
      </c>
      <c r="AH85" s="8">
        <f t="array" ref="AH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85" s="8">
        <f>IF(ISNUMBER(MCC_Table[[#This Row],[SIZE]]), MCC_Table[[#This Row],[SIZE]]/6, 0)</f>
        <v>4</v>
      </c>
      <c r="AJ85" s="8">
        <f>MCC_Table[[#This Row],[START INDEX]]+MCC_Table[[#This Row],[UNITS USED]]-1</f>
        <v>12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ht="30" customHeight="1" x14ac:dyDescent="0.25">
      <c r="A86" s="39" t="s">
        <v>2218</v>
      </c>
      <c r="B86" s="8" t="s">
        <v>2176</v>
      </c>
      <c r="C86" s="24" t="s">
        <v>2281</v>
      </c>
      <c r="D86" s="89" t="s">
        <v>2282</v>
      </c>
      <c r="E86" s="29" t="s">
        <v>2111</v>
      </c>
      <c r="F86" s="231" t="s">
        <v>2283</v>
      </c>
      <c r="G86" s="8">
        <v>75</v>
      </c>
      <c r="H86" s="8">
        <v>96</v>
      </c>
      <c r="I86" s="8"/>
      <c r="J86" s="83">
        <f>IF(ISNUMBER(MCC_Table[[#This Row],[SIZE]]), MCC_Table[[#This Row],[SIZE]]/12, 0)</f>
        <v>6</v>
      </c>
      <c r="K86" s="230">
        <v>250</v>
      </c>
      <c r="L86" s="8">
        <v>250</v>
      </c>
      <c r="M86" s="82">
        <v>175</v>
      </c>
      <c r="N86" s="82" t="s">
        <v>2284</v>
      </c>
      <c r="O86" s="236" t="s">
        <v>2285</v>
      </c>
      <c r="P86" s="88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225" t="s">
        <v>2087</v>
      </c>
      <c r="AC86" s="225" t="s">
        <v>2112</v>
      </c>
      <c r="AD86" s="224" t="s">
        <v>2089</v>
      </c>
      <c r="AE86" s="8">
        <f>_xlfn.NUMBERVALUE(LEFT(MCC_Table[[#This Row],[BUCKET]],LEN(MCC_Table[[#This Row],[BUCKET]])-1))</f>
        <v>13</v>
      </c>
      <c r="AF86" s="8" t="str">
        <f>RIGHT(MCC_Table[[#This Row],[BUCKET]],1)</f>
        <v>A</v>
      </c>
      <c r="AG86" s="8">
        <f>VLOOKUP(MCC_Table[[#This Row],[START UNIT]],UnitMap[],2,FALSE)</f>
        <v>1</v>
      </c>
      <c r="AH86" s="8">
        <f t="array" ref="AH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86" s="8">
        <f>IF(ISNUMBER(MCC_Table[[#This Row],[SIZE]]), MCC_Table[[#This Row],[SIZE]]/6, 0)</f>
        <v>12</v>
      </c>
      <c r="AJ86" s="8">
        <f>MCC_Table[[#This Row],[START INDEX]]+MCC_Table[[#This Row],[UNITS USED]]-1</f>
        <v>12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39" t="s">
        <v>2218</v>
      </c>
      <c r="B87" s="8" t="s">
        <v>2186</v>
      </c>
      <c r="C87" s="8" t="s">
        <v>2286</v>
      </c>
      <c r="D87" s="103" t="s">
        <v>2287</v>
      </c>
      <c r="E87" s="29" t="s">
        <v>2111</v>
      </c>
      <c r="F87" s="231"/>
      <c r="G87" s="8">
        <v>75</v>
      </c>
      <c r="H87" s="8">
        <v>96</v>
      </c>
      <c r="I87" s="8"/>
      <c r="J87" s="83">
        <f>IF(ISNUMBER(MCC_Table[[#This Row],[SIZE]]), MCC_Table[[#This Row],[SIZE]]/12, 0)</f>
        <v>6</v>
      </c>
      <c r="K87" s="230">
        <v>250</v>
      </c>
      <c r="L87" s="8">
        <v>250</v>
      </c>
      <c r="M87" s="82">
        <v>175</v>
      </c>
      <c r="N87" s="82" t="s">
        <v>2242</v>
      </c>
      <c r="O87" s="236"/>
      <c r="P87" s="88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225" t="s">
        <v>2087</v>
      </c>
      <c r="AC87" s="225" t="s">
        <v>2112</v>
      </c>
      <c r="AD87" s="224" t="s">
        <v>2089</v>
      </c>
      <c r="AE87" s="8">
        <f>_xlfn.NUMBERVALUE(LEFT(MCC_Table[[#This Row],[BUCKET]],LEN(MCC_Table[[#This Row],[BUCKET]])-1))</f>
        <v>14</v>
      </c>
      <c r="AF87" s="8" t="str">
        <f>RIGHT(MCC_Table[[#This Row],[BUCKET]],1)</f>
        <v>A</v>
      </c>
      <c r="AG87" s="8">
        <f>VLOOKUP(MCC_Table[[#This Row],[START UNIT]],UnitMap[],2,FALSE)</f>
        <v>1</v>
      </c>
      <c r="AH87" s="8">
        <f t="array" ref="AH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87" s="8">
        <f>IF(ISNUMBER(MCC_Table[[#This Row],[SIZE]]), MCC_Table[[#This Row],[SIZE]]/6, 0)</f>
        <v>12</v>
      </c>
      <c r="AJ87" s="8">
        <f>MCC_Table[[#This Row],[START INDEX]]+MCC_Table[[#This Row],[UNITS USED]]-1</f>
        <v>12</v>
      </c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39" t="s">
        <v>2218</v>
      </c>
      <c r="B88" s="8" t="s">
        <v>2195</v>
      </c>
      <c r="C88" s="24" t="s">
        <v>2103</v>
      </c>
      <c r="D88" s="62" t="s">
        <v>2104</v>
      </c>
      <c r="E88" s="24" t="s">
        <v>2103</v>
      </c>
      <c r="F88" s="230"/>
      <c r="G88" s="8"/>
      <c r="H88" s="8"/>
      <c r="I88" s="8"/>
      <c r="J88" s="83">
        <f>IF(ISNUMBER(MCC_Table[[#This Row],[SIZE]]), MCC_Table[[#This Row],[SIZE]]/12, 0)</f>
        <v>1</v>
      </c>
      <c r="K88" s="230"/>
      <c r="L88" s="8"/>
      <c r="M88" s="82"/>
      <c r="N88" s="82"/>
      <c r="O88" s="236"/>
      <c r="P88" s="85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225" t="s">
        <v>2105</v>
      </c>
      <c r="AC88" s="225" t="s">
        <v>2106</v>
      </c>
      <c r="AD88" s="225"/>
      <c r="AE88" s="8">
        <f>_xlfn.NUMBERVALUE(LEFT(MCC_Table[[#This Row],[BUCKET]],LEN(MCC_Table[[#This Row],[BUCKET]])-1))</f>
        <v>15</v>
      </c>
      <c r="AF88" s="8" t="str">
        <f>RIGHT(MCC_Table[[#This Row],[BUCKET]],1)</f>
        <v>A</v>
      </c>
      <c r="AG88" s="8">
        <f>VLOOKUP(MCC_Table[[#This Row],[START UNIT]],UnitMap[],2,FALSE)</f>
        <v>1</v>
      </c>
      <c r="AH88" s="8">
        <f t="array" ref="AH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88" s="8">
        <f>IF(ISNUMBER(MCC_Table[[#This Row],[SIZE]]), MCC_Table[[#This Row],[SIZE]]/6, 0)</f>
        <v>2</v>
      </c>
      <c r="AJ88" s="8">
        <f>MCC_Table[[#This Row],[START INDEX]]+MCC_Table[[#This Row],[UNITS USED]]-1</f>
        <v>2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39" t="s">
        <v>2218</v>
      </c>
      <c r="B89" s="8" t="s">
        <v>2288</v>
      </c>
      <c r="C89" s="24" t="s">
        <v>1132</v>
      </c>
      <c r="D89" s="89" t="s">
        <v>2289</v>
      </c>
      <c r="E89" s="29" t="s">
        <v>2290</v>
      </c>
      <c r="F89" s="231">
        <v>1.5</v>
      </c>
      <c r="G89" s="8">
        <v>1.5</v>
      </c>
      <c r="H89" s="8"/>
      <c r="I89" s="8">
        <v>1</v>
      </c>
      <c r="J89" s="83">
        <f>IF(ISNUMBER(MCC_Table[[#This Row],[SIZE]]), MCC_Table[[#This Row],[SIZE]]/12, 0)</f>
        <v>1.5</v>
      </c>
      <c r="K89" s="230">
        <v>7</v>
      </c>
      <c r="L89" s="8">
        <v>125</v>
      </c>
      <c r="M89" s="82"/>
      <c r="N89" s="82" t="s">
        <v>2178</v>
      </c>
      <c r="O89" s="236" t="s">
        <v>2291</v>
      </c>
      <c r="P89" s="88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225" t="s">
        <v>2087</v>
      </c>
      <c r="AC89" s="225" t="s">
        <v>2292</v>
      </c>
      <c r="AD89" s="224" t="s">
        <v>2089</v>
      </c>
      <c r="AE89" s="8">
        <f>_xlfn.NUMBERVALUE(LEFT(MCC_Table[[#This Row],[BUCKET]],LEN(MCC_Table[[#This Row],[BUCKET]])-1))</f>
        <v>15</v>
      </c>
      <c r="AF89" s="8" t="str">
        <f>RIGHT(MCC_Table[[#This Row],[BUCKET]],1)</f>
        <v>C</v>
      </c>
      <c r="AG89" s="8">
        <f>VLOOKUP(MCC_Table[[#This Row],[START UNIT]],UnitMap[],2,FALSE)</f>
        <v>3</v>
      </c>
      <c r="AH89" s="8">
        <f t="array" ref="AH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89" s="8">
        <f>IF(ISNUMBER(MCC_Table[[#This Row],[SIZE]]), MCC_Table[[#This Row],[SIZE]]/6, 0)</f>
        <v>3</v>
      </c>
      <c r="AJ89" s="8">
        <f>MCC_Table[[#This Row],[START INDEX]]+MCC_Table[[#This Row],[UNITS USED]]-1</f>
        <v>5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39" t="s">
        <v>2218</v>
      </c>
      <c r="B90" s="8" t="s">
        <v>2293</v>
      </c>
      <c r="C90" s="24" t="s">
        <v>1338</v>
      </c>
      <c r="D90" s="89" t="s">
        <v>2294</v>
      </c>
      <c r="E90" s="29" t="s">
        <v>2290</v>
      </c>
      <c r="F90" s="231">
        <v>1.5</v>
      </c>
      <c r="G90" s="8">
        <v>1.5</v>
      </c>
      <c r="H90" s="8"/>
      <c r="I90" s="8">
        <v>1</v>
      </c>
      <c r="J90" s="83">
        <f>IF(ISNUMBER(MCC_Table[[#This Row],[SIZE]]), MCC_Table[[#This Row],[SIZE]]/12, 0)</f>
        <v>1.5</v>
      </c>
      <c r="K90" s="230">
        <v>7</v>
      </c>
      <c r="L90" s="8">
        <v>125</v>
      </c>
      <c r="M90" s="82"/>
      <c r="N90" s="82" t="s">
        <v>2178</v>
      </c>
      <c r="O90" s="236" t="s">
        <v>2295</v>
      </c>
      <c r="P90" s="85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225" t="s">
        <v>2087</v>
      </c>
      <c r="AC90" s="225" t="s">
        <v>2292</v>
      </c>
      <c r="AD90" s="224" t="s">
        <v>2089</v>
      </c>
      <c r="AE90" s="8">
        <f>_xlfn.NUMBERVALUE(LEFT(MCC_Table[[#This Row],[BUCKET]],LEN(MCC_Table[[#This Row],[BUCKET]])-1))</f>
        <v>15</v>
      </c>
      <c r="AF90" s="8" t="str">
        <f>RIGHT(MCC_Table[[#This Row],[BUCKET]],1)</f>
        <v>F</v>
      </c>
      <c r="AG90" s="8">
        <f>VLOOKUP(MCC_Table[[#This Row],[START UNIT]],UnitMap[],2,FALSE)</f>
        <v>6</v>
      </c>
      <c r="AH90" s="8">
        <f t="array" ref="AH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90" s="8">
        <f>IF(ISNUMBER(MCC_Table[[#This Row],[SIZE]]), MCC_Table[[#This Row],[SIZE]]/6, 0)</f>
        <v>3</v>
      </c>
      <c r="AJ90" s="8">
        <f>MCC_Table[[#This Row],[START INDEX]]+MCC_Table[[#This Row],[UNITS USED]]-1</f>
        <v>8</v>
      </c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39" t="s">
        <v>2218</v>
      </c>
      <c r="B91" s="8" t="s">
        <v>2296</v>
      </c>
      <c r="C91" s="24" t="s">
        <v>2103</v>
      </c>
      <c r="D91" s="62" t="s">
        <v>2143</v>
      </c>
      <c r="E91" s="24" t="s">
        <v>2103</v>
      </c>
      <c r="F91" s="230"/>
      <c r="G91" s="8"/>
      <c r="H91" s="8"/>
      <c r="I91" s="8"/>
      <c r="J91" s="83">
        <f>IF(ISNUMBER(MCC_Table[[#This Row],[SIZE]]), MCC_Table[[#This Row],[SIZE]]/12, 0)</f>
        <v>1</v>
      </c>
      <c r="K91" s="230"/>
      <c r="L91" s="8"/>
      <c r="M91" s="82"/>
      <c r="N91" s="82"/>
      <c r="O91" s="236"/>
      <c r="P91" s="88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225" t="s">
        <v>2105</v>
      </c>
      <c r="AC91" s="225" t="s">
        <v>2106</v>
      </c>
      <c r="AD91" s="225"/>
      <c r="AE91" s="8">
        <f>_xlfn.NUMBERVALUE(LEFT(MCC_Table[[#This Row],[BUCKET]],LEN(MCC_Table[[#This Row],[BUCKET]])-1))</f>
        <v>15</v>
      </c>
      <c r="AF91" s="8" t="str">
        <f>RIGHT(MCC_Table[[#This Row],[BUCKET]],1)</f>
        <v>J</v>
      </c>
      <c r="AG91" s="8">
        <f>VLOOKUP(MCC_Table[[#This Row],[START UNIT]],UnitMap[],2,FALSE)</f>
        <v>9</v>
      </c>
      <c r="AH91" s="8">
        <f t="array" ref="AH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91" s="8">
        <f>IF(ISNUMBER(MCC_Table[[#This Row],[SIZE]]), MCC_Table[[#This Row],[SIZE]]/6, 0)</f>
        <v>2</v>
      </c>
      <c r="AJ91" s="8">
        <f>MCC_Table[[#This Row],[START INDEX]]+MCC_Table[[#This Row],[UNITS USED]]-1</f>
        <v>10</v>
      </c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39" t="s">
        <v>2218</v>
      </c>
      <c r="B92" s="8" t="s">
        <v>2297</v>
      </c>
      <c r="C92" s="24" t="s">
        <v>2103</v>
      </c>
      <c r="D92" s="62" t="s">
        <v>2143</v>
      </c>
      <c r="E92" s="24" t="s">
        <v>2103</v>
      </c>
      <c r="F92" s="230"/>
      <c r="G92" s="8"/>
      <c r="H92" s="8"/>
      <c r="I92" s="8"/>
      <c r="J92" s="83">
        <f>IF(ISNUMBER(MCC_Table[[#This Row],[SIZE]]), MCC_Table[[#This Row],[SIZE]]/12, 0)</f>
        <v>1</v>
      </c>
      <c r="K92" s="230"/>
      <c r="L92" s="8"/>
      <c r="M92" s="82"/>
      <c r="N92" s="82"/>
      <c r="O92" s="239"/>
      <c r="P92" s="85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225" t="s">
        <v>2105</v>
      </c>
      <c r="AC92" s="225" t="s">
        <v>2106</v>
      </c>
      <c r="AD92" s="224"/>
      <c r="AE92" s="8">
        <f>_xlfn.NUMBERVALUE(LEFT(MCC_Table[[#This Row],[BUCKET]],LEN(MCC_Table[[#This Row],[BUCKET]])-1))</f>
        <v>15</v>
      </c>
      <c r="AF92" s="8" t="str">
        <f>RIGHT(MCC_Table[[#This Row],[BUCKET]],1)</f>
        <v>L</v>
      </c>
      <c r="AG92" s="8">
        <f>VLOOKUP(MCC_Table[[#This Row],[START UNIT]],UnitMap[],2,FALSE)</f>
        <v>11</v>
      </c>
      <c r="AH92" s="8">
        <f t="array" ref="AH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92" s="8">
        <f>IF(ISNUMBER(MCC_Table[[#This Row],[SIZE]]), MCC_Table[[#This Row],[SIZE]]/6, 0)</f>
        <v>2</v>
      </c>
      <c r="AJ92" s="8">
        <f>MCC_Table[[#This Row],[START INDEX]]+MCC_Table[[#This Row],[UNITS USED]]-1</f>
        <v>12</v>
      </c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ht="30" customHeight="1" x14ac:dyDescent="0.25">
      <c r="A93" s="39" t="s">
        <v>2218</v>
      </c>
      <c r="B93" s="29" t="s">
        <v>2202</v>
      </c>
      <c r="C93" s="24" t="s">
        <v>2298</v>
      </c>
      <c r="D93" s="62" t="s">
        <v>2299</v>
      </c>
      <c r="E93" s="24" t="s">
        <v>2093</v>
      </c>
      <c r="F93" s="230"/>
      <c r="G93" s="8"/>
      <c r="H93" s="8"/>
      <c r="I93" s="8"/>
      <c r="J93" s="80">
        <f>IF(ISNUMBER(MCC_Table[[#This Row],[SIZE]]), MCC_Table[[#This Row],[SIZE]]/12, 0)</f>
        <v>1</v>
      </c>
      <c r="K93" s="230"/>
      <c r="L93" s="8"/>
      <c r="M93" s="82"/>
      <c r="N93" s="82"/>
      <c r="O93" s="236"/>
      <c r="P93" s="85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225" t="s">
        <v>2094</v>
      </c>
      <c r="AC93" s="225" t="s">
        <v>2226</v>
      </c>
      <c r="AD93" s="225"/>
      <c r="AE93" s="29">
        <f>_xlfn.NUMBERVALUE(LEFT(MCC_Table[[#This Row],[BUCKET]],LEN(MCC_Table[[#This Row],[BUCKET]])-1))</f>
        <v>16</v>
      </c>
      <c r="AF93" s="29" t="str">
        <f>RIGHT(MCC_Table[[#This Row],[BUCKET]],1)</f>
        <v>A</v>
      </c>
      <c r="AG93" s="29">
        <f>VLOOKUP(MCC_Table[[#This Row],[START UNIT]],UnitMap[],2,FALSE)</f>
        <v>1</v>
      </c>
      <c r="AH93" s="29">
        <f t="array" ref="AH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93" s="29">
        <f>IF(ISNUMBER(MCC_Table[[#This Row],[SIZE]]), MCC_Table[[#This Row],[SIZE]]/6, 0)</f>
        <v>2</v>
      </c>
      <c r="AJ93" s="29">
        <f>MCC_Table[[#This Row],[START INDEX]]+MCC_Table[[#This Row],[UNITS USED]]-1</f>
        <v>2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39" t="s">
        <v>2218</v>
      </c>
      <c r="B94" s="8" t="s">
        <v>2204</v>
      </c>
      <c r="C94" s="24" t="s">
        <v>1933</v>
      </c>
      <c r="D94" s="28" t="s">
        <v>2300</v>
      </c>
      <c r="E94" s="29" t="s">
        <v>2111</v>
      </c>
      <c r="F94" s="231"/>
      <c r="G94" s="8">
        <v>5</v>
      </c>
      <c r="H94" s="8">
        <v>8</v>
      </c>
      <c r="I94" s="8"/>
      <c r="J94" s="83">
        <f>IF(ISNUMBER(MCC_Table[[#This Row],[SIZE]]), MCC_Table[[#This Row],[SIZE]]/12, 0)</f>
        <v>2</v>
      </c>
      <c r="K94" s="230">
        <v>20</v>
      </c>
      <c r="L94" s="8">
        <v>125</v>
      </c>
      <c r="M94" s="82">
        <v>12</v>
      </c>
      <c r="N94" s="82"/>
      <c r="O94" s="236"/>
      <c r="P94" s="106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225" t="s">
        <v>2087</v>
      </c>
      <c r="AC94" s="225" t="s">
        <v>2112</v>
      </c>
      <c r="AD94" s="224" t="s">
        <v>2089</v>
      </c>
      <c r="AE94" s="8">
        <f>_xlfn.NUMBERVALUE(LEFT(MCC_Table[[#This Row],[BUCKET]],LEN(MCC_Table[[#This Row],[BUCKET]])-1))</f>
        <v>16</v>
      </c>
      <c r="AF94" s="8" t="str">
        <f>RIGHT(MCC_Table[[#This Row],[BUCKET]],1)</f>
        <v>C</v>
      </c>
      <c r="AG94" s="8">
        <f>VLOOKUP(MCC_Table[[#This Row],[START UNIT]],UnitMap[],2,FALSE)</f>
        <v>3</v>
      </c>
      <c r="AH94" s="8">
        <f t="array" ref="AH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94" s="8">
        <f>IF(ISNUMBER(MCC_Table[[#This Row],[SIZE]]), MCC_Table[[#This Row],[SIZE]]/6, 0)</f>
        <v>4</v>
      </c>
      <c r="AJ94" s="8">
        <f>MCC_Table[[#This Row],[START INDEX]]+MCC_Table[[#This Row],[UNITS USED]]-1</f>
        <v>6</v>
      </c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39" t="s">
        <v>2218</v>
      </c>
      <c r="B95" s="8" t="s">
        <v>2301</v>
      </c>
      <c r="C95" s="24" t="s">
        <v>856</v>
      </c>
      <c r="D95" s="89" t="s">
        <v>857</v>
      </c>
      <c r="E95" s="29" t="s">
        <v>2290</v>
      </c>
      <c r="F95" s="231">
        <v>1.5</v>
      </c>
      <c r="G95" s="8">
        <v>1.5</v>
      </c>
      <c r="H95" s="8"/>
      <c r="I95" s="8">
        <v>1</v>
      </c>
      <c r="J95" s="83">
        <f>IF(ISNUMBER(MCC_Table[[#This Row],[SIZE]]), MCC_Table[[#This Row],[SIZE]]/12, 0)</f>
        <v>1.5</v>
      </c>
      <c r="K95" s="230">
        <v>7</v>
      </c>
      <c r="L95" s="8">
        <v>125</v>
      </c>
      <c r="M95" s="82"/>
      <c r="N95" s="82" t="s">
        <v>2178</v>
      </c>
      <c r="O95" s="236"/>
      <c r="P95" s="88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225" t="s">
        <v>2087</v>
      </c>
      <c r="AC95" s="225" t="s">
        <v>2292</v>
      </c>
      <c r="AD95" s="224" t="s">
        <v>2089</v>
      </c>
      <c r="AE95" s="8">
        <f>_xlfn.NUMBERVALUE(LEFT(MCC_Table[[#This Row],[BUCKET]],LEN(MCC_Table[[#This Row],[BUCKET]])-1))</f>
        <v>16</v>
      </c>
      <c r="AF95" s="8" t="str">
        <f>RIGHT(MCC_Table[[#This Row],[BUCKET]],1)</f>
        <v>G</v>
      </c>
      <c r="AG95" s="8">
        <f>VLOOKUP(MCC_Table[[#This Row],[START UNIT]],UnitMap[],2,FALSE)</f>
        <v>7</v>
      </c>
      <c r="AH95" s="8">
        <f t="array" ref="AH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95" s="8">
        <f>IF(ISNUMBER(MCC_Table[[#This Row],[SIZE]]), MCC_Table[[#This Row],[SIZE]]/6, 0)</f>
        <v>3</v>
      </c>
      <c r="AJ95" s="8">
        <f>MCC_Table[[#This Row],[START INDEX]]+MCC_Table[[#This Row],[UNITS USED]]-1</f>
        <v>9</v>
      </c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39" t="s">
        <v>2218</v>
      </c>
      <c r="B96" s="29" t="s">
        <v>2302</v>
      </c>
      <c r="C96" s="24" t="s">
        <v>2103</v>
      </c>
      <c r="D96" s="62" t="s">
        <v>2267</v>
      </c>
      <c r="E96" s="24" t="s">
        <v>2103</v>
      </c>
      <c r="F96" s="230"/>
      <c r="G96" s="8"/>
      <c r="H96" s="8"/>
      <c r="I96" s="8"/>
      <c r="J96" s="80">
        <f>IF(ISNUMBER(MCC_Table[[#This Row],[SIZE]]), MCC_Table[[#This Row],[SIZE]]/12, 0)</f>
        <v>1.5</v>
      </c>
      <c r="K96" s="230"/>
      <c r="L96" s="8"/>
      <c r="M96" s="82"/>
      <c r="N96" s="82"/>
      <c r="O96" s="236"/>
      <c r="P96" s="88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225" t="s">
        <v>2105</v>
      </c>
      <c r="AC96" s="225" t="s">
        <v>2106</v>
      </c>
      <c r="AD96" s="225"/>
      <c r="AE96" s="29">
        <f>_xlfn.NUMBERVALUE(LEFT(MCC_Table[[#This Row],[BUCKET]],LEN(MCC_Table[[#This Row],[BUCKET]])-1))</f>
        <v>16</v>
      </c>
      <c r="AF96" s="29" t="str">
        <f>RIGHT(MCC_Table[[#This Row],[BUCKET]],1)</f>
        <v>K</v>
      </c>
      <c r="AG96" s="29">
        <f>VLOOKUP(MCC_Table[[#This Row],[START UNIT]],UnitMap[],2,FALSE)</f>
        <v>10</v>
      </c>
      <c r="AH96" s="29">
        <f t="array" ref="AH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96" s="29">
        <f>IF(ISNUMBER(MCC_Table[[#This Row],[SIZE]]), MCC_Table[[#This Row],[SIZE]]/6, 0)</f>
        <v>3</v>
      </c>
      <c r="AJ96" s="29">
        <f>MCC_Table[[#This Row],[START INDEX]]+MCC_Table[[#This Row],[UNITS USED]]-1</f>
        <v>12</v>
      </c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39" t="s">
        <v>2218</v>
      </c>
      <c r="B97" s="8" t="s">
        <v>2212</v>
      </c>
      <c r="C97" s="24" t="s">
        <v>1933</v>
      </c>
      <c r="D97" s="28" t="s">
        <v>2085</v>
      </c>
      <c r="E97" s="29" t="s">
        <v>2086</v>
      </c>
      <c r="F97" s="230"/>
      <c r="G97" s="8">
        <v>1.5</v>
      </c>
      <c r="H97" s="8"/>
      <c r="I97" s="8"/>
      <c r="J97" s="83">
        <f>IF(ISNUMBER(MCC_Table[[#This Row],[SIZE]]), MCC_Table[[#This Row],[SIZE]]/12, 0)</f>
        <v>1</v>
      </c>
      <c r="K97" s="230">
        <v>7</v>
      </c>
      <c r="L97" s="8">
        <v>125</v>
      </c>
      <c r="M97" s="82"/>
      <c r="N97" s="82"/>
      <c r="O97" s="236"/>
      <c r="P97" s="88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225" t="s">
        <v>2087</v>
      </c>
      <c r="AC97" s="224" t="s">
        <v>2088</v>
      </c>
      <c r="AD97" s="224" t="s">
        <v>2089</v>
      </c>
      <c r="AE97" s="8">
        <f>_xlfn.NUMBERVALUE(LEFT(MCC_Table[[#This Row],[BUCKET]],LEN(MCC_Table[[#This Row],[BUCKET]])-1))</f>
        <v>17</v>
      </c>
      <c r="AF97" s="8" t="str">
        <f>RIGHT(MCC_Table[[#This Row],[BUCKET]],1)</f>
        <v>A</v>
      </c>
      <c r="AG97" s="8">
        <f>VLOOKUP(MCC_Table[[#This Row],[START UNIT]],UnitMap[],2,FALSE)</f>
        <v>1</v>
      </c>
      <c r="AH97" s="8">
        <f t="array" ref="AH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97" s="8">
        <f>IF(ISNUMBER(MCC_Table[[#This Row],[SIZE]]), MCC_Table[[#This Row],[SIZE]]/6, 0)</f>
        <v>2</v>
      </c>
      <c r="AJ97" s="8">
        <f>MCC_Table[[#This Row],[START INDEX]]+MCC_Table[[#This Row],[UNITS USED]]-1</f>
        <v>2</v>
      </c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39" t="s">
        <v>2218</v>
      </c>
      <c r="B98" s="8" t="s">
        <v>2303</v>
      </c>
      <c r="C98" s="24" t="s">
        <v>1933</v>
      </c>
      <c r="D98" s="28" t="s">
        <v>2135</v>
      </c>
      <c r="E98" s="29" t="s">
        <v>2111</v>
      </c>
      <c r="F98" s="231"/>
      <c r="G98" s="8">
        <v>2</v>
      </c>
      <c r="H98" s="8">
        <v>3.4</v>
      </c>
      <c r="I98" s="8"/>
      <c r="J98" s="83">
        <f>IF(ISNUMBER(MCC_Table[[#This Row],[SIZE]]), MCC_Table[[#This Row],[SIZE]]/12, 0)</f>
        <v>2</v>
      </c>
      <c r="K98" s="230">
        <v>15</v>
      </c>
      <c r="L98" s="8">
        <v>125</v>
      </c>
      <c r="M98" s="82">
        <v>6</v>
      </c>
      <c r="N98" s="82"/>
      <c r="O98" s="236"/>
      <c r="P98" s="106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225" t="s">
        <v>2087</v>
      </c>
      <c r="AC98" s="225" t="s">
        <v>2112</v>
      </c>
      <c r="AD98" s="224" t="s">
        <v>2089</v>
      </c>
      <c r="AE98" s="8">
        <f>_xlfn.NUMBERVALUE(LEFT(MCC_Table[[#This Row],[BUCKET]],LEN(MCC_Table[[#This Row],[BUCKET]])-1))</f>
        <v>17</v>
      </c>
      <c r="AF98" s="8" t="str">
        <f>RIGHT(MCC_Table[[#This Row],[BUCKET]],1)</f>
        <v>C</v>
      </c>
      <c r="AG98" s="8">
        <f>VLOOKUP(MCC_Table[[#This Row],[START UNIT]],UnitMap[],2,FALSE)</f>
        <v>3</v>
      </c>
      <c r="AH98" s="8">
        <f t="array" ref="AH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98" s="8">
        <f>IF(ISNUMBER(MCC_Table[[#This Row],[SIZE]]), MCC_Table[[#This Row],[SIZE]]/6, 0)</f>
        <v>4</v>
      </c>
      <c r="AJ98" s="8">
        <f>MCC_Table[[#This Row],[START INDEX]]+MCC_Table[[#This Row],[UNITS USED]]-1</f>
        <v>6</v>
      </c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39" t="s">
        <v>2218</v>
      </c>
      <c r="B99" s="8" t="s">
        <v>2304</v>
      </c>
      <c r="C99" s="24" t="s">
        <v>1933</v>
      </c>
      <c r="D99" s="28" t="s">
        <v>2110</v>
      </c>
      <c r="E99" s="29" t="s">
        <v>2111</v>
      </c>
      <c r="F99" s="231"/>
      <c r="G99" s="8">
        <v>10</v>
      </c>
      <c r="H99" s="8">
        <v>14</v>
      </c>
      <c r="I99" s="8"/>
      <c r="J99" s="83">
        <f>IF(ISNUMBER(MCC_Table[[#This Row],[SIZE]]), MCC_Table[[#This Row],[SIZE]]/12, 0)</f>
        <v>2.5</v>
      </c>
      <c r="K99" s="230">
        <v>30</v>
      </c>
      <c r="L99" s="8">
        <v>125</v>
      </c>
      <c r="M99" s="82">
        <v>25</v>
      </c>
      <c r="N99" s="82"/>
      <c r="O99" s="236"/>
      <c r="P99" s="107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225" t="s">
        <v>2087</v>
      </c>
      <c r="AC99" s="225" t="s">
        <v>2112</v>
      </c>
      <c r="AD99" s="224" t="s">
        <v>2089</v>
      </c>
      <c r="AE99" s="8">
        <f>_xlfn.NUMBERVALUE(LEFT(MCC_Table[[#This Row],[BUCKET]],LEN(MCC_Table[[#This Row],[BUCKET]])-1))</f>
        <v>17</v>
      </c>
      <c r="AF99" s="8" t="str">
        <f>RIGHT(MCC_Table[[#This Row],[BUCKET]],1)</f>
        <v>G</v>
      </c>
      <c r="AG99" s="8">
        <f>VLOOKUP(MCC_Table[[#This Row],[START UNIT]],UnitMap[],2,FALSE)</f>
        <v>7</v>
      </c>
      <c r="AH99" s="8">
        <f t="array" ref="AH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99" s="8">
        <f>IF(ISNUMBER(MCC_Table[[#This Row],[SIZE]]), MCC_Table[[#This Row],[SIZE]]/6, 0)</f>
        <v>5</v>
      </c>
      <c r="AJ99" s="8">
        <f>MCC_Table[[#This Row],[START INDEX]]+MCC_Table[[#This Row],[UNITS USED]]-1</f>
        <v>11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39" t="s">
        <v>2218</v>
      </c>
      <c r="B100" s="29" t="s">
        <v>2305</v>
      </c>
      <c r="C100" s="24" t="s">
        <v>2103</v>
      </c>
      <c r="D100" s="62" t="s">
        <v>2104</v>
      </c>
      <c r="E100" s="24" t="s">
        <v>2103</v>
      </c>
      <c r="F100" s="230"/>
      <c r="G100" s="8"/>
      <c r="H100" s="8"/>
      <c r="I100" s="8"/>
      <c r="J100" s="80">
        <f>IF(ISNUMBER(MCC_Table[[#This Row],[SIZE]]), MCC_Table[[#This Row],[SIZE]]/12, 0)</f>
        <v>0.5</v>
      </c>
      <c r="K100" s="230"/>
      <c r="L100" s="8"/>
      <c r="M100" s="82"/>
      <c r="N100" s="82"/>
      <c r="O100" s="236"/>
      <c r="P100" s="88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225" t="s">
        <v>2105</v>
      </c>
      <c r="AC100" s="225" t="s">
        <v>2106</v>
      </c>
      <c r="AD100" s="225"/>
      <c r="AE100" s="29">
        <f>_xlfn.NUMBERVALUE(LEFT(MCC_Table[[#This Row],[BUCKET]],LEN(MCC_Table[[#This Row],[BUCKET]])-1))</f>
        <v>17</v>
      </c>
      <c r="AF100" s="29" t="str">
        <f>RIGHT(MCC_Table[[#This Row],[BUCKET]],1)</f>
        <v>M</v>
      </c>
      <c r="AG100" s="29">
        <f>VLOOKUP(MCC_Table[[#This Row],[START UNIT]],UnitMap[],2,FALSE)</f>
        <v>12</v>
      </c>
      <c r="AH100" s="29">
        <f t="array" ref="AH1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00" s="29">
        <f>IF(ISNUMBER(MCC_Table[[#This Row],[SIZE]]), MCC_Table[[#This Row],[SIZE]]/6, 0)</f>
        <v>1</v>
      </c>
      <c r="AJ100" s="29">
        <f>MCC_Table[[#This Row],[START INDEX]]+MCC_Table[[#This Row],[UNITS USED]]-1</f>
        <v>12</v>
      </c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39" t="s">
        <v>2218</v>
      </c>
      <c r="B101" s="8" t="s">
        <v>2216</v>
      </c>
      <c r="C101" s="24" t="s">
        <v>536</v>
      </c>
      <c r="D101" s="89" t="s">
        <v>2306</v>
      </c>
      <c r="E101" s="29" t="s">
        <v>2086</v>
      </c>
      <c r="F101" s="231">
        <v>1.5</v>
      </c>
      <c r="G101" s="8">
        <v>1.5</v>
      </c>
      <c r="H101" s="8"/>
      <c r="I101" s="8">
        <v>1</v>
      </c>
      <c r="J101" s="83">
        <f>IF(ISNUMBER(MCC_Table[[#This Row],[SIZE]]), MCC_Table[[#This Row],[SIZE]]/12, 0)</f>
        <v>1</v>
      </c>
      <c r="K101" s="230">
        <v>7</v>
      </c>
      <c r="L101" s="8">
        <v>125</v>
      </c>
      <c r="M101" s="82"/>
      <c r="N101" s="82" t="s">
        <v>2178</v>
      </c>
      <c r="O101" s="236"/>
      <c r="P101" s="88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225" t="s">
        <v>2087</v>
      </c>
      <c r="AC101" s="224" t="s">
        <v>2088</v>
      </c>
      <c r="AD101" s="224" t="s">
        <v>2089</v>
      </c>
      <c r="AE101" s="8">
        <f>_xlfn.NUMBERVALUE(LEFT(MCC_Table[[#This Row],[BUCKET]],LEN(MCC_Table[[#This Row],[BUCKET]])-1))</f>
        <v>18</v>
      </c>
      <c r="AF101" s="8" t="str">
        <f>RIGHT(MCC_Table[[#This Row],[BUCKET]],1)</f>
        <v>A</v>
      </c>
      <c r="AG101" s="8">
        <f>VLOOKUP(MCC_Table[[#This Row],[START UNIT]],UnitMap[],2,FALSE)</f>
        <v>1</v>
      </c>
      <c r="AH101" s="8">
        <f t="array" ref="AH1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01" s="8">
        <f>IF(ISNUMBER(MCC_Table[[#This Row],[SIZE]]), MCC_Table[[#This Row],[SIZE]]/6, 0)</f>
        <v>2</v>
      </c>
      <c r="AJ101" s="8">
        <f>MCC_Table[[#This Row],[START INDEX]]+MCC_Table[[#This Row],[UNITS USED]]-1</f>
        <v>2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39" t="s">
        <v>2218</v>
      </c>
      <c r="B102" s="8" t="s">
        <v>2307</v>
      </c>
      <c r="C102" s="24" t="s">
        <v>2308</v>
      </c>
      <c r="D102" s="89" t="s">
        <v>2309</v>
      </c>
      <c r="E102" s="29" t="s">
        <v>2111</v>
      </c>
      <c r="F102" s="232">
        <v>0.75</v>
      </c>
      <c r="G102" s="8">
        <v>1</v>
      </c>
      <c r="H102" s="8">
        <v>2.1</v>
      </c>
      <c r="I102" s="8"/>
      <c r="J102" s="83">
        <f>IF(ISNUMBER(MCC_Table[[#This Row],[SIZE]]), MCC_Table[[#This Row],[SIZE]]/12, 0)</f>
        <v>2</v>
      </c>
      <c r="K102" s="230">
        <v>15</v>
      </c>
      <c r="L102" s="8">
        <v>125</v>
      </c>
      <c r="M102" s="82">
        <v>3</v>
      </c>
      <c r="N102" s="82" t="s">
        <v>2124</v>
      </c>
      <c r="O102" s="236"/>
      <c r="P102" s="88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225" t="s">
        <v>2087</v>
      </c>
      <c r="AC102" s="225" t="s">
        <v>2112</v>
      </c>
      <c r="AD102" s="224" t="s">
        <v>2089</v>
      </c>
      <c r="AE102" s="8">
        <f>_xlfn.NUMBERVALUE(LEFT(MCC_Table[[#This Row],[BUCKET]],LEN(MCC_Table[[#This Row],[BUCKET]])-1))</f>
        <v>18</v>
      </c>
      <c r="AF102" s="8" t="str">
        <f>RIGHT(MCC_Table[[#This Row],[BUCKET]],1)</f>
        <v>C</v>
      </c>
      <c r="AG102" s="8">
        <f>VLOOKUP(MCC_Table[[#This Row],[START UNIT]],UnitMap[],2,FALSE)</f>
        <v>3</v>
      </c>
      <c r="AH102" s="8">
        <f t="array" ref="AH1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02" s="8">
        <f>IF(ISNUMBER(MCC_Table[[#This Row],[SIZE]]), MCC_Table[[#This Row],[SIZE]]/6, 0)</f>
        <v>4</v>
      </c>
      <c r="AJ102" s="8">
        <f>MCC_Table[[#This Row],[START INDEX]]+MCC_Table[[#This Row],[UNITS USED]]-1</f>
        <v>6</v>
      </c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39" t="s">
        <v>2218</v>
      </c>
      <c r="B103" s="8" t="s">
        <v>2310</v>
      </c>
      <c r="C103" s="24" t="s">
        <v>2311</v>
      </c>
      <c r="D103" s="89" t="s">
        <v>2312</v>
      </c>
      <c r="E103" s="29" t="s">
        <v>2111</v>
      </c>
      <c r="F103" s="231">
        <v>10</v>
      </c>
      <c r="G103" s="8">
        <v>10</v>
      </c>
      <c r="H103" s="8">
        <v>14</v>
      </c>
      <c r="I103" s="8"/>
      <c r="J103" s="83">
        <f>IF(ISNUMBER(MCC_Table[[#This Row],[SIZE]]), MCC_Table[[#This Row],[SIZE]]/12, 0)</f>
        <v>2.5</v>
      </c>
      <c r="K103" s="230">
        <v>30</v>
      </c>
      <c r="L103" s="8">
        <v>125</v>
      </c>
      <c r="M103" s="82">
        <v>25</v>
      </c>
      <c r="N103" s="82" t="s">
        <v>2124</v>
      </c>
      <c r="O103" s="236"/>
      <c r="P103" s="85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225" t="s">
        <v>2087</v>
      </c>
      <c r="AC103" s="225" t="s">
        <v>2112</v>
      </c>
      <c r="AD103" s="224" t="s">
        <v>2089</v>
      </c>
      <c r="AE103" s="8">
        <f>_xlfn.NUMBERVALUE(LEFT(MCC_Table[[#This Row],[BUCKET]],LEN(MCC_Table[[#This Row],[BUCKET]])-1))</f>
        <v>18</v>
      </c>
      <c r="AF103" s="8" t="str">
        <f>RIGHT(MCC_Table[[#This Row],[BUCKET]],1)</f>
        <v>G</v>
      </c>
      <c r="AG103" s="8">
        <f>VLOOKUP(MCC_Table[[#This Row],[START UNIT]],UnitMap[],2,FALSE)</f>
        <v>7</v>
      </c>
      <c r="AH103" s="8">
        <f t="array" ref="AH1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03" s="8">
        <f>IF(ISNUMBER(MCC_Table[[#This Row],[SIZE]]), MCC_Table[[#This Row],[SIZE]]/6, 0)</f>
        <v>5</v>
      </c>
      <c r="AJ103" s="8">
        <f>MCC_Table[[#This Row],[START INDEX]]+MCC_Table[[#This Row],[UNITS USED]]-1</f>
        <v>11</v>
      </c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39" t="s">
        <v>2218</v>
      </c>
      <c r="B104" s="29" t="s">
        <v>2313</v>
      </c>
      <c r="C104" s="24" t="s">
        <v>2103</v>
      </c>
      <c r="D104" s="62" t="s">
        <v>2104</v>
      </c>
      <c r="E104" s="24" t="s">
        <v>2103</v>
      </c>
      <c r="F104" s="230"/>
      <c r="G104" s="8"/>
      <c r="H104" s="8">
        <v>14</v>
      </c>
      <c r="I104" s="8"/>
      <c r="J104" s="80">
        <f>IF(ISNUMBER(MCC_Table[[#This Row],[SIZE]]), MCC_Table[[#This Row],[SIZE]]/12, 0)</f>
        <v>0.5</v>
      </c>
      <c r="K104" s="230"/>
      <c r="L104" s="8"/>
      <c r="M104" s="82"/>
      <c r="N104" s="82"/>
      <c r="O104" s="236"/>
      <c r="P104" s="85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225" t="s">
        <v>2105</v>
      </c>
      <c r="AC104" s="225" t="s">
        <v>2106</v>
      </c>
      <c r="AD104" s="225"/>
      <c r="AE104" s="29">
        <f>_xlfn.NUMBERVALUE(LEFT(MCC_Table[[#This Row],[BUCKET]],LEN(MCC_Table[[#This Row],[BUCKET]])-1))</f>
        <v>18</v>
      </c>
      <c r="AF104" s="29" t="str">
        <f>RIGHT(MCC_Table[[#This Row],[BUCKET]],1)</f>
        <v>M</v>
      </c>
      <c r="AG104" s="29">
        <f>VLOOKUP(MCC_Table[[#This Row],[START UNIT]],UnitMap[],2,FALSE)</f>
        <v>12</v>
      </c>
      <c r="AH104" s="29">
        <f t="array" ref="AH1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04" s="29">
        <f>IF(ISNUMBER(MCC_Table[[#This Row],[SIZE]]), MCC_Table[[#This Row],[SIZE]]/6, 0)</f>
        <v>1</v>
      </c>
      <c r="AJ104" s="29">
        <f>MCC_Table[[#This Row],[START INDEX]]+MCC_Table[[#This Row],[UNITS USED]]-1</f>
        <v>12</v>
      </c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39" t="s">
        <v>2218</v>
      </c>
      <c r="B105" s="29" t="s">
        <v>2314</v>
      </c>
      <c r="C105" s="24" t="s">
        <v>2315</v>
      </c>
      <c r="D105" s="62" t="s">
        <v>2098</v>
      </c>
      <c r="E105" s="24" t="s">
        <v>2099</v>
      </c>
      <c r="F105" s="230"/>
      <c r="G105" s="8"/>
      <c r="H105" s="8">
        <v>14</v>
      </c>
      <c r="I105" s="8"/>
      <c r="J105" s="80">
        <f>IF(ISNUMBER(MCC_Table[[#This Row],[SIZE]]), MCC_Table[[#This Row],[SIZE]]/12, 0)</f>
        <v>1</v>
      </c>
      <c r="K105" s="230"/>
      <c r="L105" s="9"/>
      <c r="M105" s="82"/>
      <c r="N105" s="233"/>
      <c r="O105" s="236"/>
      <c r="P105" s="105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225" t="s">
        <v>2100</v>
      </c>
      <c r="AC105" s="225" t="s">
        <v>2101</v>
      </c>
      <c r="AD105" s="225"/>
      <c r="AE105" s="29">
        <f>_xlfn.NUMBERVALUE(LEFT(MCC_Table[[#This Row],[BUCKET]],LEN(MCC_Table[[#This Row],[BUCKET]])-1))</f>
        <v>19</v>
      </c>
      <c r="AF105" s="29" t="str">
        <f>RIGHT(MCC_Table[[#This Row],[BUCKET]],1)</f>
        <v>A</v>
      </c>
      <c r="AG105" s="29">
        <f>VLOOKUP(MCC_Table[[#This Row],[START UNIT]],UnitMap[],2,FALSE)</f>
        <v>1</v>
      </c>
      <c r="AH105" s="29">
        <f t="array" ref="AH1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05" s="29">
        <f>IF(ISNUMBER(MCC_Table[[#This Row],[SIZE]]), MCC_Table[[#This Row],[SIZE]]/6, 0)</f>
        <v>2</v>
      </c>
      <c r="AJ105" s="29">
        <f>MCC_Table[[#This Row],[START INDEX]]+MCC_Table[[#This Row],[UNITS USED]]-1</f>
        <v>2</v>
      </c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39" t="s">
        <v>2218</v>
      </c>
      <c r="B106" s="8" t="s">
        <v>2316</v>
      </c>
      <c r="C106" s="24" t="s">
        <v>1933</v>
      </c>
      <c r="D106" s="28" t="s">
        <v>2110</v>
      </c>
      <c r="E106" s="29" t="s">
        <v>2111</v>
      </c>
      <c r="F106" s="8"/>
      <c r="G106" s="10">
        <v>10</v>
      </c>
      <c r="H106" s="81">
        <v>14</v>
      </c>
      <c r="I106" s="10"/>
      <c r="J106" s="235">
        <f>IF(ISNUMBER(MCC_Table[[#This Row],[SIZE]]), MCC_Table[[#This Row],[SIZE]]/12, 0)</f>
        <v>2.5</v>
      </c>
      <c r="K106" s="81">
        <v>30</v>
      </c>
      <c r="L106" s="8">
        <v>125</v>
      </c>
      <c r="M106" s="76">
        <v>25</v>
      </c>
      <c r="N106" s="82"/>
      <c r="O106" s="236"/>
      <c r="P106" s="106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225" t="s">
        <v>2087</v>
      </c>
      <c r="AC106" s="225" t="s">
        <v>2112</v>
      </c>
      <c r="AD106" s="224" t="s">
        <v>2089</v>
      </c>
      <c r="AE106" s="8">
        <f>_xlfn.NUMBERVALUE(LEFT(MCC_Table[[#This Row],[BUCKET]],LEN(MCC_Table[[#This Row],[BUCKET]])-1))</f>
        <v>19</v>
      </c>
      <c r="AF106" s="8" t="str">
        <f>RIGHT(MCC_Table[[#This Row],[BUCKET]],1)</f>
        <v>C</v>
      </c>
      <c r="AG106" s="8">
        <f>VLOOKUP(MCC_Table[[#This Row],[START UNIT]],UnitMap[],2,FALSE)</f>
        <v>3</v>
      </c>
      <c r="AH106" s="8">
        <f t="array" ref="AH1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06" s="8">
        <f>IF(ISNUMBER(MCC_Table[[#This Row],[SIZE]]), MCC_Table[[#This Row],[SIZE]]/6, 0)</f>
        <v>5</v>
      </c>
      <c r="AJ106" s="8">
        <f>MCC_Table[[#This Row],[START INDEX]]+MCC_Table[[#This Row],[UNITS USED]]-1</f>
        <v>7</v>
      </c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ht="15.75" customHeight="1" thickBot="1" x14ac:dyDescent="0.3">
      <c r="A107" s="108" t="s">
        <v>2218</v>
      </c>
      <c r="B107" s="94" t="s">
        <v>2317</v>
      </c>
      <c r="C107" s="92" t="s">
        <v>1933</v>
      </c>
      <c r="D107" s="93" t="s">
        <v>2110</v>
      </c>
      <c r="E107" s="94" t="s">
        <v>2111</v>
      </c>
      <c r="F107" s="91"/>
      <c r="G107" s="91">
        <v>10</v>
      </c>
      <c r="H107" s="96">
        <v>14</v>
      </c>
      <c r="I107" s="91"/>
      <c r="J107" s="109">
        <f>IF(ISNUMBER(MCC_Table[[#This Row],[SIZE]]), MCC_Table[[#This Row],[SIZE]]/12, 0)</f>
        <v>2.5</v>
      </c>
      <c r="K107" s="96">
        <v>30</v>
      </c>
      <c r="L107" s="91">
        <v>125</v>
      </c>
      <c r="M107" s="97">
        <v>25</v>
      </c>
      <c r="N107" s="97"/>
      <c r="O107" s="237"/>
      <c r="P107" s="228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117" t="s">
        <v>2087</v>
      </c>
      <c r="AC107" s="117" t="s">
        <v>2112</v>
      </c>
      <c r="AD107" s="117" t="s">
        <v>2089</v>
      </c>
      <c r="AE107" s="94">
        <f>_xlfn.NUMBERVALUE(LEFT(MCC_Table[[#This Row],[BUCKET]],LEN(MCC_Table[[#This Row],[BUCKET]])-1))</f>
        <v>19</v>
      </c>
      <c r="AF107" s="94" t="str">
        <f>RIGHT(MCC_Table[[#This Row],[BUCKET]],1)</f>
        <v>H</v>
      </c>
      <c r="AG107" s="94">
        <f>VLOOKUP(MCC_Table[[#This Row],[START UNIT]],UnitMap[],2,FALSE)</f>
        <v>8</v>
      </c>
      <c r="AH107" s="94">
        <f t="array" ref="AH1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07" s="94">
        <f>IF(ISNUMBER(MCC_Table[[#This Row],[SIZE]]), MCC_Table[[#This Row],[SIZE]]/6, 0)</f>
        <v>5</v>
      </c>
      <c r="AJ107" s="94">
        <f>MCC_Table[[#This Row],[START INDEX]]+MCC_Table[[#This Row],[UNITS USED]]-1</f>
        <v>12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ht="15.75" customHeight="1" thickTop="1" x14ac:dyDescent="0.25">
      <c r="A108" s="37" t="s">
        <v>2318</v>
      </c>
      <c r="B108" s="98" t="s">
        <v>2074</v>
      </c>
      <c r="C108" s="99" t="s">
        <v>2075</v>
      </c>
      <c r="D108" s="100" t="s">
        <v>2076</v>
      </c>
      <c r="E108" s="99" t="s">
        <v>2075</v>
      </c>
      <c r="F108" s="10"/>
      <c r="G108" s="10"/>
      <c r="H108" s="76"/>
      <c r="I108" s="10"/>
      <c r="J108" s="101">
        <f>IF(ISNUMBER(MCC_Table[[#This Row],[SIZE]]), MCC_Table[[#This Row],[SIZE]]/12, 0)</f>
        <v>3.5</v>
      </c>
      <c r="K108" s="81">
        <v>1200</v>
      </c>
      <c r="L108" s="10">
        <v>1200</v>
      </c>
      <c r="M108" s="76"/>
      <c r="N108" s="76"/>
      <c r="O108" s="239"/>
      <c r="P108" s="227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224" t="s">
        <v>2077</v>
      </c>
      <c r="AC108" s="224" t="s">
        <v>2078</v>
      </c>
      <c r="AD108" s="224" t="s">
        <v>2079</v>
      </c>
      <c r="AE108" s="98">
        <f>_xlfn.NUMBERVALUE(LEFT(MCC_Table[[#This Row],[BUCKET]],LEN(MCC_Table[[#This Row],[BUCKET]])-1))</f>
        <v>1</v>
      </c>
      <c r="AF108" s="98" t="str">
        <f>RIGHT(MCC_Table[[#This Row],[BUCKET]],1)</f>
        <v>A</v>
      </c>
      <c r="AG108" s="98">
        <f>VLOOKUP(MCC_Table[[#This Row],[START UNIT]],UnitMap[],2,FALSE)</f>
        <v>1</v>
      </c>
      <c r="AH108" s="98">
        <f t="array" ref="AH1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08" s="98">
        <f>IF(ISNUMBER(MCC_Table[[#This Row],[SIZE]]), MCC_Table[[#This Row],[SIZE]]/6, 0)</f>
        <v>7</v>
      </c>
      <c r="AJ108" s="98">
        <f>MCC_Table[[#This Row],[START INDEX]]+MCC_Table[[#This Row],[UNITS USED]]-1</f>
        <v>7</v>
      </c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39" t="s">
        <v>2318</v>
      </c>
      <c r="B109" s="98" t="s">
        <v>2080</v>
      </c>
      <c r="C109" s="99" t="s">
        <v>2319</v>
      </c>
      <c r="D109" s="100" t="s">
        <v>2082</v>
      </c>
      <c r="E109" s="99" t="s">
        <v>2083</v>
      </c>
      <c r="F109" s="10"/>
      <c r="G109" s="10"/>
      <c r="H109" s="81"/>
      <c r="I109" s="10"/>
      <c r="J109" s="101">
        <f>IF(ISNUMBER(MCC_Table[[#This Row],[SIZE]]), MCC_Table[[#This Row],[SIZE]]/12, 0)</f>
        <v>1.5</v>
      </c>
      <c r="K109" s="81"/>
      <c r="L109" s="8"/>
      <c r="M109" s="76">
        <v>0.75</v>
      </c>
      <c r="N109" s="76"/>
      <c r="O109" s="239"/>
      <c r="P109" s="102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224" t="s">
        <v>2077</v>
      </c>
      <c r="AC109" s="224" t="s">
        <v>2078</v>
      </c>
      <c r="AD109" s="224" t="s">
        <v>2079</v>
      </c>
      <c r="AE109" s="98">
        <f>_xlfn.NUMBERVALUE(LEFT(MCC_Table[[#This Row],[BUCKET]],LEN(MCC_Table[[#This Row],[BUCKET]])-1))</f>
        <v>1</v>
      </c>
      <c r="AF109" s="98" t="str">
        <f>RIGHT(MCC_Table[[#This Row],[BUCKET]],1)</f>
        <v>H</v>
      </c>
      <c r="AG109" s="98">
        <f>VLOOKUP(MCC_Table[[#This Row],[START UNIT]],UnitMap[],2,FALSE)</f>
        <v>8</v>
      </c>
      <c r="AH109" s="98">
        <f t="array" ref="AH1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109" s="98">
        <f>IF(ISNUMBER(MCC_Table[[#This Row],[SIZE]]), MCC_Table[[#This Row],[SIZE]]/6, 0)</f>
        <v>3</v>
      </c>
      <c r="AJ109" s="98">
        <f>MCC_Table[[#This Row],[START INDEX]]+MCC_Table[[#This Row],[UNITS USED]]-1</f>
        <v>10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39" t="s">
        <v>2318</v>
      </c>
      <c r="B110" s="29" t="s">
        <v>2084</v>
      </c>
      <c r="C110" s="24" t="s">
        <v>2103</v>
      </c>
      <c r="D110" s="62" t="s">
        <v>2143</v>
      </c>
      <c r="E110" s="24" t="s">
        <v>2103</v>
      </c>
      <c r="F110" s="8"/>
      <c r="G110" s="8"/>
      <c r="H110" s="82"/>
      <c r="I110" s="8"/>
      <c r="J110" s="80">
        <f>IF(ISNUMBER(MCC_Table[[#This Row],[SIZE]]), MCC_Table[[#This Row],[SIZE]]/12, 0)</f>
        <v>1</v>
      </c>
      <c r="K110" s="87"/>
      <c r="L110" s="8"/>
      <c r="M110" s="82"/>
      <c r="N110" s="82"/>
      <c r="O110" s="236"/>
      <c r="P110" s="78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225" t="s">
        <v>2105</v>
      </c>
      <c r="AC110" s="225" t="s">
        <v>2106</v>
      </c>
      <c r="AD110" s="225"/>
      <c r="AE110" s="29">
        <f>_xlfn.NUMBERVALUE(LEFT(MCC_Table[[#This Row],[BUCKET]],LEN(MCC_Table[[#This Row],[BUCKET]])-1))</f>
        <v>1</v>
      </c>
      <c r="AF110" s="29" t="str">
        <f>RIGHT(MCC_Table[[#This Row],[BUCKET]],1)</f>
        <v>L</v>
      </c>
      <c r="AG110" s="29">
        <f>VLOOKUP(MCC_Table[[#This Row],[START UNIT]],UnitMap[],2,FALSE)</f>
        <v>11</v>
      </c>
      <c r="AH110" s="29">
        <f t="array" ref="AH1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10" s="29">
        <f>IF(ISNUMBER(MCC_Table[[#This Row],[SIZE]]), MCC_Table[[#This Row],[SIZE]]/6, 0)</f>
        <v>2</v>
      </c>
      <c r="AJ110" s="29">
        <f>MCC_Table[[#This Row],[START INDEX]]+MCC_Table[[#This Row],[UNITS USED]]-1</f>
        <v>12</v>
      </c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39" t="s">
        <v>2318</v>
      </c>
      <c r="B111" s="29" t="s">
        <v>2222</v>
      </c>
      <c r="C111" s="24" t="s">
        <v>2320</v>
      </c>
      <c r="D111" s="62" t="s">
        <v>2224</v>
      </c>
      <c r="E111" s="24" t="s">
        <v>2225</v>
      </c>
      <c r="F111" s="8"/>
      <c r="G111" s="8"/>
      <c r="H111" s="82"/>
      <c r="I111" s="8"/>
      <c r="J111" s="80">
        <f>IF(ISNUMBER(MCC_Table[[#This Row],[SIZE]]), MCC_Table[[#This Row],[SIZE]]/12, 0)</f>
        <v>1</v>
      </c>
      <c r="K111" s="87"/>
      <c r="L111" s="8"/>
      <c r="M111" s="82"/>
      <c r="N111" s="82"/>
      <c r="O111" s="236"/>
      <c r="P111" s="78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225" t="s">
        <v>2094</v>
      </c>
      <c r="AC111" s="225" t="s">
        <v>2226</v>
      </c>
      <c r="AD111" s="225"/>
      <c r="AE111" s="29">
        <f>_xlfn.NUMBERVALUE(LEFT(MCC_Table[[#This Row],[BUCKET]],LEN(MCC_Table[[#This Row],[BUCKET]])-1))</f>
        <v>2</v>
      </c>
      <c r="AF111" s="29" t="str">
        <f>RIGHT(MCC_Table[[#This Row],[BUCKET]],1)</f>
        <v>A</v>
      </c>
      <c r="AG111" s="29">
        <f>VLOOKUP(MCC_Table[[#This Row],[START UNIT]],UnitMap[],2,FALSE)</f>
        <v>1</v>
      </c>
      <c r="AH111" s="29">
        <f t="array" ref="AH1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11" s="29">
        <f>IF(ISNUMBER(MCC_Table[[#This Row],[SIZE]]), MCC_Table[[#This Row],[SIZE]]/6, 0)</f>
        <v>2</v>
      </c>
      <c r="AJ111" s="29">
        <f>MCC_Table[[#This Row],[START INDEX]]+MCC_Table[[#This Row],[UNITS USED]]-1</f>
        <v>2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39" t="s">
        <v>2318</v>
      </c>
      <c r="B112" s="29" t="s">
        <v>2096</v>
      </c>
      <c r="C112" s="24" t="s">
        <v>2321</v>
      </c>
      <c r="D112" s="62" t="s">
        <v>2098</v>
      </c>
      <c r="E112" s="24" t="s">
        <v>2099</v>
      </c>
      <c r="F112" s="8"/>
      <c r="G112" s="8"/>
      <c r="H112" s="82"/>
      <c r="I112" s="8"/>
      <c r="J112" s="80">
        <f>IF(ISNUMBER(MCC_Table[[#This Row],[SIZE]]), MCC_Table[[#This Row],[SIZE]]/12, 0)</f>
        <v>1</v>
      </c>
      <c r="K112" s="87"/>
      <c r="L112" s="8"/>
      <c r="M112" s="82"/>
      <c r="N112" s="82"/>
      <c r="O112" s="236"/>
      <c r="P112" s="78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225" t="s">
        <v>2100</v>
      </c>
      <c r="AC112" s="225" t="s">
        <v>2101</v>
      </c>
      <c r="AD112" s="225"/>
      <c r="AE112" s="29">
        <f>_xlfn.NUMBERVALUE(LEFT(MCC_Table[[#This Row],[BUCKET]],LEN(MCC_Table[[#This Row],[BUCKET]])-1))</f>
        <v>2</v>
      </c>
      <c r="AF112" s="29" t="str">
        <f>RIGHT(MCC_Table[[#This Row],[BUCKET]],1)</f>
        <v>C</v>
      </c>
      <c r="AG112" s="29">
        <f>VLOOKUP(MCC_Table[[#This Row],[START UNIT]],UnitMap[],2,FALSE)</f>
        <v>3</v>
      </c>
      <c r="AH112" s="29">
        <f t="array" ref="AH1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12" s="29">
        <f>IF(ISNUMBER(MCC_Table[[#This Row],[SIZE]]), MCC_Table[[#This Row],[SIZE]]/6, 0)</f>
        <v>2</v>
      </c>
      <c r="AJ112" s="29">
        <f>MCC_Table[[#This Row],[START INDEX]]+MCC_Table[[#This Row],[UNITS USED]]-1</f>
        <v>4</v>
      </c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39" t="s">
        <v>2318</v>
      </c>
      <c r="B113" s="29" t="s">
        <v>2102</v>
      </c>
      <c r="C113" s="24" t="s">
        <v>1933</v>
      </c>
      <c r="D113" s="62" t="s">
        <v>2322</v>
      </c>
      <c r="E113" s="24" t="s">
        <v>1933</v>
      </c>
      <c r="F113" s="8"/>
      <c r="G113" s="8">
        <v>1</v>
      </c>
      <c r="H113" s="82">
        <v>2.1</v>
      </c>
      <c r="I113" s="8"/>
      <c r="J113" s="80">
        <f>IF(ISNUMBER(MCC_Table[[#This Row],[SIZE]]), MCC_Table[[#This Row],[SIZE]]/12, 0)</f>
        <v>2</v>
      </c>
      <c r="K113" s="87"/>
      <c r="L113" s="8"/>
      <c r="M113" s="82"/>
      <c r="N113" s="82"/>
      <c r="O113" s="236"/>
      <c r="P113" s="78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225" t="s">
        <v>2094</v>
      </c>
      <c r="AC113" s="225" t="s">
        <v>2226</v>
      </c>
      <c r="AD113" s="225"/>
      <c r="AE113" s="29">
        <f>_xlfn.NUMBERVALUE(LEFT(MCC_Table[[#This Row],[BUCKET]],LEN(MCC_Table[[#This Row],[BUCKET]])-1))</f>
        <v>2</v>
      </c>
      <c r="AF113" s="29" t="str">
        <f>RIGHT(MCC_Table[[#This Row],[BUCKET]],1)</f>
        <v>E</v>
      </c>
      <c r="AG113" s="29">
        <f>VLOOKUP(MCC_Table[[#This Row],[START UNIT]],UnitMap[],2,FALSE)</f>
        <v>5</v>
      </c>
      <c r="AH113" s="29">
        <f t="array" ref="AH1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3" s="29">
        <f>IF(ISNUMBER(MCC_Table[[#This Row],[SIZE]]), MCC_Table[[#This Row],[SIZE]]/6, 0)</f>
        <v>4</v>
      </c>
      <c r="AJ113" s="29">
        <f>MCC_Table[[#This Row],[START INDEX]]+MCC_Table[[#This Row],[UNITS USED]]-1</f>
        <v>8</v>
      </c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39" t="s">
        <v>2318</v>
      </c>
      <c r="B114" s="8" t="s">
        <v>2323</v>
      </c>
      <c r="C114" s="24" t="s">
        <v>1933</v>
      </c>
      <c r="D114" s="62" t="s">
        <v>2300</v>
      </c>
      <c r="E114" s="29" t="s">
        <v>1933</v>
      </c>
      <c r="F114" s="8"/>
      <c r="G114" s="8">
        <v>5</v>
      </c>
      <c r="H114" s="82">
        <v>8</v>
      </c>
      <c r="I114" s="8"/>
      <c r="J114" s="83">
        <f>IF(ISNUMBER(MCC_Table[[#This Row],[SIZE]]), MCC_Table[[#This Row],[SIZE]]/12, 0)</f>
        <v>2</v>
      </c>
      <c r="K114" s="87">
        <v>20</v>
      </c>
      <c r="L114" s="8">
        <v>125</v>
      </c>
      <c r="M114" s="82">
        <v>12</v>
      </c>
      <c r="N114" s="82" t="s">
        <v>2124</v>
      </c>
      <c r="O114" s="236"/>
      <c r="P114" s="85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225" t="s">
        <v>2094</v>
      </c>
      <c r="AC114" s="225" t="s">
        <v>2226</v>
      </c>
      <c r="AD114" s="225"/>
      <c r="AE114" s="8">
        <f>_xlfn.NUMBERVALUE(LEFT(MCC_Table[[#This Row],[BUCKET]],LEN(MCC_Table[[#This Row],[BUCKET]])-1))</f>
        <v>2</v>
      </c>
      <c r="AF114" s="8" t="str">
        <f>RIGHT(MCC_Table[[#This Row],[BUCKET]],1)</f>
        <v>J</v>
      </c>
      <c r="AG114" s="8">
        <f>VLOOKUP(MCC_Table[[#This Row],[START UNIT]],UnitMap[],2,FALSE)</f>
        <v>9</v>
      </c>
      <c r="AH114" s="8">
        <f t="array" ref="AH1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4" s="8">
        <f>IF(ISNUMBER(MCC_Table[[#This Row],[SIZE]]), MCC_Table[[#This Row],[SIZE]]/6, 0)</f>
        <v>4</v>
      </c>
      <c r="AJ114" s="8">
        <f>MCC_Table[[#This Row],[START INDEX]]+MCC_Table[[#This Row],[UNITS USED]]-1</f>
        <v>12</v>
      </c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39" t="s">
        <v>2318</v>
      </c>
      <c r="B115" s="8" t="s">
        <v>2113</v>
      </c>
      <c r="C115" s="24" t="s">
        <v>2324</v>
      </c>
      <c r="D115" s="28" t="s">
        <v>2325</v>
      </c>
      <c r="E115" s="29" t="s">
        <v>2111</v>
      </c>
      <c r="F115" s="8">
        <v>0.5</v>
      </c>
      <c r="G115" s="8">
        <v>1</v>
      </c>
      <c r="H115" s="82">
        <v>2.1</v>
      </c>
      <c r="I115" s="8"/>
      <c r="J115" s="83">
        <f>IF(ISNUMBER(MCC_Table[[#This Row],[SIZE]]), MCC_Table[[#This Row],[SIZE]]/12, 0)</f>
        <v>2</v>
      </c>
      <c r="K115" s="87">
        <v>15</v>
      </c>
      <c r="L115" s="8">
        <v>125</v>
      </c>
      <c r="M115" s="82">
        <v>3</v>
      </c>
      <c r="N115" s="82" t="s">
        <v>2124</v>
      </c>
      <c r="O115" s="236" t="s">
        <v>2326</v>
      </c>
      <c r="P115" s="85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225" t="s">
        <v>2087</v>
      </c>
      <c r="AC115" s="225" t="s">
        <v>2112</v>
      </c>
      <c r="AD115" s="225" t="s">
        <v>2089</v>
      </c>
      <c r="AE115" s="8">
        <f>_xlfn.NUMBERVALUE(LEFT(MCC_Table[[#This Row],[BUCKET]],LEN(MCC_Table[[#This Row],[BUCKET]])-1))</f>
        <v>3</v>
      </c>
      <c r="AF115" s="8" t="str">
        <f>RIGHT(MCC_Table[[#This Row],[BUCKET]],1)</f>
        <v>A</v>
      </c>
      <c r="AG115" s="8">
        <f>VLOOKUP(MCC_Table[[#This Row],[START UNIT]],UnitMap[],2,FALSE)</f>
        <v>1</v>
      </c>
      <c r="AH115" s="8">
        <f t="array" ref="AH1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5" s="8">
        <f>IF(ISNUMBER(MCC_Table[[#This Row],[SIZE]]), MCC_Table[[#This Row],[SIZE]]/6, 0)</f>
        <v>4</v>
      </c>
      <c r="AJ115" s="8">
        <f>MCC_Table[[#This Row],[START INDEX]]+MCC_Table[[#This Row],[UNITS USED]]-1</f>
        <v>4</v>
      </c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39" t="s">
        <v>2318</v>
      </c>
      <c r="B116" s="8" t="s">
        <v>2327</v>
      </c>
      <c r="C116" s="24" t="s">
        <v>2328</v>
      </c>
      <c r="D116" s="28" t="s">
        <v>2329</v>
      </c>
      <c r="E116" s="29" t="s">
        <v>2111</v>
      </c>
      <c r="F116" s="8">
        <v>0.5</v>
      </c>
      <c r="G116" s="8">
        <v>1</v>
      </c>
      <c r="H116" s="82">
        <v>2.1</v>
      </c>
      <c r="I116" s="8"/>
      <c r="J116" s="83">
        <f>IF(ISNUMBER(MCC_Table[[#This Row],[SIZE]]), MCC_Table[[#This Row],[SIZE]]/12, 0)</f>
        <v>2</v>
      </c>
      <c r="K116" s="87">
        <v>15</v>
      </c>
      <c r="L116" s="8">
        <v>125</v>
      </c>
      <c r="M116" s="82">
        <v>3</v>
      </c>
      <c r="N116" s="82" t="s">
        <v>2124</v>
      </c>
      <c r="O116" s="236"/>
      <c r="P116" s="85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225" t="s">
        <v>2087</v>
      </c>
      <c r="AC116" s="225" t="s">
        <v>2112</v>
      </c>
      <c r="AD116" s="224" t="s">
        <v>2089</v>
      </c>
      <c r="AE116" s="8">
        <f>_xlfn.NUMBERVALUE(LEFT(MCC_Table[[#This Row],[BUCKET]],LEN(MCC_Table[[#This Row],[BUCKET]])-1))</f>
        <v>3</v>
      </c>
      <c r="AF116" s="8" t="str">
        <f>RIGHT(MCC_Table[[#This Row],[BUCKET]],1)</f>
        <v>E</v>
      </c>
      <c r="AG116" s="8">
        <f>VLOOKUP(MCC_Table[[#This Row],[START UNIT]],UnitMap[],2,FALSE)</f>
        <v>5</v>
      </c>
      <c r="AH116" s="8">
        <f t="array" ref="AH1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6" s="8">
        <f>IF(ISNUMBER(MCC_Table[[#This Row],[SIZE]]), MCC_Table[[#This Row],[SIZE]]/6, 0)</f>
        <v>4</v>
      </c>
      <c r="AJ116" s="8">
        <f>MCC_Table[[#This Row],[START INDEX]]+MCC_Table[[#This Row],[UNITS USED]]-1</f>
        <v>8</v>
      </c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39" t="s">
        <v>2318</v>
      </c>
      <c r="B117" s="8" t="s">
        <v>2330</v>
      </c>
      <c r="C117" s="24" t="s">
        <v>2331</v>
      </c>
      <c r="D117" s="28" t="s">
        <v>2332</v>
      </c>
      <c r="E117" s="29" t="s">
        <v>2111</v>
      </c>
      <c r="F117" s="8">
        <v>0.5</v>
      </c>
      <c r="G117" s="8">
        <v>1</v>
      </c>
      <c r="H117" s="82">
        <v>2.1</v>
      </c>
      <c r="I117" s="8"/>
      <c r="J117" s="83">
        <f>IF(ISNUMBER(MCC_Table[[#This Row],[SIZE]]), MCC_Table[[#This Row],[SIZE]]/12, 0)</f>
        <v>2</v>
      </c>
      <c r="K117" s="87">
        <v>15</v>
      </c>
      <c r="L117" s="8">
        <v>125</v>
      </c>
      <c r="M117" s="82">
        <v>3</v>
      </c>
      <c r="N117" s="82" t="s">
        <v>2124</v>
      </c>
      <c r="O117" s="236"/>
      <c r="P117" s="85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225" t="s">
        <v>2087</v>
      </c>
      <c r="AC117" s="225" t="s">
        <v>2112</v>
      </c>
      <c r="AD117" s="224" t="s">
        <v>2089</v>
      </c>
      <c r="AE117" s="8">
        <f>_xlfn.NUMBERVALUE(LEFT(MCC_Table[[#This Row],[BUCKET]],LEN(MCC_Table[[#This Row],[BUCKET]])-1))</f>
        <v>3</v>
      </c>
      <c r="AF117" s="8" t="str">
        <f>RIGHT(MCC_Table[[#This Row],[BUCKET]],1)</f>
        <v>J</v>
      </c>
      <c r="AG117" s="8">
        <f>VLOOKUP(MCC_Table[[#This Row],[START UNIT]],UnitMap[],2,FALSE)</f>
        <v>9</v>
      </c>
      <c r="AH117" s="8">
        <f t="array" ref="AH1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7" s="8">
        <f>IF(ISNUMBER(MCC_Table[[#This Row],[SIZE]]), MCC_Table[[#This Row],[SIZE]]/6, 0)</f>
        <v>4</v>
      </c>
      <c r="AJ117" s="8">
        <f>MCC_Table[[#This Row],[START INDEX]]+MCC_Table[[#This Row],[UNITS USED]]-1</f>
        <v>12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39" t="s">
        <v>2318</v>
      </c>
      <c r="B118" s="8" t="s">
        <v>2115</v>
      </c>
      <c r="C118" s="24" t="s">
        <v>2333</v>
      </c>
      <c r="D118" s="28" t="s">
        <v>2334</v>
      </c>
      <c r="E118" s="29" t="s">
        <v>2111</v>
      </c>
      <c r="F118" s="29">
        <v>5</v>
      </c>
      <c r="G118" s="8">
        <v>5</v>
      </c>
      <c r="H118" s="82">
        <v>8</v>
      </c>
      <c r="I118" s="8"/>
      <c r="J118" s="83">
        <f>IF(ISNUMBER(MCC_Table[[#This Row],[SIZE]]), MCC_Table[[#This Row],[SIZE]]/12, 0)</f>
        <v>2</v>
      </c>
      <c r="K118" s="87">
        <v>20</v>
      </c>
      <c r="L118" s="8">
        <v>125</v>
      </c>
      <c r="M118" s="82">
        <v>12</v>
      </c>
      <c r="N118" s="82" t="s">
        <v>2124</v>
      </c>
      <c r="O118" s="236"/>
      <c r="P118" s="85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225" t="s">
        <v>2087</v>
      </c>
      <c r="AC118" s="225" t="s">
        <v>2112</v>
      </c>
      <c r="AD118" s="224" t="s">
        <v>2089</v>
      </c>
      <c r="AE118" s="8">
        <f>_xlfn.NUMBERVALUE(LEFT(MCC_Table[[#This Row],[BUCKET]],LEN(MCC_Table[[#This Row],[BUCKET]])-1))</f>
        <v>4</v>
      </c>
      <c r="AF118" s="8" t="str">
        <f>RIGHT(MCC_Table[[#This Row],[BUCKET]],1)</f>
        <v>A</v>
      </c>
      <c r="AG118" s="8">
        <f>VLOOKUP(MCC_Table[[#This Row],[START UNIT]],UnitMap[],2,FALSE)</f>
        <v>1</v>
      </c>
      <c r="AH118" s="8">
        <f t="array" ref="AH1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18" s="8">
        <f>IF(ISNUMBER(MCC_Table[[#This Row],[SIZE]]), MCC_Table[[#This Row],[SIZE]]/6, 0)</f>
        <v>4</v>
      </c>
      <c r="AJ118" s="8">
        <f>MCC_Table[[#This Row],[START INDEX]]+MCC_Table[[#This Row],[UNITS USED]]-1</f>
        <v>4</v>
      </c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39" t="s">
        <v>2318</v>
      </c>
      <c r="B119" s="29" t="s">
        <v>2335</v>
      </c>
      <c r="C119" s="24" t="s">
        <v>2103</v>
      </c>
      <c r="D119" s="62" t="s">
        <v>2104</v>
      </c>
      <c r="E119" s="24" t="s">
        <v>2103</v>
      </c>
      <c r="F119" s="8"/>
      <c r="G119" s="8"/>
      <c r="H119" s="82"/>
      <c r="I119" s="8"/>
      <c r="J119" s="83">
        <f>IF(ISNUMBER(MCC_Table[[#This Row],[SIZE]]), MCC_Table[[#This Row],[SIZE]]/12, 0)</f>
        <v>0.5</v>
      </c>
      <c r="K119" s="87"/>
      <c r="L119" s="8"/>
      <c r="M119" s="82"/>
      <c r="N119" s="82"/>
      <c r="O119" s="236"/>
      <c r="P119" s="85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225" t="s">
        <v>2105</v>
      </c>
      <c r="AC119" s="225" t="s">
        <v>2106</v>
      </c>
      <c r="AD119" s="225"/>
      <c r="AE119" s="8">
        <f>_xlfn.NUMBERVALUE(LEFT(MCC_Table[[#This Row],[BUCKET]],LEN(MCC_Table[[#This Row],[BUCKET]])-1))</f>
        <v>4</v>
      </c>
      <c r="AF119" s="8" t="str">
        <f>RIGHT(MCC_Table[[#This Row],[BUCKET]],1)</f>
        <v>E</v>
      </c>
      <c r="AG119" s="8">
        <f>VLOOKUP(MCC_Table[[#This Row],[START UNIT]],UnitMap[],2,FALSE)</f>
        <v>5</v>
      </c>
      <c r="AH119" s="8">
        <f t="array" ref="AH1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19" s="8">
        <f>IF(ISNUMBER(MCC_Table[[#This Row],[SIZE]]), MCC_Table[[#This Row],[SIZE]]/6, 0)</f>
        <v>1</v>
      </c>
      <c r="AJ119" s="8">
        <f>MCC_Table[[#This Row],[START INDEX]]+MCC_Table[[#This Row],[UNITS USED]]-1</f>
        <v>5</v>
      </c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39" t="s">
        <v>2318</v>
      </c>
      <c r="B120" s="8" t="s">
        <v>2336</v>
      </c>
      <c r="C120" s="24" t="s">
        <v>2337</v>
      </c>
      <c r="D120" s="28" t="s">
        <v>2338</v>
      </c>
      <c r="E120" s="29" t="s">
        <v>2111</v>
      </c>
      <c r="F120" s="8">
        <v>10</v>
      </c>
      <c r="G120" s="8">
        <v>10</v>
      </c>
      <c r="H120" s="82">
        <v>14</v>
      </c>
      <c r="I120" s="8"/>
      <c r="J120" s="83">
        <f>IF(ISNUMBER(MCC_Table[[#This Row],[SIZE]]), MCC_Table[[#This Row],[SIZE]]/12, 0)</f>
        <v>2.5</v>
      </c>
      <c r="K120" s="87">
        <v>30</v>
      </c>
      <c r="L120" s="8">
        <v>125</v>
      </c>
      <c r="M120" s="82">
        <v>25</v>
      </c>
      <c r="N120" s="82"/>
      <c r="O120" s="236"/>
      <c r="P120" s="85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225" t="s">
        <v>2087</v>
      </c>
      <c r="AC120" s="225" t="s">
        <v>2112</v>
      </c>
      <c r="AD120" s="224" t="s">
        <v>2089</v>
      </c>
      <c r="AE120" s="8">
        <f>_xlfn.NUMBERVALUE(LEFT(MCC_Table[[#This Row],[BUCKET]],LEN(MCC_Table[[#This Row],[BUCKET]])-1))</f>
        <v>4</v>
      </c>
      <c r="AF120" s="8" t="str">
        <f>RIGHT(MCC_Table[[#This Row],[BUCKET]],1)</f>
        <v>F</v>
      </c>
      <c r="AG120" s="8">
        <f>VLOOKUP(MCC_Table[[#This Row],[START UNIT]],UnitMap[],2,FALSE)</f>
        <v>6</v>
      </c>
      <c r="AH120" s="8">
        <f t="array" ref="AH1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20" s="8">
        <f>IF(ISNUMBER(MCC_Table[[#This Row],[SIZE]]), MCC_Table[[#This Row],[SIZE]]/6, 0)</f>
        <v>5</v>
      </c>
      <c r="AJ120" s="8">
        <f>MCC_Table[[#This Row],[START INDEX]]+MCC_Table[[#This Row],[UNITS USED]]-1</f>
        <v>10</v>
      </c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39" t="s">
        <v>2318</v>
      </c>
      <c r="B121" s="29" t="s">
        <v>2339</v>
      </c>
      <c r="C121" s="24" t="s">
        <v>2103</v>
      </c>
      <c r="D121" s="62" t="s">
        <v>2143</v>
      </c>
      <c r="E121" s="24" t="s">
        <v>2103</v>
      </c>
      <c r="F121" s="8"/>
      <c r="G121" s="8"/>
      <c r="H121" s="82"/>
      <c r="I121" s="8"/>
      <c r="J121" s="83">
        <f>IF(ISNUMBER(MCC_Table[[#This Row],[SIZE]]), MCC_Table[[#This Row],[SIZE]]/12, 0)</f>
        <v>1</v>
      </c>
      <c r="K121" s="87"/>
      <c r="L121" s="8"/>
      <c r="M121" s="82"/>
      <c r="N121" s="82"/>
      <c r="O121" s="236"/>
      <c r="P121" s="85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225" t="s">
        <v>2105</v>
      </c>
      <c r="AC121" s="225" t="s">
        <v>2106</v>
      </c>
      <c r="AD121" s="225"/>
      <c r="AE121" s="8">
        <f>_xlfn.NUMBERVALUE(LEFT(MCC_Table[[#This Row],[BUCKET]],LEN(MCC_Table[[#This Row],[BUCKET]])-1))</f>
        <v>4</v>
      </c>
      <c r="AF121" s="8" t="str">
        <f>RIGHT(MCC_Table[[#This Row],[BUCKET]],1)</f>
        <v>L</v>
      </c>
      <c r="AG121" s="8">
        <f>VLOOKUP(MCC_Table[[#This Row],[START UNIT]],UnitMap[],2,FALSE)</f>
        <v>11</v>
      </c>
      <c r="AH121" s="8">
        <f t="array" ref="AH1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21" s="8">
        <f>IF(ISNUMBER(MCC_Table[[#This Row],[SIZE]]), MCC_Table[[#This Row],[SIZE]]/6, 0)</f>
        <v>2</v>
      </c>
      <c r="AJ121" s="8">
        <f>MCC_Table[[#This Row],[START INDEX]]+MCC_Table[[#This Row],[UNITS USED]]-1</f>
        <v>12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39" t="s">
        <v>2318</v>
      </c>
      <c r="B122" s="29" t="s">
        <v>2118</v>
      </c>
      <c r="C122" s="24" t="s">
        <v>2103</v>
      </c>
      <c r="D122" s="62" t="s">
        <v>2143</v>
      </c>
      <c r="E122" s="24" t="s">
        <v>2103</v>
      </c>
      <c r="F122" s="8"/>
      <c r="G122" s="8"/>
      <c r="H122" s="82"/>
      <c r="I122" s="8"/>
      <c r="J122" s="83">
        <f>IF(ISNUMBER(MCC_Table[[#This Row],[SIZE]]), MCC_Table[[#This Row],[SIZE]]/12, 0)</f>
        <v>1</v>
      </c>
      <c r="K122" s="87"/>
      <c r="L122" s="8"/>
      <c r="M122" s="82"/>
      <c r="N122" s="82"/>
      <c r="O122" s="236"/>
      <c r="P122" s="85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225" t="s">
        <v>2105</v>
      </c>
      <c r="AC122" s="225" t="s">
        <v>2106</v>
      </c>
      <c r="AD122" s="225"/>
      <c r="AE122" s="8">
        <f>_xlfn.NUMBERVALUE(LEFT(MCC_Table[[#This Row],[BUCKET]],LEN(MCC_Table[[#This Row],[BUCKET]])-1))</f>
        <v>5</v>
      </c>
      <c r="AF122" s="8" t="str">
        <f>RIGHT(MCC_Table[[#This Row],[BUCKET]],1)</f>
        <v>A</v>
      </c>
      <c r="AG122" s="8">
        <f>VLOOKUP(MCC_Table[[#This Row],[START UNIT]],UnitMap[],2,FALSE)</f>
        <v>1</v>
      </c>
      <c r="AH122" s="8">
        <f t="array" ref="AH1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22" s="8">
        <f>IF(ISNUMBER(MCC_Table[[#This Row],[SIZE]]), MCC_Table[[#This Row],[SIZE]]/6, 0)</f>
        <v>2</v>
      </c>
      <c r="AJ122" s="8">
        <f>MCC_Table[[#This Row],[START INDEX]]+MCC_Table[[#This Row],[UNITS USED]]-1</f>
        <v>2</v>
      </c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39" t="s">
        <v>2318</v>
      </c>
      <c r="B123" s="8" t="s">
        <v>2340</v>
      </c>
      <c r="C123" s="24" t="s">
        <v>2341</v>
      </c>
      <c r="D123" s="28" t="s">
        <v>2342</v>
      </c>
      <c r="E123" s="29" t="s">
        <v>2111</v>
      </c>
      <c r="F123" s="29">
        <v>7.5</v>
      </c>
      <c r="G123" s="8">
        <v>10</v>
      </c>
      <c r="H123" s="82">
        <v>14</v>
      </c>
      <c r="I123" s="8"/>
      <c r="J123" s="83">
        <f>IF(ISNUMBER(MCC_Table[[#This Row],[SIZE]]), MCC_Table[[#This Row],[SIZE]]/12, 0)</f>
        <v>2.5</v>
      </c>
      <c r="K123" s="87">
        <v>30</v>
      </c>
      <c r="L123" s="8">
        <v>125</v>
      </c>
      <c r="M123" s="82">
        <v>25</v>
      </c>
      <c r="N123" s="82" t="s">
        <v>2124</v>
      </c>
      <c r="O123" s="236"/>
      <c r="P123" s="85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225" t="s">
        <v>2087</v>
      </c>
      <c r="AC123" s="225" t="s">
        <v>2112</v>
      </c>
      <c r="AD123" s="224" t="s">
        <v>2089</v>
      </c>
      <c r="AE123" s="8">
        <f>_xlfn.NUMBERVALUE(LEFT(MCC_Table[[#This Row],[BUCKET]],LEN(MCC_Table[[#This Row],[BUCKET]])-1))</f>
        <v>5</v>
      </c>
      <c r="AF123" s="8" t="str">
        <f>RIGHT(MCC_Table[[#This Row],[BUCKET]],1)</f>
        <v>C</v>
      </c>
      <c r="AG123" s="8">
        <f>VLOOKUP(MCC_Table[[#This Row],[START UNIT]],UnitMap[],2,FALSE)</f>
        <v>3</v>
      </c>
      <c r="AH123" s="8">
        <f t="array" ref="AH1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23" s="8">
        <f>IF(ISNUMBER(MCC_Table[[#This Row],[SIZE]]), MCC_Table[[#This Row],[SIZE]]/6, 0)</f>
        <v>5</v>
      </c>
      <c r="AJ123" s="8">
        <f>MCC_Table[[#This Row],[START INDEX]]+MCC_Table[[#This Row],[UNITS USED]]-1</f>
        <v>7</v>
      </c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39" t="s">
        <v>2318</v>
      </c>
      <c r="B124" s="8" t="s">
        <v>2238</v>
      </c>
      <c r="C124" s="24" t="s">
        <v>2343</v>
      </c>
      <c r="D124" s="28" t="s">
        <v>2344</v>
      </c>
      <c r="E124" s="29" t="s">
        <v>2111</v>
      </c>
      <c r="F124" s="29">
        <v>7.5</v>
      </c>
      <c r="G124" s="8">
        <v>10</v>
      </c>
      <c r="H124" s="82">
        <v>14</v>
      </c>
      <c r="I124" s="8"/>
      <c r="J124" s="83">
        <f>IF(ISNUMBER(MCC_Table[[#This Row],[SIZE]]), MCC_Table[[#This Row],[SIZE]]/12, 0)</f>
        <v>2.5</v>
      </c>
      <c r="K124" s="87">
        <v>30</v>
      </c>
      <c r="L124" s="8">
        <v>125</v>
      </c>
      <c r="M124" s="82">
        <v>25</v>
      </c>
      <c r="N124" s="82" t="s">
        <v>2124</v>
      </c>
      <c r="O124" s="236"/>
      <c r="P124" s="85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225" t="s">
        <v>2087</v>
      </c>
      <c r="AC124" s="225" t="s">
        <v>2112</v>
      </c>
      <c r="AD124" s="224" t="s">
        <v>2089</v>
      </c>
      <c r="AE124" s="8">
        <f>_xlfn.NUMBERVALUE(LEFT(MCC_Table[[#This Row],[BUCKET]],LEN(MCC_Table[[#This Row],[BUCKET]])-1))</f>
        <v>5</v>
      </c>
      <c r="AF124" s="8" t="str">
        <f>RIGHT(MCC_Table[[#This Row],[BUCKET]],1)</f>
        <v>H</v>
      </c>
      <c r="AG124" s="8">
        <f>VLOOKUP(MCC_Table[[#This Row],[START UNIT]],UnitMap[],2,FALSE)</f>
        <v>8</v>
      </c>
      <c r="AH124" s="8">
        <f t="array" ref="AH1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24" s="8">
        <f>IF(ISNUMBER(MCC_Table[[#This Row],[SIZE]]), MCC_Table[[#This Row],[SIZE]]/6, 0)</f>
        <v>5</v>
      </c>
      <c r="AJ124" s="8">
        <f>MCC_Table[[#This Row],[START INDEX]]+MCC_Table[[#This Row],[UNITS USED]]-1</f>
        <v>12</v>
      </c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39" t="s">
        <v>2318</v>
      </c>
      <c r="B125" s="8" t="s">
        <v>2121</v>
      </c>
      <c r="C125" s="24" t="s">
        <v>2345</v>
      </c>
      <c r="D125" s="28" t="s">
        <v>2346</v>
      </c>
      <c r="E125" s="29" t="s">
        <v>2111</v>
      </c>
      <c r="F125" s="8">
        <v>0.5</v>
      </c>
      <c r="G125" s="8">
        <v>1</v>
      </c>
      <c r="H125" s="82">
        <v>2.1</v>
      </c>
      <c r="I125" s="8"/>
      <c r="J125" s="83">
        <f>IF(ISNUMBER(MCC_Table[[#This Row],[SIZE]]), MCC_Table[[#This Row],[SIZE]]/12, 0)</f>
        <v>2</v>
      </c>
      <c r="K125" s="87">
        <v>15</v>
      </c>
      <c r="L125" s="8">
        <v>125</v>
      </c>
      <c r="M125" s="82">
        <v>3</v>
      </c>
      <c r="N125" s="82" t="s">
        <v>2124</v>
      </c>
      <c r="O125" s="236"/>
      <c r="P125" s="85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225" t="s">
        <v>2087</v>
      </c>
      <c r="AC125" s="225" t="s">
        <v>2112</v>
      </c>
      <c r="AD125" s="224" t="s">
        <v>2089</v>
      </c>
      <c r="AE125" s="8">
        <f>_xlfn.NUMBERVALUE(LEFT(MCC_Table[[#This Row],[BUCKET]],LEN(MCC_Table[[#This Row],[BUCKET]])-1))</f>
        <v>6</v>
      </c>
      <c r="AF125" s="8" t="str">
        <f>RIGHT(MCC_Table[[#This Row],[BUCKET]],1)</f>
        <v>A</v>
      </c>
      <c r="AG125" s="8">
        <f>VLOOKUP(MCC_Table[[#This Row],[START UNIT]],UnitMap[],2,FALSE)</f>
        <v>1</v>
      </c>
      <c r="AH125" s="8">
        <f t="array" ref="AH1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25" s="8">
        <f>IF(ISNUMBER(MCC_Table[[#This Row],[SIZE]]), MCC_Table[[#This Row],[SIZE]]/6, 0)</f>
        <v>4</v>
      </c>
      <c r="AJ125" s="8">
        <f>MCC_Table[[#This Row],[START INDEX]]+MCC_Table[[#This Row],[UNITS USED]]-1</f>
        <v>4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39" t="s">
        <v>2318</v>
      </c>
      <c r="B126" s="8" t="s">
        <v>2125</v>
      </c>
      <c r="C126" s="24" t="s">
        <v>2347</v>
      </c>
      <c r="D126" s="28" t="s">
        <v>2348</v>
      </c>
      <c r="E126" s="29" t="s">
        <v>2111</v>
      </c>
      <c r="F126" s="8">
        <v>0.5</v>
      </c>
      <c r="G126" s="8">
        <v>1</v>
      </c>
      <c r="H126" s="82">
        <v>2.1</v>
      </c>
      <c r="I126" s="8"/>
      <c r="J126" s="83">
        <f>IF(ISNUMBER(MCC_Table[[#This Row],[SIZE]]), MCC_Table[[#This Row],[SIZE]]/12, 0)</f>
        <v>2</v>
      </c>
      <c r="K126" s="87">
        <v>15</v>
      </c>
      <c r="L126" s="8">
        <v>125</v>
      </c>
      <c r="M126" s="82">
        <v>3</v>
      </c>
      <c r="N126" s="82" t="s">
        <v>2124</v>
      </c>
      <c r="O126" s="236"/>
      <c r="P126" s="85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225" t="s">
        <v>2087</v>
      </c>
      <c r="AC126" s="225" t="s">
        <v>2112</v>
      </c>
      <c r="AD126" s="224" t="s">
        <v>2089</v>
      </c>
      <c r="AE126" s="8">
        <f>_xlfn.NUMBERVALUE(LEFT(MCC_Table[[#This Row],[BUCKET]],LEN(MCC_Table[[#This Row],[BUCKET]])-1))</f>
        <v>6</v>
      </c>
      <c r="AF126" s="8" t="str">
        <f>RIGHT(MCC_Table[[#This Row],[BUCKET]],1)</f>
        <v>E</v>
      </c>
      <c r="AG126" s="8">
        <f>VLOOKUP(MCC_Table[[#This Row],[START UNIT]],UnitMap[],2,FALSE)</f>
        <v>5</v>
      </c>
      <c r="AH126" s="8">
        <f t="array" ref="AH1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26" s="8">
        <f>IF(ISNUMBER(MCC_Table[[#This Row],[SIZE]]), MCC_Table[[#This Row],[SIZE]]/6, 0)</f>
        <v>4</v>
      </c>
      <c r="AJ126" s="8">
        <f>MCC_Table[[#This Row],[START INDEX]]+MCC_Table[[#This Row],[UNITS USED]]-1</f>
        <v>8</v>
      </c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39" t="s">
        <v>2318</v>
      </c>
      <c r="B127" s="8" t="s">
        <v>2128</v>
      </c>
      <c r="C127" s="24" t="s">
        <v>2349</v>
      </c>
      <c r="D127" s="28" t="s">
        <v>2350</v>
      </c>
      <c r="E127" s="29" t="s">
        <v>2111</v>
      </c>
      <c r="F127" s="8">
        <v>0.5</v>
      </c>
      <c r="G127" s="8">
        <v>1</v>
      </c>
      <c r="H127" s="82">
        <v>2.1</v>
      </c>
      <c r="I127" s="8"/>
      <c r="J127" s="83">
        <f>IF(ISNUMBER(MCC_Table[[#This Row],[SIZE]]), MCC_Table[[#This Row],[SIZE]]/12, 0)</f>
        <v>2</v>
      </c>
      <c r="K127" s="87">
        <v>15</v>
      </c>
      <c r="L127" s="8">
        <v>125</v>
      </c>
      <c r="M127" s="82">
        <v>3</v>
      </c>
      <c r="N127" s="82" t="s">
        <v>2124</v>
      </c>
      <c r="O127" s="236"/>
      <c r="P127" s="85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225" t="s">
        <v>2087</v>
      </c>
      <c r="AC127" s="225" t="s">
        <v>2112</v>
      </c>
      <c r="AD127" s="224" t="s">
        <v>2089</v>
      </c>
      <c r="AE127" s="8">
        <f>_xlfn.NUMBERVALUE(LEFT(MCC_Table[[#This Row],[BUCKET]],LEN(MCC_Table[[#This Row],[BUCKET]])-1))</f>
        <v>6</v>
      </c>
      <c r="AF127" s="8" t="str">
        <f>RIGHT(MCC_Table[[#This Row],[BUCKET]],1)</f>
        <v>J</v>
      </c>
      <c r="AG127" s="8">
        <f>VLOOKUP(MCC_Table[[#This Row],[START UNIT]],UnitMap[],2,FALSE)</f>
        <v>9</v>
      </c>
      <c r="AH127" s="8">
        <f t="array" ref="AH1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27" s="8">
        <f>IF(ISNUMBER(MCC_Table[[#This Row],[SIZE]]), MCC_Table[[#This Row],[SIZE]]/6, 0)</f>
        <v>4</v>
      </c>
      <c r="AJ127" s="8">
        <f>MCC_Table[[#This Row],[START INDEX]]+MCC_Table[[#This Row],[UNITS USED]]-1</f>
        <v>12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39" t="s">
        <v>2318</v>
      </c>
      <c r="B128" s="8" t="s">
        <v>2131</v>
      </c>
      <c r="C128" s="24" t="s">
        <v>2351</v>
      </c>
      <c r="D128" s="28" t="s">
        <v>2352</v>
      </c>
      <c r="E128" s="29" t="s">
        <v>2111</v>
      </c>
      <c r="F128" s="8">
        <v>7.5</v>
      </c>
      <c r="G128" s="8">
        <v>10</v>
      </c>
      <c r="H128" s="82">
        <v>14</v>
      </c>
      <c r="I128" s="8"/>
      <c r="J128" s="83">
        <f>IF(ISNUMBER(MCC_Table[[#This Row],[SIZE]]), MCC_Table[[#This Row],[SIZE]]/12, 0)</f>
        <v>2.5</v>
      </c>
      <c r="K128" s="87">
        <v>30</v>
      </c>
      <c r="L128" s="8">
        <v>125</v>
      </c>
      <c r="M128" s="82">
        <v>25</v>
      </c>
      <c r="N128" s="82" t="s">
        <v>2124</v>
      </c>
      <c r="O128" s="236"/>
      <c r="P128" s="85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225" t="s">
        <v>2087</v>
      </c>
      <c r="AC128" s="225" t="s">
        <v>2112</v>
      </c>
      <c r="AD128" s="224" t="s">
        <v>2089</v>
      </c>
      <c r="AE128" s="8">
        <f>_xlfn.NUMBERVALUE(LEFT(MCC_Table[[#This Row],[BUCKET]],LEN(MCC_Table[[#This Row],[BUCKET]])-1))</f>
        <v>7</v>
      </c>
      <c r="AF128" s="8" t="str">
        <f>RIGHT(MCC_Table[[#This Row],[BUCKET]],1)</f>
        <v>A</v>
      </c>
      <c r="AG128" s="8">
        <f>VLOOKUP(MCC_Table[[#This Row],[START UNIT]],UnitMap[],2,FALSE)</f>
        <v>1</v>
      </c>
      <c r="AH128" s="8">
        <f t="array" ref="AH1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28" s="8">
        <f>IF(ISNUMBER(MCC_Table[[#This Row],[SIZE]]), MCC_Table[[#This Row],[SIZE]]/6, 0)</f>
        <v>5</v>
      </c>
      <c r="AJ128" s="8">
        <f>MCC_Table[[#This Row],[START INDEX]]+MCC_Table[[#This Row],[UNITS USED]]-1</f>
        <v>5</v>
      </c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39" t="s">
        <v>2318</v>
      </c>
      <c r="B129" s="29" t="s">
        <v>2353</v>
      </c>
      <c r="C129" s="24" t="s">
        <v>2103</v>
      </c>
      <c r="D129" s="62" t="s">
        <v>2104</v>
      </c>
      <c r="E129" s="24" t="s">
        <v>2103</v>
      </c>
      <c r="F129" s="8"/>
      <c r="G129" s="8"/>
      <c r="H129" s="82"/>
      <c r="I129" s="8"/>
      <c r="J129" s="83">
        <f>IF(ISNUMBER(MCC_Table[[#This Row],[SIZE]]), MCC_Table[[#This Row],[SIZE]]/12, 0)</f>
        <v>0.5</v>
      </c>
      <c r="K129" s="87"/>
      <c r="L129" s="8"/>
      <c r="M129" s="82"/>
      <c r="N129" s="82"/>
      <c r="O129" s="236"/>
      <c r="P129" s="85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225" t="s">
        <v>2105</v>
      </c>
      <c r="AC129" s="225" t="s">
        <v>2106</v>
      </c>
      <c r="AD129" s="225"/>
      <c r="AE129" s="8">
        <f>_xlfn.NUMBERVALUE(LEFT(MCC_Table[[#This Row],[BUCKET]],LEN(MCC_Table[[#This Row],[BUCKET]])-1))</f>
        <v>7</v>
      </c>
      <c r="AF129" s="8" t="str">
        <f>RIGHT(MCC_Table[[#This Row],[BUCKET]],1)</f>
        <v>F</v>
      </c>
      <c r="AG129" s="8">
        <f>VLOOKUP(MCC_Table[[#This Row],[START UNIT]],UnitMap[],2,FALSE)</f>
        <v>6</v>
      </c>
      <c r="AH129" s="8">
        <f t="array" ref="AH1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29" s="8">
        <f>IF(ISNUMBER(MCC_Table[[#This Row],[SIZE]]), MCC_Table[[#This Row],[SIZE]]/6, 0)</f>
        <v>1</v>
      </c>
      <c r="AJ129" s="8">
        <f>MCC_Table[[#This Row],[START INDEX]]+MCC_Table[[#This Row],[UNITS USED]]-1</f>
        <v>6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39" t="s">
        <v>2318</v>
      </c>
      <c r="B130" s="8" t="s">
        <v>2354</v>
      </c>
      <c r="C130" s="24" t="s">
        <v>1933</v>
      </c>
      <c r="D130" s="28" t="s">
        <v>2355</v>
      </c>
      <c r="E130" s="29" t="s">
        <v>2111</v>
      </c>
      <c r="F130" s="29"/>
      <c r="G130" s="8">
        <v>20</v>
      </c>
      <c r="H130" s="87">
        <v>27</v>
      </c>
      <c r="I130" s="8"/>
      <c r="J130" s="83">
        <f>IF(ISNUMBER(MCC_Table[[#This Row],[SIZE]]), MCC_Table[[#This Row],[SIZE]]/12, 0)</f>
        <v>3</v>
      </c>
      <c r="K130" s="87">
        <v>60</v>
      </c>
      <c r="L130" s="8">
        <v>125</v>
      </c>
      <c r="M130" s="82">
        <v>45</v>
      </c>
      <c r="N130" s="82"/>
      <c r="O130" s="236"/>
      <c r="P130" s="85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225" t="s">
        <v>2087</v>
      </c>
      <c r="AC130" s="225" t="s">
        <v>2112</v>
      </c>
      <c r="AD130" s="224" t="s">
        <v>2089</v>
      </c>
      <c r="AE130" s="8">
        <f>_xlfn.NUMBERVALUE(LEFT(MCC_Table[[#This Row],[BUCKET]],LEN(MCC_Table[[#This Row],[BUCKET]])-1))</f>
        <v>7</v>
      </c>
      <c r="AF130" s="8" t="str">
        <f>RIGHT(MCC_Table[[#This Row],[BUCKET]],1)</f>
        <v>G</v>
      </c>
      <c r="AG130" s="8">
        <f>VLOOKUP(MCC_Table[[#This Row],[START UNIT]],UnitMap[],2,FALSE)</f>
        <v>7</v>
      </c>
      <c r="AH130" s="8">
        <f t="array" ref="AH1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130" s="8">
        <f>IF(ISNUMBER(MCC_Table[[#This Row],[SIZE]]), MCC_Table[[#This Row],[SIZE]]/6, 0)</f>
        <v>6</v>
      </c>
      <c r="AJ130" s="8">
        <f>MCC_Table[[#This Row],[START INDEX]]+MCC_Table[[#This Row],[UNITS USED]]-1</f>
        <v>12</v>
      </c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39" t="s">
        <v>2318</v>
      </c>
      <c r="B131" s="8" t="s">
        <v>2139</v>
      </c>
      <c r="C131" s="24" t="s">
        <v>2356</v>
      </c>
      <c r="D131" s="28" t="s">
        <v>2357</v>
      </c>
      <c r="E131" s="29" t="s">
        <v>2111</v>
      </c>
      <c r="F131" s="8">
        <v>60</v>
      </c>
      <c r="G131" s="8">
        <v>60</v>
      </c>
      <c r="H131" s="82">
        <v>77</v>
      </c>
      <c r="I131" s="8"/>
      <c r="J131" s="83">
        <f>IF(ISNUMBER(MCC_Table[[#This Row],[SIZE]]), MCC_Table[[#This Row],[SIZE]]/12, 0)</f>
        <v>6</v>
      </c>
      <c r="K131" s="87">
        <v>200</v>
      </c>
      <c r="L131" s="8">
        <v>250</v>
      </c>
      <c r="M131" s="82">
        <v>125</v>
      </c>
      <c r="N131" s="82" t="s">
        <v>2358</v>
      </c>
      <c r="O131" s="236"/>
      <c r="P131" s="85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225" t="s">
        <v>2087</v>
      </c>
      <c r="AC131" s="225" t="s">
        <v>2112</v>
      </c>
      <c r="AD131" s="224" t="s">
        <v>2089</v>
      </c>
      <c r="AE131" s="8">
        <f>_xlfn.NUMBERVALUE(LEFT(MCC_Table[[#This Row],[BUCKET]],LEN(MCC_Table[[#This Row],[BUCKET]])-1))</f>
        <v>8</v>
      </c>
      <c r="AF131" s="8" t="str">
        <f>RIGHT(MCC_Table[[#This Row],[BUCKET]],1)</f>
        <v>A</v>
      </c>
      <c r="AG131" s="8">
        <f>VLOOKUP(MCC_Table[[#This Row],[START UNIT]],UnitMap[],2,FALSE)</f>
        <v>1</v>
      </c>
      <c r="AH131" s="8">
        <f t="array" ref="AH1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31" s="8">
        <f>IF(ISNUMBER(MCC_Table[[#This Row],[SIZE]]), MCC_Table[[#This Row],[SIZE]]/6, 0)</f>
        <v>12</v>
      </c>
      <c r="AJ131" s="8">
        <f>MCC_Table[[#This Row],[START INDEX]]+MCC_Table[[#This Row],[UNITS USED]]-1</f>
        <v>12</v>
      </c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39" t="s">
        <v>2318</v>
      </c>
      <c r="B132" s="8" t="s">
        <v>2147</v>
      </c>
      <c r="C132" s="24" t="s">
        <v>2359</v>
      </c>
      <c r="D132" s="28" t="s">
        <v>2360</v>
      </c>
      <c r="E132" s="29" t="s">
        <v>2111</v>
      </c>
      <c r="F132" s="8">
        <v>60</v>
      </c>
      <c r="G132" s="8">
        <v>60</v>
      </c>
      <c r="H132" s="82">
        <v>77</v>
      </c>
      <c r="I132" s="8"/>
      <c r="J132" s="83">
        <f>IF(ISNUMBER(MCC_Table[[#This Row],[SIZE]]), MCC_Table[[#This Row],[SIZE]]/12, 0)</f>
        <v>6</v>
      </c>
      <c r="K132" s="87">
        <v>200</v>
      </c>
      <c r="L132" s="8">
        <v>250</v>
      </c>
      <c r="M132" s="82">
        <v>125</v>
      </c>
      <c r="N132" s="82" t="s">
        <v>2358</v>
      </c>
      <c r="O132" s="236"/>
      <c r="P132" s="85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225" t="s">
        <v>2087</v>
      </c>
      <c r="AC132" s="225" t="s">
        <v>2112</v>
      </c>
      <c r="AD132" s="224" t="s">
        <v>2089</v>
      </c>
      <c r="AE132" s="8">
        <f>_xlfn.NUMBERVALUE(LEFT(MCC_Table[[#This Row],[BUCKET]],LEN(MCC_Table[[#This Row],[BUCKET]])-1))</f>
        <v>9</v>
      </c>
      <c r="AF132" s="8" t="str">
        <f>RIGHT(MCC_Table[[#This Row],[BUCKET]],1)</f>
        <v>A</v>
      </c>
      <c r="AG132" s="8">
        <f>VLOOKUP(MCC_Table[[#This Row],[START UNIT]],UnitMap[],2,FALSE)</f>
        <v>1</v>
      </c>
      <c r="AH132" s="8">
        <f t="array" ref="AH1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32" s="8">
        <f>IF(ISNUMBER(MCC_Table[[#This Row],[SIZE]]), MCC_Table[[#This Row],[SIZE]]/6, 0)</f>
        <v>12</v>
      </c>
      <c r="AJ132" s="8">
        <f>MCC_Table[[#This Row],[START INDEX]]+MCC_Table[[#This Row],[UNITS USED]]-1</f>
        <v>12</v>
      </c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39" t="s">
        <v>2318</v>
      </c>
      <c r="B133" s="8" t="s">
        <v>2154</v>
      </c>
      <c r="C133" s="24" t="s">
        <v>2361</v>
      </c>
      <c r="D133" s="28" t="s">
        <v>2362</v>
      </c>
      <c r="E133" s="29" t="s">
        <v>2111</v>
      </c>
      <c r="F133" s="8">
        <v>60</v>
      </c>
      <c r="G133" s="8">
        <v>60</v>
      </c>
      <c r="H133" s="82">
        <v>77</v>
      </c>
      <c r="I133" s="8"/>
      <c r="J133" s="83">
        <f>IF(ISNUMBER(MCC_Table[[#This Row],[SIZE]]), MCC_Table[[#This Row],[SIZE]]/12, 0)</f>
        <v>6</v>
      </c>
      <c r="K133" s="87">
        <v>200</v>
      </c>
      <c r="L133" s="8">
        <v>250</v>
      </c>
      <c r="M133" s="82">
        <v>125</v>
      </c>
      <c r="N133" s="82" t="s">
        <v>2358</v>
      </c>
      <c r="O133" s="236"/>
      <c r="P133" s="85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225" t="s">
        <v>2087</v>
      </c>
      <c r="AC133" s="225" t="s">
        <v>2112</v>
      </c>
      <c r="AD133" s="224" t="s">
        <v>2089</v>
      </c>
      <c r="AE133" s="8">
        <f>_xlfn.NUMBERVALUE(LEFT(MCC_Table[[#This Row],[BUCKET]],LEN(MCC_Table[[#This Row],[BUCKET]])-1))</f>
        <v>10</v>
      </c>
      <c r="AF133" s="8" t="str">
        <f>RIGHT(MCC_Table[[#This Row],[BUCKET]],1)</f>
        <v>A</v>
      </c>
      <c r="AG133" s="8">
        <f>VLOOKUP(MCC_Table[[#This Row],[START UNIT]],UnitMap[],2,FALSE)</f>
        <v>1</v>
      </c>
      <c r="AH133" s="8">
        <f t="array" ref="AH1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33" s="8">
        <f>IF(ISNUMBER(MCC_Table[[#This Row],[SIZE]]), MCC_Table[[#This Row],[SIZE]]/6, 0)</f>
        <v>12</v>
      </c>
      <c r="AJ133" s="8">
        <f>MCC_Table[[#This Row],[START INDEX]]+MCC_Table[[#This Row],[UNITS USED]]-1</f>
        <v>12</v>
      </c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39" t="s">
        <v>2318</v>
      </c>
      <c r="B134" s="8" t="s">
        <v>2161</v>
      </c>
      <c r="C134" s="24" t="s">
        <v>2363</v>
      </c>
      <c r="D134" s="28" t="s">
        <v>2364</v>
      </c>
      <c r="E134" s="29" t="s">
        <v>2111</v>
      </c>
      <c r="F134" s="8">
        <v>60</v>
      </c>
      <c r="G134" s="8">
        <v>60</v>
      </c>
      <c r="H134" s="82">
        <v>77</v>
      </c>
      <c r="I134" s="8"/>
      <c r="J134" s="83">
        <f>IF(ISNUMBER(MCC_Table[[#This Row],[SIZE]]), MCC_Table[[#This Row],[SIZE]]/12, 0)</f>
        <v>6</v>
      </c>
      <c r="K134" s="87">
        <v>200</v>
      </c>
      <c r="L134" s="8">
        <v>250</v>
      </c>
      <c r="M134" s="82">
        <v>125</v>
      </c>
      <c r="N134" s="82" t="s">
        <v>2358</v>
      </c>
      <c r="O134" s="236"/>
      <c r="P134" s="85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225" t="s">
        <v>2087</v>
      </c>
      <c r="AC134" s="225" t="s">
        <v>2112</v>
      </c>
      <c r="AD134" s="224" t="s">
        <v>2089</v>
      </c>
      <c r="AE134" s="8">
        <f>_xlfn.NUMBERVALUE(LEFT(MCC_Table[[#This Row],[BUCKET]],LEN(MCC_Table[[#This Row],[BUCKET]])-1))</f>
        <v>11</v>
      </c>
      <c r="AF134" s="8" t="str">
        <f>RIGHT(MCC_Table[[#This Row],[BUCKET]],1)</f>
        <v>A</v>
      </c>
      <c r="AG134" s="8">
        <f>VLOOKUP(MCC_Table[[#This Row],[START UNIT]],UnitMap[],2,FALSE)</f>
        <v>1</v>
      </c>
      <c r="AH134" s="8">
        <f t="array" ref="AH1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34" s="8">
        <f>IF(ISNUMBER(MCC_Table[[#This Row],[SIZE]]), MCC_Table[[#This Row],[SIZE]]/6, 0)</f>
        <v>12</v>
      </c>
      <c r="AJ134" s="8">
        <f>MCC_Table[[#This Row],[START INDEX]]+MCC_Table[[#This Row],[UNITS USED]]-1</f>
        <v>12</v>
      </c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39" t="s">
        <v>2318</v>
      </c>
      <c r="B135" s="8" t="s">
        <v>2168</v>
      </c>
      <c r="C135" s="24" t="s">
        <v>2365</v>
      </c>
      <c r="D135" s="28" t="s">
        <v>2366</v>
      </c>
      <c r="E135" s="29" t="s">
        <v>2111</v>
      </c>
      <c r="F135" s="8">
        <v>60</v>
      </c>
      <c r="G135" s="8">
        <v>60</v>
      </c>
      <c r="H135" s="82">
        <v>77</v>
      </c>
      <c r="I135" s="8"/>
      <c r="J135" s="83">
        <f>IF(ISNUMBER(MCC_Table[[#This Row],[SIZE]]), MCC_Table[[#This Row],[SIZE]]/12, 0)</f>
        <v>6</v>
      </c>
      <c r="K135" s="87">
        <v>200</v>
      </c>
      <c r="L135" s="8">
        <v>250</v>
      </c>
      <c r="M135" s="82">
        <v>125</v>
      </c>
      <c r="N135" s="82" t="s">
        <v>2358</v>
      </c>
      <c r="O135" s="236"/>
      <c r="P135" s="85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225" t="s">
        <v>2087</v>
      </c>
      <c r="AC135" s="225" t="s">
        <v>2112</v>
      </c>
      <c r="AD135" s="224" t="s">
        <v>2089</v>
      </c>
      <c r="AE135" s="8">
        <f>_xlfn.NUMBERVALUE(LEFT(MCC_Table[[#This Row],[BUCKET]],LEN(MCC_Table[[#This Row],[BUCKET]])-1))</f>
        <v>12</v>
      </c>
      <c r="AF135" s="8" t="str">
        <f>RIGHT(MCC_Table[[#This Row],[BUCKET]],1)</f>
        <v>A</v>
      </c>
      <c r="AG135" s="8">
        <f>VLOOKUP(MCC_Table[[#This Row],[START UNIT]],UnitMap[],2,FALSE)</f>
        <v>1</v>
      </c>
      <c r="AH135" s="8">
        <f t="array" ref="AH1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35" s="8">
        <f>IF(ISNUMBER(MCC_Table[[#This Row],[SIZE]]), MCC_Table[[#This Row],[SIZE]]/6, 0)</f>
        <v>12</v>
      </c>
      <c r="AJ135" s="8">
        <f>MCC_Table[[#This Row],[START INDEX]]+MCC_Table[[#This Row],[UNITS USED]]-1</f>
        <v>12</v>
      </c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39" t="s">
        <v>2318</v>
      </c>
      <c r="B136" s="8" t="s">
        <v>2176</v>
      </c>
      <c r="C136" s="24" t="s">
        <v>2103</v>
      </c>
      <c r="D136" s="28" t="s">
        <v>2143</v>
      </c>
      <c r="E136" s="29" t="s">
        <v>2103</v>
      </c>
      <c r="F136" s="8"/>
      <c r="G136" s="8"/>
      <c r="H136" s="87"/>
      <c r="I136" s="8"/>
      <c r="J136" s="83">
        <f>IF(ISNUMBER(MCC_Table[[#This Row],[SIZE]]), MCC_Table[[#This Row],[SIZE]]/12, 0)</f>
        <v>1</v>
      </c>
      <c r="K136" s="87">
        <v>60</v>
      </c>
      <c r="L136" s="8">
        <v>125</v>
      </c>
      <c r="M136" s="82">
        <v>45</v>
      </c>
      <c r="N136" s="82"/>
      <c r="O136" s="236"/>
      <c r="P136" s="85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225" t="s">
        <v>2105</v>
      </c>
      <c r="AC136" s="225" t="s">
        <v>2106</v>
      </c>
      <c r="AD136" s="225"/>
      <c r="AE136" s="8">
        <f>_xlfn.NUMBERVALUE(LEFT(MCC_Table[[#This Row],[BUCKET]],LEN(MCC_Table[[#This Row],[BUCKET]])-1))</f>
        <v>13</v>
      </c>
      <c r="AF136" s="8" t="str">
        <f>RIGHT(MCC_Table[[#This Row],[BUCKET]],1)</f>
        <v>A</v>
      </c>
      <c r="AG136" s="8">
        <f>VLOOKUP(MCC_Table[[#This Row],[START UNIT]],UnitMap[],2,FALSE)</f>
        <v>1</v>
      </c>
      <c r="AH136" s="8">
        <f t="array" ref="AH1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36" s="8">
        <f>IF(ISNUMBER(MCC_Table[[#This Row],[SIZE]]), MCC_Table[[#This Row],[SIZE]]/6, 0)</f>
        <v>2</v>
      </c>
      <c r="AJ136" s="8">
        <f>MCC_Table[[#This Row],[START INDEX]]+MCC_Table[[#This Row],[UNITS USED]]-1</f>
        <v>2</v>
      </c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39" t="s">
        <v>2318</v>
      </c>
      <c r="B137" s="8" t="s">
        <v>2179</v>
      </c>
      <c r="C137" s="24" t="s">
        <v>2103</v>
      </c>
      <c r="D137" s="28" t="s">
        <v>2143</v>
      </c>
      <c r="E137" s="29" t="s">
        <v>2103</v>
      </c>
      <c r="F137" s="8"/>
      <c r="G137" s="8"/>
      <c r="H137" s="87"/>
      <c r="I137" s="8"/>
      <c r="J137" s="83">
        <f>IF(ISNUMBER(MCC_Table[[#This Row],[SIZE]]), MCC_Table[[#This Row],[SIZE]]/12, 0)</f>
        <v>1</v>
      </c>
      <c r="K137" s="87">
        <v>60</v>
      </c>
      <c r="L137" s="8">
        <v>125</v>
      </c>
      <c r="M137" s="82">
        <v>45</v>
      </c>
      <c r="N137" s="82"/>
      <c r="O137" s="236"/>
      <c r="P137" s="85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225" t="s">
        <v>2105</v>
      </c>
      <c r="AC137" s="225" t="s">
        <v>2106</v>
      </c>
      <c r="AD137" s="225"/>
      <c r="AE137" s="8">
        <f>_xlfn.NUMBERVALUE(LEFT(MCC_Table[[#This Row],[BUCKET]],LEN(MCC_Table[[#This Row],[BUCKET]])-1))</f>
        <v>13</v>
      </c>
      <c r="AF137" s="8" t="str">
        <f>RIGHT(MCC_Table[[#This Row],[BUCKET]],1)</f>
        <v>C</v>
      </c>
      <c r="AG137" s="8">
        <f>VLOOKUP(MCC_Table[[#This Row],[START UNIT]],UnitMap[],2,FALSE)</f>
        <v>3</v>
      </c>
      <c r="AH137" s="8">
        <f t="array" ref="AH1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37" s="8">
        <f>IF(ISNUMBER(MCC_Table[[#This Row],[SIZE]]), MCC_Table[[#This Row],[SIZE]]/6, 0)</f>
        <v>2</v>
      </c>
      <c r="AJ137" s="8">
        <f>MCC_Table[[#This Row],[START INDEX]]+MCC_Table[[#This Row],[UNITS USED]]-1</f>
        <v>4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39" t="s">
        <v>2318</v>
      </c>
      <c r="B138" s="8" t="s">
        <v>2367</v>
      </c>
      <c r="C138" s="8" t="s">
        <v>2368</v>
      </c>
      <c r="D138" s="103" t="s">
        <v>2369</v>
      </c>
      <c r="E138" s="29" t="s">
        <v>2111</v>
      </c>
      <c r="F138" s="8">
        <v>1</v>
      </c>
      <c r="G138" s="8">
        <v>2</v>
      </c>
      <c r="H138" s="82">
        <v>3.4</v>
      </c>
      <c r="I138" s="8"/>
      <c r="J138" s="83">
        <f>IF(ISNUMBER(MCC_Table[[#This Row],[SIZE]]), MCC_Table[[#This Row],[SIZE]]/12, 0)</f>
        <v>2</v>
      </c>
      <c r="K138" s="87">
        <v>15</v>
      </c>
      <c r="L138" s="8">
        <v>125</v>
      </c>
      <c r="M138" s="82">
        <v>6</v>
      </c>
      <c r="N138" s="82" t="s">
        <v>2124</v>
      </c>
      <c r="O138" s="236"/>
      <c r="P138" s="85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225" t="s">
        <v>2087</v>
      </c>
      <c r="AC138" s="225" t="s">
        <v>2112</v>
      </c>
      <c r="AD138" s="224" t="s">
        <v>2089</v>
      </c>
      <c r="AE138" s="8">
        <f>_xlfn.NUMBERVALUE(LEFT(MCC_Table[[#This Row],[BUCKET]],LEN(MCC_Table[[#This Row],[BUCKET]])-1))</f>
        <v>13</v>
      </c>
      <c r="AF138" s="8" t="str">
        <f>RIGHT(MCC_Table[[#This Row],[BUCKET]],1)</f>
        <v>E</v>
      </c>
      <c r="AG138" s="8">
        <f>VLOOKUP(MCC_Table[[#This Row],[START UNIT]],UnitMap[],2,FALSE)</f>
        <v>5</v>
      </c>
      <c r="AH138" s="8">
        <f t="array" ref="AH1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38" s="8">
        <f>IF(ISNUMBER(MCC_Table[[#This Row],[SIZE]]), MCC_Table[[#This Row],[SIZE]]/6, 0)</f>
        <v>4</v>
      </c>
      <c r="AJ138" s="8">
        <f>MCC_Table[[#This Row],[START INDEX]]+MCC_Table[[#This Row],[UNITS USED]]-1</f>
        <v>8</v>
      </c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39" t="s">
        <v>2318</v>
      </c>
      <c r="B139" s="8" t="s">
        <v>2183</v>
      </c>
      <c r="C139" s="8" t="s">
        <v>2370</v>
      </c>
      <c r="D139" s="103" t="s">
        <v>2371</v>
      </c>
      <c r="E139" s="29" t="s">
        <v>2111</v>
      </c>
      <c r="F139" s="8">
        <v>1</v>
      </c>
      <c r="G139" s="8">
        <v>2</v>
      </c>
      <c r="H139" s="82">
        <v>3.4</v>
      </c>
      <c r="I139" s="8"/>
      <c r="J139" s="83">
        <f>IF(ISNUMBER(MCC_Table[[#This Row],[SIZE]]), MCC_Table[[#This Row],[SIZE]]/12, 0)</f>
        <v>2</v>
      </c>
      <c r="K139" s="87">
        <v>15</v>
      </c>
      <c r="L139" s="8">
        <v>125</v>
      </c>
      <c r="M139" s="82">
        <v>6</v>
      </c>
      <c r="N139" s="82" t="s">
        <v>2124</v>
      </c>
      <c r="O139" s="236"/>
      <c r="P139" s="85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225" t="s">
        <v>2087</v>
      </c>
      <c r="AC139" s="225" t="s">
        <v>2112</v>
      </c>
      <c r="AD139" s="224" t="s">
        <v>2089</v>
      </c>
      <c r="AE139" s="8">
        <f>_xlfn.NUMBERVALUE(LEFT(MCC_Table[[#This Row],[BUCKET]],LEN(MCC_Table[[#This Row],[BUCKET]])-1))</f>
        <v>13</v>
      </c>
      <c r="AF139" s="8" t="str">
        <f>RIGHT(MCC_Table[[#This Row],[BUCKET]],1)</f>
        <v>J</v>
      </c>
      <c r="AG139" s="8">
        <f>VLOOKUP(MCC_Table[[#This Row],[START UNIT]],UnitMap[],2,FALSE)</f>
        <v>9</v>
      </c>
      <c r="AH139" s="8">
        <f t="array" ref="AH1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39" s="8">
        <f>IF(ISNUMBER(MCC_Table[[#This Row],[SIZE]]), MCC_Table[[#This Row],[SIZE]]/6, 0)</f>
        <v>4</v>
      </c>
      <c r="AJ139" s="8">
        <f>MCC_Table[[#This Row],[START INDEX]]+MCC_Table[[#This Row],[UNITS USED]]-1</f>
        <v>12</v>
      </c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  <row r="140" spans="1:57" x14ac:dyDescent="0.25">
      <c r="A140" s="39" t="s">
        <v>2318</v>
      </c>
      <c r="B140" s="29" t="s">
        <v>2186</v>
      </c>
      <c r="C140" s="24" t="s">
        <v>1933</v>
      </c>
      <c r="D140" s="62" t="s">
        <v>2322</v>
      </c>
      <c r="E140" s="24" t="s">
        <v>1933</v>
      </c>
      <c r="F140" s="8"/>
      <c r="G140" s="8">
        <v>1</v>
      </c>
      <c r="H140" s="82">
        <v>2.1</v>
      </c>
      <c r="I140" s="8"/>
      <c r="J140" s="80">
        <f>IF(ISNUMBER(MCC_Table[[#This Row],[SIZE]]), MCC_Table[[#This Row],[SIZE]]/12, 0)</f>
        <v>2</v>
      </c>
      <c r="K140" s="87"/>
      <c r="L140" s="8"/>
      <c r="M140" s="82"/>
      <c r="N140" s="82"/>
      <c r="O140" s="236"/>
      <c r="P140" s="78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225" t="s">
        <v>2094</v>
      </c>
      <c r="AC140" s="225" t="s">
        <v>2226</v>
      </c>
      <c r="AD140" s="225"/>
      <c r="AE140" s="29">
        <f>_xlfn.NUMBERVALUE(LEFT(MCC_Table[[#This Row],[BUCKET]],LEN(MCC_Table[[#This Row],[BUCKET]])-1))</f>
        <v>14</v>
      </c>
      <c r="AF140" s="29" t="str">
        <f>RIGHT(MCC_Table[[#This Row],[BUCKET]],1)</f>
        <v>A</v>
      </c>
      <c r="AG140" s="29">
        <f>VLOOKUP(MCC_Table[[#This Row],[START UNIT]],UnitMap[],2,FALSE)</f>
        <v>1</v>
      </c>
      <c r="AH140" s="29">
        <f t="array" ref="AH1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0" s="29">
        <f>IF(ISNUMBER(MCC_Table[[#This Row],[SIZE]]), MCC_Table[[#This Row],[SIZE]]/6, 0)</f>
        <v>4</v>
      </c>
      <c r="AJ140" s="29">
        <f>MCC_Table[[#This Row],[START INDEX]]+MCC_Table[[#This Row],[UNITS USED]]-1</f>
        <v>4</v>
      </c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</row>
    <row r="141" spans="1:57" x14ac:dyDescent="0.25">
      <c r="A141" s="39" t="s">
        <v>2318</v>
      </c>
      <c r="B141" s="29" t="s">
        <v>2189</v>
      </c>
      <c r="C141" s="24" t="s">
        <v>1933</v>
      </c>
      <c r="D141" s="62" t="s">
        <v>2322</v>
      </c>
      <c r="E141" s="24" t="s">
        <v>1933</v>
      </c>
      <c r="F141" s="8"/>
      <c r="G141" s="8">
        <v>1</v>
      </c>
      <c r="H141" s="82">
        <v>2.1</v>
      </c>
      <c r="I141" s="8"/>
      <c r="J141" s="80">
        <f>IF(ISNUMBER(MCC_Table[[#This Row],[SIZE]]), MCC_Table[[#This Row],[SIZE]]/12, 0)</f>
        <v>2</v>
      </c>
      <c r="K141" s="87"/>
      <c r="L141" s="8"/>
      <c r="M141" s="82"/>
      <c r="N141" s="82"/>
      <c r="O141" s="236"/>
      <c r="P141" s="78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225" t="s">
        <v>2094</v>
      </c>
      <c r="AC141" s="225" t="s">
        <v>2226</v>
      </c>
      <c r="AD141" s="225"/>
      <c r="AE141" s="29">
        <f>_xlfn.NUMBERVALUE(LEFT(MCC_Table[[#This Row],[BUCKET]],LEN(MCC_Table[[#This Row],[BUCKET]])-1))</f>
        <v>14</v>
      </c>
      <c r="AF141" s="29" t="str">
        <f>RIGHT(MCC_Table[[#This Row],[BUCKET]],1)</f>
        <v>E</v>
      </c>
      <c r="AG141" s="29">
        <f>VLOOKUP(MCC_Table[[#This Row],[START UNIT]],UnitMap[],2,FALSE)</f>
        <v>5</v>
      </c>
      <c r="AH141" s="29">
        <f t="array" ref="AH1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1" s="29">
        <f>IF(ISNUMBER(MCC_Table[[#This Row],[SIZE]]), MCC_Table[[#This Row],[SIZE]]/6, 0)</f>
        <v>4</v>
      </c>
      <c r="AJ141" s="29">
        <f>MCC_Table[[#This Row],[START INDEX]]+MCC_Table[[#This Row],[UNITS USED]]-1</f>
        <v>8</v>
      </c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</row>
    <row r="142" spans="1:57" x14ac:dyDescent="0.25">
      <c r="A142" s="39" t="s">
        <v>2318</v>
      </c>
      <c r="B142" s="29" t="s">
        <v>2192</v>
      </c>
      <c r="C142" s="24" t="s">
        <v>1933</v>
      </c>
      <c r="D142" s="62" t="s">
        <v>2322</v>
      </c>
      <c r="E142" s="24" t="s">
        <v>1933</v>
      </c>
      <c r="F142" s="8"/>
      <c r="G142" s="8">
        <v>1</v>
      </c>
      <c r="H142" s="82">
        <v>2.1</v>
      </c>
      <c r="I142" s="8"/>
      <c r="J142" s="80">
        <f>IF(ISNUMBER(MCC_Table[[#This Row],[SIZE]]), MCC_Table[[#This Row],[SIZE]]/12, 0)</f>
        <v>2</v>
      </c>
      <c r="K142" s="87"/>
      <c r="L142" s="8"/>
      <c r="M142" s="82"/>
      <c r="N142" s="82"/>
      <c r="O142" s="236"/>
      <c r="P142" s="78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225" t="s">
        <v>2094</v>
      </c>
      <c r="AC142" s="225" t="s">
        <v>2226</v>
      </c>
      <c r="AD142" s="225"/>
      <c r="AE142" s="29">
        <f>_xlfn.NUMBERVALUE(LEFT(MCC_Table[[#This Row],[BUCKET]],LEN(MCC_Table[[#This Row],[BUCKET]])-1))</f>
        <v>14</v>
      </c>
      <c r="AF142" s="29" t="str">
        <f>RIGHT(MCC_Table[[#This Row],[BUCKET]],1)</f>
        <v>J</v>
      </c>
      <c r="AG142" s="29">
        <f>VLOOKUP(MCC_Table[[#This Row],[START UNIT]],UnitMap[],2,FALSE)</f>
        <v>9</v>
      </c>
      <c r="AH142" s="29">
        <f t="array" ref="AH1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2" s="29">
        <f>IF(ISNUMBER(MCC_Table[[#This Row],[SIZE]]), MCC_Table[[#This Row],[SIZE]]/6, 0)</f>
        <v>4</v>
      </c>
      <c r="AJ142" s="29">
        <f>MCC_Table[[#This Row],[START INDEX]]+MCC_Table[[#This Row],[UNITS USED]]-1</f>
        <v>12</v>
      </c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</row>
    <row r="143" spans="1:57" x14ac:dyDescent="0.25">
      <c r="A143" s="39" t="s">
        <v>2318</v>
      </c>
      <c r="B143" s="8" t="s">
        <v>2195</v>
      </c>
      <c r="C143" s="24" t="s">
        <v>2372</v>
      </c>
      <c r="D143" s="28" t="s">
        <v>2373</v>
      </c>
      <c r="E143" s="29" t="s">
        <v>2111</v>
      </c>
      <c r="F143" s="8">
        <v>0.5</v>
      </c>
      <c r="G143" s="8">
        <v>1</v>
      </c>
      <c r="H143" s="82">
        <v>2.1</v>
      </c>
      <c r="I143" s="8"/>
      <c r="J143" s="83">
        <f>IF(ISNUMBER(MCC_Table[[#This Row],[SIZE]]), MCC_Table[[#This Row],[SIZE]]/12, 0)</f>
        <v>2</v>
      </c>
      <c r="K143" s="87">
        <v>15</v>
      </c>
      <c r="L143" s="8">
        <v>125</v>
      </c>
      <c r="M143" s="82">
        <v>3</v>
      </c>
      <c r="N143" s="82" t="s">
        <v>2124</v>
      </c>
      <c r="O143" s="236"/>
      <c r="P143" s="85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225" t="s">
        <v>2087</v>
      </c>
      <c r="AC143" s="225" t="s">
        <v>2112</v>
      </c>
      <c r="AD143" s="224" t="s">
        <v>2089</v>
      </c>
      <c r="AE143" s="8">
        <f>_xlfn.NUMBERVALUE(LEFT(MCC_Table[[#This Row],[BUCKET]],LEN(MCC_Table[[#This Row],[BUCKET]])-1))</f>
        <v>15</v>
      </c>
      <c r="AF143" s="8" t="str">
        <f>RIGHT(MCC_Table[[#This Row],[BUCKET]],1)</f>
        <v>A</v>
      </c>
      <c r="AG143" s="8">
        <f>VLOOKUP(MCC_Table[[#This Row],[START UNIT]],UnitMap[],2,FALSE)</f>
        <v>1</v>
      </c>
      <c r="AH143" s="8">
        <f t="array" ref="AH1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3" s="8">
        <f>IF(ISNUMBER(MCC_Table[[#This Row],[SIZE]]), MCC_Table[[#This Row],[SIZE]]/6, 0)</f>
        <v>4</v>
      </c>
      <c r="AJ143" s="8">
        <f>MCC_Table[[#This Row],[START INDEX]]+MCC_Table[[#This Row],[UNITS USED]]-1</f>
        <v>4</v>
      </c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</row>
    <row r="144" spans="1:57" x14ac:dyDescent="0.25">
      <c r="A144" s="39" t="s">
        <v>2318</v>
      </c>
      <c r="B144" s="8" t="s">
        <v>2374</v>
      </c>
      <c r="C144" s="24" t="s">
        <v>2375</v>
      </c>
      <c r="D144" s="28" t="s">
        <v>2376</v>
      </c>
      <c r="E144" s="29" t="s">
        <v>2111</v>
      </c>
      <c r="F144" s="8">
        <v>0.5</v>
      </c>
      <c r="G144" s="8">
        <v>1</v>
      </c>
      <c r="H144" s="82">
        <v>2.1</v>
      </c>
      <c r="I144" s="8"/>
      <c r="J144" s="83">
        <f>IF(ISNUMBER(MCC_Table[[#This Row],[SIZE]]), MCC_Table[[#This Row],[SIZE]]/12, 0)</f>
        <v>2</v>
      </c>
      <c r="K144" s="87">
        <v>15</v>
      </c>
      <c r="L144" s="8">
        <v>125</v>
      </c>
      <c r="M144" s="82">
        <v>3</v>
      </c>
      <c r="N144" s="82" t="s">
        <v>2124</v>
      </c>
      <c r="O144" s="236"/>
      <c r="P144" s="85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225" t="s">
        <v>2087</v>
      </c>
      <c r="AC144" s="225" t="s">
        <v>2112</v>
      </c>
      <c r="AD144" s="224" t="s">
        <v>2089</v>
      </c>
      <c r="AE144" s="8">
        <f>_xlfn.NUMBERVALUE(LEFT(MCC_Table[[#This Row],[BUCKET]],LEN(MCC_Table[[#This Row],[BUCKET]])-1))</f>
        <v>15</v>
      </c>
      <c r="AF144" s="8" t="str">
        <f>RIGHT(MCC_Table[[#This Row],[BUCKET]],1)</f>
        <v>E</v>
      </c>
      <c r="AG144" s="8">
        <f>VLOOKUP(MCC_Table[[#This Row],[START UNIT]],UnitMap[],2,FALSE)</f>
        <v>5</v>
      </c>
      <c r="AH144" s="8">
        <f t="array" ref="AH1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4" s="8">
        <f>IF(ISNUMBER(MCC_Table[[#This Row],[SIZE]]), MCC_Table[[#This Row],[SIZE]]/6, 0)</f>
        <v>4</v>
      </c>
      <c r="AJ144" s="8">
        <f>MCC_Table[[#This Row],[START INDEX]]+MCC_Table[[#This Row],[UNITS USED]]-1</f>
        <v>8</v>
      </c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</row>
    <row r="145" spans="1:57" x14ac:dyDescent="0.25">
      <c r="A145" s="39" t="s">
        <v>2318</v>
      </c>
      <c r="B145" s="8" t="s">
        <v>2296</v>
      </c>
      <c r="C145" s="24" t="s">
        <v>2377</v>
      </c>
      <c r="D145" s="28" t="s">
        <v>2378</v>
      </c>
      <c r="E145" s="29" t="s">
        <v>2111</v>
      </c>
      <c r="F145" s="8">
        <v>0.5</v>
      </c>
      <c r="G145" s="8">
        <v>1</v>
      </c>
      <c r="H145" s="82">
        <v>2.1</v>
      </c>
      <c r="I145" s="8"/>
      <c r="J145" s="83">
        <f>IF(ISNUMBER(MCC_Table[[#This Row],[SIZE]]), MCC_Table[[#This Row],[SIZE]]/12, 0)</f>
        <v>2</v>
      </c>
      <c r="K145" s="87">
        <v>15</v>
      </c>
      <c r="L145" s="8">
        <v>125</v>
      </c>
      <c r="M145" s="82">
        <v>3</v>
      </c>
      <c r="N145" s="82" t="s">
        <v>2124</v>
      </c>
      <c r="O145" s="236"/>
      <c r="P145" s="85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225" t="s">
        <v>2087</v>
      </c>
      <c r="AC145" s="225" t="s">
        <v>2112</v>
      </c>
      <c r="AD145" s="224" t="s">
        <v>2089</v>
      </c>
      <c r="AE145" s="8">
        <f>_xlfn.NUMBERVALUE(LEFT(MCC_Table[[#This Row],[BUCKET]],LEN(MCC_Table[[#This Row],[BUCKET]])-1))</f>
        <v>15</v>
      </c>
      <c r="AF145" s="8" t="str">
        <f>RIGHT(MCC_Table[[#This Row],[BUCKET]],1)</f>
        <v>J</v>
      </c>
      <c r="AG145" s="8">
        <f>VLOOKUP(MCC_Table[[#This Row],[START UNIT]],UnitMap[],2,FALSE)</f>
        <v>9</v>
      </c>
      <c r="AH145" s="8">
        <f t="array" ref="AH1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5" s="8">
        <f>IF(ISNUMBER(MCC_Table[[#This Row],[SIZE]]), MCC_Table[[#This Row],[SIZE]]/6, 0)</f>
        <v>4</v>
      </c>
      <c r="AJ145" s="8">
        <f>MCC_Table[[#This Row],[START INDEX]]+MCC_Table[[#This Row],[UNITS USED]]-1</f>
        <v>12</v>
      </c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</row>
    <row r="146" spans="1:57" x14ac:dyDescent="0.25">
      <c r="A146" s="39" t="s">
        <v>2318</v>
      </c>
      <c r="B146" s="29" t="s">
        <v>2202</v>
      </c>
      <c r="C146" s="24" t="s">
        <v>2379</v>
      </c>
      <c r="D146" s="62" t="s">
        <v>2224</v>
      </c>
      <c r="E146" s="24" t="s">
        <v>2225</v>
      </c>
      <c r="F146" s="8"/>
      <c r="G146" s="8"/>
      <c r="H146" s="82"/>
      <c r="I146" s="8"/>
      <c r="J146" s="80">
        <f>IF(ISNUMBER(MCC_Table[[#This Row],[SIZE]]), MCC_Table[[#This Row],[SIZE]]/12, 0)</f>
        <v>1</v>
      </c>
      <c r="K146" s="87"/>
      <c r="L146" s="8"/>
      <c r="M146" s="82"/>
      <c r="N146" s="82"/>
      <c r="O146" s="236"/>
      <c r="P146" s="78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225" t="s">
        <v>2094</v>
      </c>
      <c r="AC146" s="225" t="s">
        <v>2226</v>
      </c>
      <c r="AD146" s="225"/>
      <c r="AE146" s="29">
        <f>_xlfn.NUMBERVALUE(LEFT(MCC_Table[[#This Row],[BUCKET]],LEN(MCC_Table[[#This Row],[BUCKET]])-1))</f>
        <v>16</v>
      </c>
      <c r="AF146" s="29" t="str">
        <f>RIGHT(MCC_Table[[#This Row],[BUCKET]],1)</f>
        <v>A</v>
      </c>
      <c r="AG146" s="29">
        <f>VLOOKUP(MCC_Table[[#This Row],[START UNIT]],UnitMap[],2,FALSE)</f>
        <v>1</v>
      </c>
      <c r="AH146" s="29">
        <f t="array" ref="AH1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46" s="29">
        <f>IF(ISNUMBER(MCC_Table[[#This Row],[SIZE]]), MCC_Table[[#This Row],[SIZE]]/6, 0)</f>
        <v>2</v>
      </c>
      <c r="AJ146" s="29">
        <f>MCC_Table[[#This Row],[START INDEX]]+MCC_Table[[#This Row],[UNITS USED]]-1</f>
        <v>2</v>
      </c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</row>
    <row r="147" spans="1:57" x14ac:dyDescent="0.25">
      <c r="A147" s="39" t="s">
        <v>2318</v>
      </c>
      <c r="B147" s="8" t="s">
        <v>2204</v>
      </c>
      <c r="C147" s="24" t="s">
        <v>2380</v>
      </c>
      <c r="D147" s="28" t="s">
        <v>2381</v>
      </c>
      <c r="E147" s="29" t="s">
        <v>2111</v>
      </c>
      <c r="F147" s="8">
        <v>1</v>
      </c>
      <c r="G147" s="8">
        <v>2</v>
      </c>
      <c r="H147" s="82">
        <v>3.4</v>
      </c>
      <c r="I147" s="8"/>
      <c r="J147" s="83">
        <f>IF(ISNUMBER(MCC_Table[[#This Row],[SIZE]]), MCC_Table[[#This Row],[SIZE]]/12, 0)</f>
        <v>2</v>
      </c>
      <c r="K147" s="87">
        <v>15</v>
      </c>
      <c r="L147" s="8">
        <v>125</v>
      </c>
      <c r="M147" s="82">
        <v>3</v>
      </c>
      <c r="N147" s="82" t="s">
        <v>2124</v>
      </c>
      <c r="O147" s="236"/>
      <c r="P147" s="85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225" t="s">
        <v>2087</v>
      </c>
      <c r="AC147" s="225" t="s">
        <v>2112</v>
      </c>
      <c r="AD147" s="224" t="s">
        <v>2089</v>
      </c>
      <c r="AE147" s="8">
        <f>_xlfn.NUMBERVALUE(LEFT(MCC_Table[[#This Row],[BUCKET]],LEN(MCC_Table[[#This Row],[BUCKET]])-1))</f>
        <v>16</v>
      </c>
      <c r="AF147" s="8" t="str">
        <f>RIGHT(MCC_Table[[#This Row],[BUCKET]],1)</f>
        <v>C</v>
      </c>
      <c r="AG147" s="8">
        <f>VLOOKUP(MCC_Table[[#This Row],[START UNIT]],UnitMap[],2,FALSE)</f>
        <v>3</v>
      </c>
      <c r="AH147" s="8">
        <f t="array" ref="AH1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47" s="8">
        <f>IF(ISNUMBER(MCC_Table[[#This Row],[SIZE]]), MCC_Table[[#This Row],[SIZE]]/6, 0)</f>
        <v>4</v>
      </c>
      <c r="AJ147" s="8">
        <f>MCC_Table[[#This Row],[START INDEX]]+MCC_Table[[#This Row],[UNITS USED]]-1</f>
        <v>6</v>
      </c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</row>
    <row r="148" spans="1:57" ht="15.75" customHeight="1" thickBot="1" x14ac:dyDescent="0.3">
      <c r="A148" s="90" t="s">
        <v>2318</v>
      </c>
      <c r="B148" s="91" t="s">
        <v>2301</v>
      </c>
      <c r="C148" s="92" t="s">
        <v>2382</v>
      </c>
      <c r="D148" s="93" t="s">
        <v>2383</v>
      </c>
      <c r="E148" s="94" t="s">
        <v>2111</v>
      </c>
      <c r="F148" s="91">
        <v>15</v>
      </c>
      <c r="G148" s="91">
        <v>15</v>
      </c>
      <c r="H148" s="97">
        <v>22</v>
      </c>
      <c r="I148" s="91"/>
      <c r="J148" s="95">
        <f>IF(ISNUMBER(MCC_Table[[#This Row],[SIZE]]), MCC_Table[[#This Row],[SIZE]]/12, 0)</f>
        <v>3</v>
      </c>
      <c r="K148" s="96">
        <v>60</v>
      </c>
      <c r="L148" s="91">
        <v>125</v>
      </c>
      <c r="M148" s="97">
        <v>40</v>
      </c>
      <c r="N148" s="97" t="s">
        <v>2198</v>
      </c>
      <c r="O148" s="237"/>
      <c r="P148" s="228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117" t="s">
        <v>2087</v>
      </c>
      <c r="AC148" s="117" t="s">
        <v>2112</v>
      </c>
      <c r="AD148" s="117" t="s">
        <v>2089</v>
      </c>
      <c r="AE148" s="91">
        <f>_xlfn.NUMBERVALUE(LEFT(MCC_Table[[#This Row],[BUCKET]],LEN(MCC_Table[[#This Row],[BUCKET]])-1))</f>
        <v>16</v>
      </c>
      <c r="AF148" s="91" t="str">
        <f>RIGHT(MCC_Table[[#This Row],[BUCKET]],1)</f>
        <v>G</v>
      </c>
      <c r="AG148" s="91">
        <f>VLOOKUP(MCC_Table[[#This Row],[START UNIT]],UnitMap[],2,FALSE)</f>
        <v>7</v>
      </c>
      <c r="AH148" s="91">
        <f t="array" ref="AH1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148" s="91">
        <f>IF(ISNUMBER(MCC_Table[[#This Row],[SIZE]]), MCC_Table[[#This Row],[SIZE]]/6, 0)</f>
        <v>6</v>
      </c>
      <c r="AJ148" s="91">
        <f>MCC_Table[[#This Row],[START INDEX]]+MCC_Table[[#This Row],[UNITS USED]]-1</f>
        <v>12</v>
      </c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</row>
    <row r="149" spans="1:57" ht="15.75" hidden="1" customHeight="1" thickTop="1" x14ac:dyDescent="0.25">
      <c r="A149" s="37" t="s">
        <v>2384</v>
      </c>
      <c r="B149" s="98" t="s">
        <v>2074</v>
      </c>
      <c r="C149" s="99" t="s">
        <v>2075</v>
      </c>
      <c r="D149" s="100" t="s">
        <v>2076</v>
      </c>
      <c r="E149" s="99" t="s">
        <v>2075</v>
      </c>
      <c r="F149" s="10"/>
      <c r="G149" s="10"/>
      <c r="H149" s="76"/>
      <c r="I149" s="10"/>
      <c r="J149" s="101">
        <f>IF(ISNUMBER(MCC_Table[[#This Row],[SIZE]]), MCC_Table[[#This Row],[SIZE]]/12, 0)</f>
        <v>3.5</v>
      </c>
      <c r="K149" s="76">
        <v>1000</v>
      </c>
      <c r="L149" s="76">
        <v>1200</v>
      </c>
      <c r="M149" s="76" t="s">
        <v>1888</v>
      </c>
      <c r="N149" s="76"/>
      <c r="O149" s="84"/>
      <c r="P149" s="227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224"/>
      <c r="AC149" s="224"/>
      <c r="AD149" s="224"/>
      <c r="AE149" s="98">
        <f>_xlfn.NUMBERVALUE(LEFT(MCC_Table[[#This Row],[BUCKET]],LEN(MCC_Table[[#This Row],[BUCKET]])-1))</f>
        <v>1</v>
      </c>
      <c r="AF149" s="98" t="str">
        <f>RIGHT(MCC_Table[[#This Row],[BUCKET]],1)</f>
        <v>A</v>
      </c>
      <c r="AG149" s="98">
        <f>VLOOKUP(MCC_Table[[#This Row],[START UNIT]],UnitMap[],2,FALSE)</f>
        <v>1</v>
      </c>
      <c r="AH149" s="98">
        <f t="array" ref="AH1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49" s="98">
        <f>IF(ISNUMBER(MCC_Table[[#This Row],[SIZE]]), MCC_Table[[#This Row],[SIZE]]/6, 0)</f>
        <v>7</v>
      </c>
      <c r="AJ149" s="98">
        <f>MCC_Table[[#This Row],[START INDEX]]+MCC_Table[[#This Row],[UNITS USED]]-1</f>
        <v>7</v>
      </c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</row>
    <row r="150" spans="1:57" ht="15.75" hidden="1" customHeight="1" thickTop="1" x14ac:dyDescent="0.25">
      <c r="A150" s="39" t="s">
        <v>2384</v>
      </c>
      <c r="B150" s="98" t="s">
        <v>2080</v>
      </c>
      <c r="C150" s="99" t="s">
        <v>2385</v>
      </c>
      <c r="D150" s="100" t="s">
        <v>2082</v>
      </c>
      <c r="E150" s="99" t="s">
        <v>2083</v>
      </c>
      <c r="F150" s="10"/>
      <c r="G150" s="10"/>
      <c r="H150" s="81"/>
      <c r="I150" s="10"/>
      <c r="J150" s="101">
        <f>IF(ISNUMBER(MCC_Table[[#This Row],[SIZE]]), MCC_Table[[#This Row],[SIZE]]/12, 0)</f>
        <v>1.5</v>
      </c>
      <c r="K150" s="81" t="s">
        <v>1888</v>
      </c>
      <c r="L150" s="82" t="s">
        <v>1888</v>
      </c>
      <c r="M150" s="81">
        <v>0.75</v>
      </c>
      <c r="N150" s="81"/>
      <c r="O150" s="84"/>
      <c r="P150" s="102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224"/>
      <c r="AC150" s="224"/>
      <c r="AD150" s="224"/>
      <c r="AE150" s="98">
        <f>_xlfn.NUMBERVALUE(LEFT(MCC_Table[[#This Row],[BUCKET]],LEN(MCC_Table[[#This Row],[BUCKET]])-1))</f>
        <v>1</v>
      </c>
      <c r="AF150" s="98" t="str">
        <f>RIGHT(MCC_Table[[#This Row],[BUCKET]],1)</f>
        <v>H</v>
      </c>
      <c r="AG150" s="98">
        <f>VLOOKUP(MCC_Table[[#This Row],[START UNIT]],UnitMap[],2,FALSE)</f>
        <v>8</v>
      </c>
      <c r="AH150" s="98">
        <f t="array" ref="AH1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150" s="98">
        <f>IF(ISNUMBER(MCC_Table[[#This Row],[SIZE]]), MCC_Table[[#This Row],[SIZE]]/6, 0)</f>
        <v>3</v>
      </c>
      <c r="AJ150" s="98">
        <f>MCC_Table[[#This Row],[START INDEX]]+MCC_Table[[#This Row],[UNITS USED]]-1</f>
        <v>10</v>
      </c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</row>
    <row r="151" spans="1:57" ht="15.75" hidden="1" customHeight="1" thickTop="1" x14ac:dyDescent="0.25">
      <c r="A151" s="39" t="s">
        <v>2384</v>
      </c>
      <c r="B151" s="29" t="s">
        <v>2084</v>
      </c>
      <c r="C151" s="24" t="s">
        <v>2103</v>
      </c>
      <c r="D151" s="62" t="s">
        <v>2143</v>
      </c>
      <c r="E151" s="24" t="s">
        <v>2103</v>
      </c>
      <c r="F151" s="8"/>
      <c r="G151" s="8"/>
      <c r="H151" s="82"/>
      <c r="I151" s="8"/>
      <c r="J151" s="80">
        <f>IF(ISNUMBER(MCC_Table[[#This Row],[SIZE]]), MCC_Table[[#This Row],[SIZE]]/12, 0)</f>
        <v>1</v>
      </c>
      <c r="K151" s="82"/>
      <c r="L151" s="82"/>
      <c r="M151" s="82"/>
      <c r="N151" s="82"/>
      <c r="O151" s="77"/>
      <c r="P151" s="78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225"/>
      <c r="AC151" s="225"/>
      <c r="AD151" s="225"/>
      <c r="AE151" s="29">
        <f>_xlfn.NUMBERVALUE(LEFT(MCC_Table[[#This Row],[BUCKET]],LEN(MCC_Table[[#This Row],[BUCKET]])-1))</f>
        <v>1</v>
      </c>
      <c r="AF151" s="29" t="str">
        <f>RIGHT(MCC_Table[[#This Row],[BUCKET]],1)</f>
        <v>L</v>
      </c>
      <c r="AG151" s="29">
        <f>VLOOKUP(MCC_Table[[#This Row],[START UNIT]],UnitMap[],2,FALSE)</f>
        <v>11</v>
      </c>
      <c r="AH151" s="29">
        <f t="array" ref="AH1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51" s="29">
        <f>IF(ISNUMBER(MCC_Table[[#This Row],[SIZE]]), MCC_Table[[#This Row],[SIZE]]/6, 0)</f>
        <v>2</v>
      </c>
      <c r="AJ151" s="29">
        <f>MCC_Table[[#This Row],[START INDEX]]+MCC_Table[[#This Row],[UNITS USED]]-1</f>
        <v>12</v>
      </c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</row>
    <row r="152" spans="1:57" ht="15.75" hidden="1" customHeight="1" thickTop="1" x14ac:dyDescent="0.25">
      <c r="A152" s="39" t="s">
        <v>2384</v>
      </c>
      <c r="B152" s="29" t="s">
        <v>2222</v>
      </c>
      <c r="C152" s="24" t="s">
        <v>2386</v>
      </c>
      <c r="D152" s="28" t="s">
        <v>2174</v>
      </c>
      <c r="E152" s="29" t="s">
        <v>2387</v>
      </c>
      <c r="F152" s="8">
        <v>30</v>
      </c>
      <c r="G152" s="8">
        <v>30</v>
      </c>
      <c r="H152" s="82"/>
      <c r="I152" s="8"/>
      <c r="J152" s="80">
        <f>IF(ISNUMBER(MCC_Table[[#This Row],[SIZE]]), MCC_Table[[#This Row],[SIZE]]/12, 0)</f>
        <v>3.5</v>
      </c>
      <c r="K152" s="82">
        <v>100</v>
      </c>
      <c r="L152" s="82">
        <v>125</v>
      </c>
      <c r="M152" s="82">
        <v>70</v>
      </c>
      <c r="N152" s="82" t="s">
        <v>2175</v>
      </c>
      <c r="O152" s="77"/>
      <c r="P152" s="110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225"/>
      <c r="AC152" s="225"/>
      <c r="AD152" s="225"/>
      <c r="AE152" s="29">
        <f>_xlfn.NUMBERVALUE(LEFT(MCC_Table[[#This Row],[BUCKET]],LEN(MCC_Table[[#This Row],[BUCKET]])-1))</f>
        <v>2</v>
      </c>
      <c r="AF152" s="29" t="str">
        <f>RIGHT(MCC_Table[[#This Row],[BUCKET]],1)</f>
        <v>A</v>
      </c>
      <c r="AG152" s="29">
        <f>VLOOKUP(MCC_Table[[#This Row],[START UNIT]],UnitMap[],2,FALSE)</f>
        <v>1</v>
      </c>
      <c r="AH152" s="29">
        <f t="array" ref="AH1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52" s="29">
        <f>IF(ISNUMBER(MCC_Table[[#This Row],[SIZE]]), MCC_Table[[#This Row],[SIZE]]/6, 0)</f>
        <v>7</v>
      </c>
      <c r="AJ152" s="29">
        <f>MCC_Table[[#This Row],[START INDEX]]+MCC_Table[[#This Row],[UNITS USED]]-1</f>
        <v>7</v>
      </c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</row>
    <row r="153" spans="1:57" ht="15.75" hidden="1" customHeight="1" thickTop="1" x14ac:dyDescent="0.25">
      <c r="A153" s="39" t="s">
        <v>2384</v>
      </c>
      <c r="B153" s="29" t="s">
        <v>2109</v>
      </c>
      <c r="C153" s="24" t="s">
        <v>2388</v>
      </c>
      <c r="D153" s="62" t="s">
        <v>2098</v>
      </c>
      <c r="E153" s="24" t="s">
        <v>2099</v>
      </c>
      <c r="F153" s="8"/>
      <c r="G153" s="8"/>
      <c r="H153" s="82"/>
      <c r="I153" s="8"/>
      <c r="J153" s="80">
        <f>IF(ISNUMBER(MCC_Table[[#This Row],[SIZE]]), MCC_Table[[#This Row],[SIZE]]/12, 0)</f>
        <v>1.5</v>
      </c>
      <c r="K153" s="82">
        <v>15</v>
      </c>
      <c r="L153" s="82">
        <v>125</v>
      </c>
      <c r="M153" s="82"/>
      <c r="N153" s="82"/>
      <c r="O153" s="77"/>
      <c r="P153" s="78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225"/>
      <c r="AC153" s="225"/>
      <c r="AD153" s="225"/>
      <c r="AE153" s="29">
        <f>_xlfn.NUMBERVALUE(LEFT(MCC_Table[[#This Row],[BUCKET]],LEN(MCC_Table[[#This Row],[BUCKET]])-1))</f>
        <v>2</v>
      </c>
      <c r="AF153" s="29" t="str">
        <f>RIGHT(MCC_Table[[#This Row],[BUCKET]],1)</f>
        <v>H</v>
      </c>
      <c r="AG153" s="29">
        <f>VLOOKUP(MCC_Table[[#This Row],[START UNIT]],UnitMap[],2,FALSE)</f>
        <v>8</v>
      </c>
      <c r="AH153" s="29">
        <f t="array" ref="AH1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153" s="29">
        <f>IF(ISNUMBER(MCC_Table[[#This Row],[SIZE]]), MCC_Table[[#This Row],[SIZE]]/6, 0)</f>
        <v>3</v>
      </c>
      <c r="AJ153" s="29">
        <f>MCC_Table[[#This Row],[START INDEX]]+MCC_Table[[#This Row],[UNITS USED]]-1</f>
        <v>10</v>
      </c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</row>
    <row r="154" spans="1:57" ht="15.75" hidden="1" customHeight="1" thickTop="1" x14ac:dyDescent="0.25">
      <c r="A154" s="39" t="s">
        <v>2384</v>
      </c>
      <c r="B154" s="29" t="s">
        <v>2389</v>
      </c>
      <c r="C154" s="24" t="s">
        <v>2390</v>
      </c>
      <c r="D154" s="62" t="s">
        <v>2224</v>
      </c>
      <c r="E154" s="24" t="s">
        <v>2225</v>
      </c>
      <c r="F154" s="8"/>
      <c r="G154" s="8"/>
      <c r="H154" s="82"/>
      <c r="I154" s="8"/>
      <c r="J154" s="80">
        <f>IF(ISNUMBER(MCC_Table[[#This Row],[SIZE]]), MCC_Table[[#This Row],[SIZE]]/12, 0)</f>
        <v>1</v>
      </c>
      <c r="K154" s="82"/>
      <c r="L154" s="82"/>
      <c r="M154" s="82"/>
      <c r="N154" s="82"/>
      <c r="O154" s="77"/>
      <c r="P154" s="78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225"/>
      <c r="AC154" s="225"/>
      <c r="AD154" s="225"/>
      <c r="AE154" s="29">
        <f>_xlfn.NUMBERVALUE(LEFT(MCC_Table[[#This Row],[BUCKET]],LEN(MCC_Table[[#This Row],[BUCKET]])-1))</f>
        <v>2</v>
      </c>
      <c r="AF154" s="29" t="str">
        <f>RIGHT(MCC_Table[[#This Row],[BUCKET]],1)</f>
        <v>L</v>
      </c>
      <c r="AG154" s="29">
        <f>VLOOKUP(MCC_Table[[#This Row],[START UNIT]],UnitMap[],2,FALSE)</f>
        <v>11</v>
      </c>
      <c r="AH154" s="29">
        <f t="array" ref="AH1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54" s="29">
        <f>IF(ISNUMBER(MCC_Table[[#This Row],[SIZE]]), MCC_Table[[#This Row],[SIZE]]/6, 0)</f>
        <v>2</v>
      </c>
      <c r="AJ154" s="29">
        <f>MCC_Table[[#This Row],[START INDEX]]+MCC_Table[[#This Row],[UNITS USED]]-1</f>
        <v>12</v>
      </c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</row>
    <row r="155" spans="1:57" ht="15.75" hidden="1" customHeight="1" thickTop="1" x14ac:dyDescent="0.25">
      <c r="A155" s="37" t="s">
        <v>2384</v>
      </c>
      <c r="B155" s="29" t="s">
        <v>2113</v>
      </c>
      <c r="C155" s="24" t="s">
        <v>2391</v>
      </c>
      <c r="D155" s="62" t="s">
        <v>2392</v>
      </c>
      <c r="E155" s="24" t="s">
        <v>2387</v>
      </c>
      <c r="F155" s="8">
        <v>2</v>
      </c>
      <c r="G155" s="8">
        <v>2</v>
      </c>
      <c r="H155" s="82"/>
      <c r="I155" s="8"/>
      <c r="J155" s="80">
        <f>IF(ISNUMBER(MCC_Table[[#This Row],[SIZE]]), MCC_Table[[#This Row],[SIZE]]/12, 0)</f>
        <v>2</v>
      </c>
      <c r="K155" s="82">
        <v>15</v>
      </c>
      <c r="L155" s="82">
        <v>125</v>
      </c>
      <c r="M155" s="82">
        <v>10</v>
      </c>
      <c r="N155" s="82" t="s">
        <v>2124</v>
      </c>
      <c r="O155" s="77"/>
      <c r="P155" s="78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225"/>
      <c r="AC155" s="225"/>
      <c r="AD155" s="225"/>
      <c r="AE155" s="29">
        <f>_xlfn.NUMBERVALUE(LEFT(MCC_Table[[#This Row],[BUCKET]],LEN(MCC_Table[[#This Row],[BUCKET]])-1))</f>
        <v>3</v>
      </c>
      <c r="AF155" s="29" t="str">
        <f>RIGHT(MCC_Table[[#This Row],[BUCKET]],1)</f>
        <v>A</v>
      </c>
      <c r="AG155" s="29">
        <f>VLOOKUP(MCC_Table[[#This Row],[START UNIT]],UnitMap[],2,FALSE)</f>
        <v>1</v>
      </c>
      <c r="AH155" s="29">
        <f t="array" ref="AH1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55" s="29">
        <f>IF(ISNUMBER(MCC_Table[[#This Row],[SIZE]]), MCC_Table[[#This Row],[SIZE]]/6, 0)</f>
        <v>4</v>
      </c>
      <c r="AJ155" s="29">
        <f>MCC_Table[[#This Row],[START INDEX]]+MCC_Table[[#This Row],[UNITS USED]]-1</f>
        <v>4</v>
      </c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</row>
    <row r="156" spans="1:57" ht="15.75" hidden="1" customHeight="1" thickTop="1" x14ac:dyDescent="0.25">
      <c r="A156" s="39" t="s">
        <v>2384</v>
      </c>
      <c r="B156" s="29" t="s">
        <v>2327</v>
      </c>
      <c r="C156" s="111" t="s">
        <v>2393</v>
      </c>
      <c r="D156" s="28" t="s">
        <v>2160</v>
      </c>
      <c r="E156" s="112" t="s">
        <v>2387</v>
      </c>
      <c r="F156" s="8">
        <v>15</v>
      </c>
      <c r="G156" s="8">
        <v>15</v>
      </c>
      <c r="H156" s="82"/>
      <c r="I156" s="8"/>
      <c r="J156" s="80">
        <f>IF(ISNUMBER(MCC_Table[[#This Row],[SIZE]]), MCC_Table[[#This Row],[SIZE]]/12, 0)</f>
        <v>3</v>
      </c>
      <c r="K156" s="82">
        <v>60</v>
      </c>
      <c r="L156" s="82">
        <v>125</v>
      </c>
      <c r="M156" s="82">
        <v>40</v>
      </c>
      <c r="N156" s="82" t="s">
        <v>2198</v>
      </c>
      <c r="O156" s="77"/>
      <c r="P156" s="110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225"/>
      <c r="AC156" s="225"/>
      <c r="AD156" s="225"/>
      <c r="AE156" s="29">
        <f>_xlfn.NUMBERVALUE(LEFT(MCC_Table[[#This Row],[BUCKET]],LEN(MCC_Table[[#This Row],[BUCKET]])-1))</f>
        <v>3</v>
      </c>
      <c r="AF156" s="29" t="str">
        <f>RIGHT(MCC_Table[[#This Row],[BUCKET]],1)</f>
        <v>E</v>
      </c>
      <c r="AG156" s="29">
        <f>VLOOKUP(MCC_Table[[#This Row],[START UNIT]],UnitMap[],2,FALSE)</f>
        <v>5</v>
      </c>
      <c r="AH156" s="29">
        <f t="array" ref="AH1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156" s="29">
        <f>IF(ISNUMBER(MCC_Table[[#This Row],[SIZE]]), MCC_Table[[#This Row],[SIZE]]/6, 0)</f>
        <v>6</v>
      </c>
      <c r="AJ156" s="29">
        <f>MCC_Table[[#This Row],[START INDEX]]+MCC_Table[[#This Row],[UNITS USED]]-1</f>
        <v>10</v>
      </c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</row>
    <row r="157" spans="1:57" ht="15.75" hidden="1" customHeight="1" thickTop="1" x14ac:dyDescent="0.25">
      <c r="A157" s="39" t="s">
        <v>2384</v>
      </c>
      <c r="B157" s="29" t="s">
        <v>2394</v>
      </c>
      <c r="C157" s="111" t="s">
        <v>2103</v>
      </c>
      <c r="D157" s="62" t="s">
        <v>2143</v>
      </c>
      <c r="E157" s="112" t="s">
        <v>2103</v>
      </c>
      <c r="F157" s="8"/>
      <c r="G157" s="8"/>
      <c r="H157" s="82"/>
      <c r="I157" s="8"/>
      <c r="J157" s="80">
        <f>IF(ISNUMBER(MCC_Table[[#This Row],[SIZE]]), MCC_Table[[#This Row],[SIZE]]/12, 0)</f>
        <v>1</v>
      </c>
      <c r="K157" s="82"/>
      <c r="L157" s="82"/>
      <c r="M157" s="82"/>
      <c r="N157" s="82"/>
      <c r="O157" s="77"/>
      <c r="P157" s="110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225"/>
      <c r="AC157" s="225"/>
      <c r="AD157" s="225"/>
      <c r="AE157" s="29">
        <f>_xlfn.NUMBERVALUE(LEFT(MCC_Table[[#This Row],[BUCKET]],LEN(MCC_Table[[#This Row],[BUCKET]])-1))</f>
        <v>3</v>
      </c>
      <c r="AF157" s="29" t="str">
        <f>RIGHT(MCC_Table[[#This Row],[BUCKET]],1)</f>
        <v>L</v>
      </c>
      <c r="AG157" s="29">
        <f>VLOOKUP(MCC_Table[[#This Row],[START UNIT]],UnitMap[],2,FALSE)</f>
        <v>11</v>
      </c>
      <c r="AH157" s="29">
        <f t="array" ref="AH1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57" s="29">
        <f>IF(ISNUMBER(MCC_Table[[#This Row],[SIZE]]), MCC_Table[[#This Row],[SIZE]]/6, 0)</f>
        <v>2</v>
      </c>
      <c r="AJ157" s="29">
        <f>MCC_Table[[#This Row],[START INDEX]]+MCC_Table[[#This Row],[UNITS USED]]-1</f>
        <v>12</v>
      </c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</row>
    <row r="158" spans="1:57" ht="15.75" hidden="1" customHeight="1" thickTop="1" x14ac:dyDescent="0.25">
      <c r="A158" s="39" t="s">
        <v>2384</v>
      </c>
      <c r="B158" s="29" t="s">
        <v>2115</v>
      </c>
      <c r="C158" s="111" t="s">
        <v>2395</v>
      </c>
      <c r="D158" s="28" t="s">
        <v>2396</v>
      </c>
      <c r="E158" s="112" t="s">
        <v>2387</v>
      </c>
      <c r="F158" s="8">
        <v>2</v>
      </c>
      <c r="G158" s="8">
        <v>2</v>
      </c>
      <c r="H158" s="82"/>
      <c r="I158" s="8"/>
      <c r="J158" s="80">
        <f>IF(ISNUMBER(MCC_Table[[#This Row],[SIZE]]), MCC_Table[[#This Row],[SIZE]]/12, 0)</f>
        <v>2</v>
      </c>
      <c r="K158" s="82">
        <v>15</v>
      </c>
      <c r="L158" s="82">
        <v>125</v>
      </c>
      <c r="M158" s="82">
        <v>10</v>
      </c>
      <c r="N158" s="82" t="s">
        <v>2124</v>
      </c>
      <c r="O158" s="77"/>
      <c r="P158" s="110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225"/>
      <c r="AC158" s="225"/>
      <c r="AD158" s="225"/>
      <c r="AE158" s="29">
        <f>_xlfn.NUMBERVALUE(LEFT(MCC_Table[[#This Row],[BUCKET]],LEN(MCC_Table[[#This Row],[BUCKET]])-1))</f>
        <v>4</v>
      </c>
      <c r="AF158" s="29" t="str">
        <f>RIGHT(MCC_Table[[#This Row],[BUCKET]],1)</f>
        <v>A</v>
      </c>
      <c r="AG158" s="29">
        <f>VLOOKUP(MCC_Table[[#This Row],[START UNIT]],UnitMap[],2,FALSE)</f>
        <v>1</v>
      </c>
      <c r="AH158" s="29">
        <f t="array" ref="AH1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58" s="29">
        <f>IF(ISNUMBER(MCC_Table[[#This Row],[SIZE]]), MCC_Table[[#This Row],[SIZE]]/6, 0)</f>
        <v>4</v>
      </c>
      <c r="AJ158" s="29">
        <f>MCC_Table[[#This Row],[START INDEX]]+MCC_Table[[#This Row],[UNITS USED]]-1</f>
        <v>4</v>
      </c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</row>
    <row r="159" spans="1:57" ht="30.75" hidden="1" customHeight="1" thickTop="1" x14ac:dyDescent="0.25">
      <c r="A159" s="39" t="s">
        <v>2384</v>
      </c>
      <c r="B159" s="29" t="s">
        <v>2335</v>
      </c>
      <c r="C159" s="111" t="s">
        <v>2397</v>
      </c>
      <c r="D159" s="28" t="s">
        <v>2398</v>
      </c>
      <c r="E159" s="112" t="s">
        <v>2387</v>
      </c>
      <c r="F159" s="8">
        <v>2</v>
      </c>
      <c r="G159" s="8">
        <v>2</v>
      </c>
      <c r="H159" s="82"/>
      <c r="I159" s="8"/>
      <c r="J159" s="80">
        <f>IF(ISNUMBER(MCC_Table[[#This Row],[SIZE]]), MCC_Table[[#This Row],[SIZE]]/12, 0)</f>
        <v>2</v>
      </c>
      <c r="K159" s="82">
        <v>15</v>
      </c>
      <c r="L159" s="82">
        <v>125</v>
      </c>
      <c r="M159" s="82">
        <v>10</v>
      </c>
      <c r="N159" s="82" t="s">
        <v>2124</v>
      </c>
      <c r="O159" s="77"/>
      <c r="P159" s="110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225"/>
      <c r="AC159" s="225"/>
      <c r="AD159" s="225"/>
      <c r="AE159" s="29">
        <f>_xlfn.NUMBERVALUE(LEFT(MCC_Table[[#This Row],[BUCKET]],LEN(MCC_Table[[#This Row],[BUCKET]])-1))</f>
        <v>4</v>
      </c>
      <c r="AF159" s="29" t="str">
        <f>RIGHT(MCC_Table[[#This Row],[BUCKET]],1)</f>
        <v>E</v>
      </c>
      <c r="AG159" s="29">
        <f>VLOOKUP(MCC_Table[[#This Row],[START UNIT]],UnitMap[],2,FALSE)</f>
        <v>5</v>
      </c>
      <c r="AH159" s="29">
        <f t="array" ref="AH1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59" s="29">
        <f>IF(ISNUMBER(MCC_Table[[#This Row],[SIZE]]), MCC_Table[[#This Row],[SIZE]]/6, 0)</f>
        <v>4</v>
      </c>
      <c r="AJ159" s="29">
        <f>MCC_Table[[#This Row],[START INDEX]]+MCC_Table[[#This Row],[UNITS USED]]-1</f>
        <v>8</v>
      </c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</row>
    <row r="160" spans="1:57" ht="15.75" hidden="1" customHeight="1" thickTop="1" x14ac:dyDescent="0.25">
      <c r="A160" s="39" t="s">
        <v>2384</v>
      </c>
      <c r="B160" s="29" t="s">
        <v>2399</v>
      </c>
      <c r="C160" s="111" t="s">
        <v>2400</v>
      </c>
      <c r="D160" s="28" t="s">
        <v>2401</v>
      </c>
      <c r="E160" s="112" t="s">
        <v>2387</v>
      </c>
      <c r="F160" s="8">
        <v>2</v>
      </c>
      <c r="G160" s="8">
        <v>2</v>
      </c>
      <c r="H160" s="82"/>
      <c r="I160" s="8"/>
      <c r="J160" s="80">
        <f>IF(ISNUMBER(MCC_Table[[#This Row],[SIZE]]), MCC_Table[[#This Row],[SIZE]]/12, 0)</f>
        <v>2</v>
      </c>
      <c r="K160" s="82">
        <v>15</v>
      </c>
      <c r="L160" s="82">
        <v>125</v>
      </c>
      <c r="M160" s="82">
        <v>10</v>
      </c>
      <c r="N160" s="82" t="s">
        <v>2124</v>
      </c>
      <c r="O160" s="77"/>
      <c r="P160" s="110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225"/>
      <c r="AC160" s="225"/>
      <c r="AD160" s="225"/>
      <c r="AE160" s="29">
        <f>_xlfn.NUMBERVALUE(LEFT(MCC_Table[[#This Row],[BUCKET]],LEN(MCC_Table[[#This Row],[BUCKET]])-1))</f>
        <v>4</v>
      </c>
      <c r="AF160" s="29" t="str">
        <f>RIGHT(MCC_Table[[#This Row],[BUCKET]],1)</f>
        <v>J</v>
      </c>
      <c r="AG160" s="29">
        <f>VLOOKUP(MCC_Table[[#This Row],[START UNIT]],UnitMap[],2,FALSE)</f>
        <v>9</v>
      </c>
      <c r="AH160" s="29">
        <f t="array" ref="AH1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0" s="29">
        <f>IF(ISNUMBER(MCC_Table[[#This Row],[SIZE]]), MCC_Table[[#This Row],[SIZE]]/6, 0)</f>
        <v>4</v>
      </c>
      <c r="AJ160" s="29">
        <f>MCC_Table[[#This Row],[START INDEX]]+MCC_Table[[#This Row],[UNITS USED]]-1</f>
        <v>12</v>
      </c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</row>
    <row r="161" spans="1:57" ht="15.75" hidden="1" customHeight="1" thickTop="1" x14ac:dyDescent="0.25">
      <c r="A161" s="37" t="s">
        <v>2384</v>
      </c>
      <c r="B161" s="29" t="s">
        <v>2118</v>
      </c>
      <c r="C161" s="111" t="s">
        <v>2402</v>
      </c>
      <c r="D161" s="28" t="s">
        <v>2403</v>
      </c>
      <c r="E161" s="112" t="s">
        <v>2387</v>
      </c>
      <c r="F161" s="8">
        <v>5</v>
      </c>
      <c r="G161" s="8">
        <v>5</v>
      </c>
      <c r="H161" s="82"/>
      <c r="I161" s="8"/>
      <c r="J161" s="80">
        <f>IF(ISNUMBER(MCC_Table[[#This Row],[SIZE]]), MCC_Table[[#This Row],[SIZE]]/12, 0)</f>
        <v>2</v>
      </c>
      <c r="K161" s="82">
        <v>20</v>
      </c>
      <c r="L161" s="82">
        <v>125</v>
      </c>
      <c r="M161" s="82">
        <v>40</v>
      </c>
      <c r="N161" s="82" t="s">
        <v>2124</v>
      </c>
      <c r="O161" s="77"/>
      <c r="P161" s="110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225"/>
      <c r="AC161" s="225"/>
      <c r="AD161" s="225"/>
      <c r="AE161" s="29">
        <f>_xlfn.NUMBERVALUE(LEFT(MCC_Table[[#This Row],[BUCKET]],LEN(MCC_Table[[#This Row],[BUCKET]])-1))</f>
        <v>5</v>
      </c>
      <c r="AF161" s="29" t="str">
        <f>RIGHT(MCC_Table[[#This Row],[BUCKET]],1)</f>
        <v>A</v>
      </c>
      <c r="AG161" s="29">
        <f>VLOOKUP(MCC_Table[[#This Row],[START UNIT]],UnitMap[],2,FALSE)</f>
        <v>1</v>
      </c>
      <c r="AH161" s="29">
        <f t="array" ref="AH1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1" s="29">
        <f>IF(ISNUMBER(MCC_Table[[#This Row],[SIZE]]), MCC_Table[[#This Row],[SIZE]]/6, 0)</f>
        <v>4</v>
      </c>
      <c r="AJ161" s="29">
        <f>MCC_Table[[#This Row],[START INDEX]]+MCC_Table[[#This Row],[UNITS USED]]-1</f>
        <v>4</v>
      </c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</row>
    <row r="162" spans="1:57" ht="15.75" hidden="1" customHeight="1" thickTop="1" x14ac:dyDescent="0.25">
      <c r="A162" s="39" t="s">
        <v>2384</v>
      </c>
      <c r="B162" s="29" t="s">
        <v>2404</v>
      </c>
      <c r="C162" s="111" t="s">
        <v>2405</v>
      </c>
      <c r="D162" s="28" t="s">
        <v>2406</v>
      </c>
      <c r="E162" s="112" t="s">
        <v>2387</v>
      </c>
      <c r="F162" s="8">
        <v>5</v>
      </c>
      <c r="G162" s="8">
        <v>5</v>
      </c>
      <c r="H162" s="82"/>
      <c r="I162" s="8"/>
      <c r="J162" s="80">
        <f>IF(ISNUMBER(MCC_Table[[#This Row],[SIZE]]), MCC_Table[[#This Row],[SIZE]]/12, 0)</f>
        <v>2</v>
      </c>
      <c r="K162" s="82">
        <v>20</v>
      </c>
      <c r="L162" s="82">
        <v>125</v>
      </c>
      <c r="M162" s="82">
        <v>40</v>
      </c>
      <c r="N162" s="82" t="s">
        <v>2124</v>
      </c>
      <c r="O162" s="77"/>
      <c r="P162" s="110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225"/>
      <c r="AC162" s="225"/>
      <c r="AD162" s="225"/>
      <c r="AE162" s="29">
        <f>_xlfn.NUMBERVALUE(LEFT(MCC_Table[[#This Row],[BUCKET]],LEN(MCC_Table[[#This Row],[BUCKET]])-1))</f>
        <v>5</v>
      </c>
      <c r="AF162" s="29" t="str">
        <f>RIGHT(MCC_Table[[#This Row],[BUCKET]],1)</f>
        <v>E</v>
      </c>
      <c r="AG162" s="29">
        <f>VLOOKUP(MCC_Table[[#This Row],[START UNIT]],UnitMap[],2,FALSE)</f>
        <v>5</v>
      </c>
      <c r="AH162" s="29">
        <f t="array" ref="AH1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2" s="29">
        <f>IF(ISNUMBER(MCC_Table[[#This Row],[SIZE]]), MCC_Table[[#This Row],[SIZE]]/6, 0)</f>
        <v>4</v>
      </c>
      <c r="AJ162" s="29">
        <f>MCC_Table[[#This Row],[START INDEX]]+MCC_Table[[#This Row],[UNITS USED]]-1</f>
        <v>8</v>
      </c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</row>
    <row r="163" spans="1:57" ht="15.75" hidden="1" customHeight="1" thickTop="1" x14ac:dyDescent="0.25">
      <c r="A163" s="39" t="s">
        <v>2384</v>
      </c>
      <c r="B163" s="29" t="s">
        <v>2407</v>
      </c>
      <c r="C163" s="111" t="s">
        <v>2408</v>
      </c>
      <c r="D163" s="28" t="s">
        <v>2409</v>
      </c>
      <c r="E163" s="112" t="s">
        <v>2387</v>
      </c>
      <c r="F163" s="8">
        <v>5</v>
      </c>
      <c r="G163" s="8">
        <v>5</v>
      </c>
      <c r="H163" s="82"/>
      <c r="I163" s="8"/>
      <c r="J163" s="80">
        <f>IF(ISNUMBER(MCC_Table[[#This Row],[SIZE]]), MCC_Table[[#This Row],[SIZE]]/12, 0)</f>
        <v>2</v>
      </c>
      <c r="K163" s="82">
        <v>20</v>
      </c>
      <c r="L163" s="82">
        <v>125</v>
      </c>
      <c r="M163" s="82">
        <v>40</v>
      </c>
      <c r="N163" s="82" t="s">
        <v>2124</v>
      </c>
      <c r="O163" s="77"/>
      <c r="P163" s="110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225"/>
      <c r="AC163" s="225"/>
      <c r="AD163" s="225"/>
      <c r="AE163" s="29">
        <f>_xlfn.NUMBERVALUE(LEFT(MCC_Table[[#This Row],[BUCKET]],LEN(MCC_Table[[#This Row],[BUCKET]])-1))</f>
        <v>5</v>
      </c>
      <c r="AF163" s="29" t="str">
        <f>RIGHT(MCC_Table[[#This Row],[BUCKET]],1)</f>
        <v>J</v>
      </c>
      <c r="AG163" s="29">
        <f>VLOOKUP(MCC_Table[[#This Row],[START UNIT]],UnitMap[],2,FALSE)</f>
        <v>9</v>
      </c>
      <c r="AH163" s="29">
        <f t="array" ref="AH1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3" s="29">
        <f>IF(ISNUMBER(MCC_Table[[#This Row],[SIZE]]), MCC_Table[[#This Row],[SIZE]]/6, 0)</f>
        <v>4</v>
      </c>
      <c r="AJ163" s="29">
        <f>MCC_Table[[#This Row],[START INDEX]]+MCC_Table[[#This Row],[UNITS USED]]-1</f>
        <v>12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</row>
    <row r="164" spans="1:57" ht="15.75" hidden="1" customHeight="1" thickTop="1" x14ac:dyDescent="0.25">
      <c r="A164" s="39" t="s">
        <v>2384</v>
      </c>
      <c r="B164" s="29" t="s">
        <v>2121</v>
      </c>
      <c r="C164" s="111" t="s">
        <v>2410</v>
      </c>
      <c r="D164" s="28" t="s">
        <v>2153</v>
      </c>
      <c r="E164" s="112" t="s">
        <v>2387</v>
      </c>
      <c r="F164" s="8">
        <v>15</v>
      </c>
      <c r="G164" s="8">
        <v>15</v>
      </c>
      <c r="H164" s="82"/>
      <c r="I164" s="8"/>
      <c r="J164" s="80">
        <f>IF(ISNUMBER(MCC_Table[[#This Row],[SIZE]]), MCC_Table[[#This Row],[SIZE]]/12, 0)</f>
        <v>1</v>
      </c>
      <c r="K164" s="82">
        <v>60</v>
      </c>
      <c r="L164" s="82">
        <v>125</v>
      </c>
      <c r="M164" s="82">
        <v>40</v>
      </c>
      <c r="N164" s="82" t="s">
        <v>2198</v>
      </c>
      <c r="O164" s="77"/>
      <c r="P164" s="110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225"/>
      <c r="AC164" s="225"/>
      <c r="AD164" s="225"/>
      <c r="AE164" s="29">
        <f>_xlfn.NUMBERVALUE(LEFT(MCC_Table[[#This Row],[BUCKET]],LEN(MCC_Table[[#This Row],[BUCKET]])-1))</f>
        <v>6</v>
      </c>
      <c r="AF164" s="29" t="str">
        <f>RIGHT(MCC_Table[[#This Row],[BUCKET]],1)</f>
        <v>A</v>
      </c>
      <c r="AG164" s="29">
        <f>VLOOKUP(MCC_Table[[#This Row],[START UNIT]],UnitMap[],2,FALSE)</f>
        <v>1</v>
      </c>
      <c r="AH164" s="29">
        <f t="array" ref="AH1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64" s="29">
        <f>IF(ISNUMBER(MCC_Table[[#This Row],[SIZE]]), MCC_Table[[#This Row],[SIZE]]/6, 0)</f>
        <v>2</v>
      </c>
      <c r="AJ164" s="29">
        <f>MCC_Table[[#This Row],[START INDEX]]+MCC_Table[[#This Row],[UNITS USED]]-1</f>
        <v>2</v>
      </c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</row>
    <row r="165" spans="1:57" ht="15.75" hidden="1" customHeight="1" thickTop="1" x14ac:dyDescent="0.25">
      <c r="A165" s="39" t="s">
        <v>2384</v>
      </c>
      <c r="B165" s="29" t="s">
        <v>2411</v>
      </c>
      <c r="C165" s="111" t="s">
        <v>2412</v>
      </c>
      <c r="D165" s="28" t="s">
        <v>2413</v>
      </c>
      <c r="E165" s="112" t="s">
        <v>2387</v>
      </c>
      <c r="F165" s="8">
        <v>2</v>
      </c>
      <c r="G165" s="8">
        <v>2</v>
      </c>
      <c r="H165" s="82"/>
      <c r="I165" s="8"/>
      <c r="J165" s="80">
        <f>IF(ISNUMBER(MCC_Table[[#This Row],[SIZE]]), MCC_Table[[#This Row],[SIZE]]/12, 0)</f>
        <v>4</v>
      </c>
      <c r="K165" s="82">
        <v>15</v>
      </c>
      <c r="L165" s="82">
        <v>125</v>
      </c>
      <c r="M165" s="82">
        <v>10</v>
      </c>
      <c r="N165" s="82" t="s">
        <v>2124</v>
      </c>
      <c r="O165" s="77"/>
      <c r="P165" s="110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225"/>
      <c r="AC165" s="225"/>
      <c r="AD165" s="225"/>
      <c r="AE165" s="29">
        <f>_xlfn.NUMBERVALUE(LEFT(MCC_Table[[#This Row],[BUCKET]],LEN(MCC_Table[[#This Row],[BUCKET]])-1))</f>
        <v>6</v>
      </c>
      <c r="AF165" s="29" t="str">
        <f>RIGHT(MCC_Table[[#This Row],[BUCKET]],1)</f>
        <v>C</v>
      </c>
      <c r="AG165" s="29">
        <f>VLOOKUP(MCC_Table[[#This Row],[START UNIT]],UnitMap[],2,FALSE)</f>
        <v>3</v>
      </c>
      <c r="AH165" s="29">
        <f t="array" ref="AH1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48</v>
      </c>
      <c r="AI165" s="29">
        <f>IF(ISNUMBER(MCC_Table[[#This Row],[SIZE]]), MCC_Table[[#This Row],[SIZE]]/6, 0)</f>
        <v>8</v>
      </c>
      <c r="AJ165" s="29">
        <f>MCC_Table[[#This Row],[START INDEX]]+MCC_Table[[#This Row],[UNITS USED]]-1</f>
        <v>10</v>
      </c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</row>
    <row r="166" spans="1:57" ht="15.75" hidden="1" customHeight="1" thickTop="1" x14ac:dyDescent="0.25">
      <c r="A166" s="39" t="s">
        <v>2384</v>
      </c>
      <c r="B166" s="29" t="s">
        <v>2414</v>
      </c>
      <c r="C166" s="24" t="s">
        <v>2415</v>
      </c>
      <c r="D166" s="62" t="s">
        <v>2224</v>
      </c>
      <c r="E166" s="24" t="s">
        <v>2225</v>
      </c>
      <c r="F166" s="8"/>
      <c r="G166" s="8"/>
      <c r="H166" s="82"/>
      <c r="I166" s="8"/>
      <c r="J166" s="80">
        <f>IF(ISNUMBER(MCC_Table[[#This Row],[SIZE]]), MCC_Table[[#This Row],[SIZE]]/12, 0)</f>
        <v>1</v>
      </c>
      <c r="K166" s="82"/>
      <c r="L166" s="82"/>
      <c r="M166" s="82"/>
      <c r="N166" s="82"/>
      <c r="O166" s="77"/>
      <c r="P166" s="110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225"/>
      <c r="AC166" s="225"/>
      <c r="AD166" s="225"/>
      <c r="AE166" s="29">
        <f>_xlfn.NUMBERVALUE(LEFT(MCC_Table[[#This Row],[BUCKET]],LEN(MCC_Table[[#This Row],[BUCKET]])-1))</f>
        <v>6</v>
      </c>
      <c r="AF166" s="29" t="str">
        <f>RIGHT(MCC_Table[[#This Row],[BUCKET]],1)</f>
        <v>L</v>
      </c>
      <c r="AG166" s="29">
        <f>VLOOKUP(MCC_Table[[#This Row],[START UNIT]],UnitMap[],2,FALSE)</f>
        <v>11</v>
      </c>
      <c r="AH166" s="29">
        <f t="array" ref="AH1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66" s="29">
        <f>IF(ISNUMBER(MCC_Table[[#This Row],[SIZE]]), MCC_Table[[#This Row],[SIZE]]/6, 0)</f>
        <v>2</v>
      </c>
      <c r="AJ166" s="29">
        <f>MCC_Table[[#This Row],[START INDEX]]+MCC_Table[[#This Row],[UNITS USED]]-1</f>
        <v>12</v>
      </c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</row>
    <row r="167" spans="1:57" ht="15.75" hidden="1" customHeight="1" thickTop="1" x14ac:dyDescent="0.25">
      <c r="A167" s="37" t="s">
        <v>2384</v>
      </c>
      <c r="B167" s="29" t="s">
        <v>2131</v>
      </c>
      <c r="C167" s="111" t="s">
        <v>2416</v>
      </c>
      <c r="D167" s="28" t="s">
        <v>2417</v>
      </c>
      <c r="E167" s="112" t="s">
        <v>2387</v>
      </c>
      <c r="F167" s="8">
        <v>2</v>
      </c>
      <c r="G167" s="8">
        <v>2</v>
      </c>
      <c r="H167" s="82"/>
      <c r="I167" s="8"/>
      <c r="J167" s="80">
        <f>IF(ISNUMBER(MCC_Table[[#This Row],[SIZE]]), MCC_Table[[#This Row],[SIZE]]/12, 0)</f>
        <v>2</v>
      </c>
      <c r="K167" s="82">
        <v>15</v>
      </c>
      <c r="L167" s="82">
        <v>125</v>
      </c>
      <c r="M167" s="82">
        <v>10</v>
      </c>
      <c r="N167" s="82" t="s">
        <v>2124</v>
      </c>
      <c r="O167" s="77"/>
      <c r="P167" s="110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225"/>
      <c r="AC167" s="225"/>
      <c r="AD167" s="225"/>
      <c r="AE167" s="29">
        <f>_xlfn.NUMBERVALUE(LEFT(MCC_Table[[#This Row],[BUCKET]],LEN(MCC_Table[[#This Row],[BUCKET]])-1))</f>
        <v>7</v>
      </c>
      <c r="AF167" s="29" t="str">
        <f>RIGHT(MCC_Table[[#This Row],[BUCKET]],1)</f>
        <v>A</v>
      </c>
      <c r="AG167" s="29">
        <f>VLOOKUP(MCC_Table[[#This Row],[START UNIT]],UnitMap[],2,FALSE)</f>
        <v>1</v>
      </c>
      <c r="AH167" s="29">
        <f t="array" ref="AH1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7" s="29">
        <f>IF(ISNUMBER(MCC_Table[[#This Row],[SIZE]]), MCC_Table[[#This Row],[SIZE]]/6, 0)</f>
        <v>4</v>
      </c>
      <c r="AJ167" s="29">
        <f>MCC_Table[[#This Row],[START INDEX]]+MCC_Table[[#This Row],[UNITS USED]]-1</f>
        <v>4</v>
      </c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</row>
    <row r="168" spans="1:57" ht="15.75" hidden="1" customHeight="1" thickTop="1" x14ac:dyDescent="0.25">
      <c r="A168" s="39" t="s">
        <v>2384</v>
      </c>
      <c r="B168" s="29" t="s">
        <v>2134</v>
      </c>
      <c r="C168" s="111" t="s">
        <v>2418</v>
      </c>
      <c r="D168" s="28" t="s">
        <v>2419</v>
      </c>
      <c r="E168" s="112" t="s">
        <v>2387</v>
      </c>
      <c r="F168" s="8">
        <v>2</v>
      </c>
      <c r="G168" s="8">
        <v>2</v>
      </c>
      <c r="H168" s="82"/>
      <c r="I168" s="8"/>
      <c r="J168" s="80">
        <f>IF(ISNUMBER(MCC_Table[[#This Row],[SIZE]]), MCC_Table[[#This Row],[SIZE]]/12, 0)</f>
        <v>2</v>
      </c>
      <c r="K168" s="82">
        <v>15</v>
      </c>
      <c r="L168" s="82">
        <v>125</v>
      </c>
      <c r="M168" s="82">
        <v>10</v>
      </c>
      <c r="N168" s="82" t="s">
        <v>2124</v>
      </c>
      <c r="O168" s="77"/>
      <c r="P168" s="110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225"/>
      <c r="AC168" s="225"/>
      <c r="AD168" s="225"/>
      <c r="AE168" s="29">
        <f>_xlfn.NUMBERVALUE(LEFT(MCC_Table[[#This Row],[BUCKET]],LEN(MCC_Table[[#This Row],[BUCKET]])-1))</f>
        <v>7</v>
      </c>
      <c r="AF168" s="29" t="str">
        <f>RIGHT(MCC_Table[[#This Row],[BUCKET]],1)</f>
        <v>E</v>
      </c>
      <c r="AG168" s="29">
        <f>VLOOKUP(MCC_Table[[#This Row],[START UNIT]],UnitMap[],2,FALSE)</f>
        <v>5</v>
      </c>
      <c r="AH168" s="29">
        <f t="array" ref="AH1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8" s="29">
        <f>IF(ISNUMBER(MCC_Table[[#This Row],[SIZE]]), MCC_Table[[#This Row],[SIZE]]/6, 0)</f>
        <v>4</v>
      </c>
      <c r="AJ168" s="29">
        <f>MCC_Table[[#This Row],[START INDEX]]+MCC_Table[[#This Row],[UNITS USED]]-1</f>
        <v>8</v>
      </c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</row>
    <row r="169" spans="1:57" ht="30.75" hidden="1" customHeight="1" thickTop="1" x14ac:dyDescent="0.25">
      <c r="A169" s="39" t="s">
        <v>2384</v>
      </c>
      <c r="B169" s="29" t="s">
        <v>2136</v>
      </c>
      <c r="C169" s="111" t="s">
        <v>2420</v>
      </c>
      <c r="D169" s="28" t="s">
        <v>2421</v>
      </c>
      <c r="E169" s="112" t="s">
        <v>2387</v>
      </c>
      <c r="F169" s="8">
        <v>2</v>
      </c>
      <c r="G169" s="8">
        <v>2</v>
      </c>
      <c r="H169" s="82"/>
      <c r="I169" s="8"/>
      <c r="J169" s="80">
        <f>IF(ISNUMBER(MCC_Table[[#This Row],[SIZE]]), MCC_Table[[#This Row],[SIZE]]/12, 0)</f>
        <v>2</v>
      </c>
      <c r="K169" s="82">
        <v>15</v>
      </c>
      <c r="L169" s="82">
        <v>125</v>
      </c>
      <c r="M169" s="82">
        <v>10</v>
      </c>
      <c r="N169" s="82" t="s">
        <v>2124</v>
      </c>
      <c r="O169" s="77"/>
      <c r="P169" s="110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225"/>
      <c r="AC169" s="225"/>
      <c r="AD169" s="225"/>
      <c r="AE169" s="29">
        <f>_xlfn.NUMBERVALUE(LEFT(MCC_Table[[#This Row],[BUCKET]],LEN(MCC_Table[[#This Row],[BUCKET]])-1))</f>
        <v>7</v>
      </c>
      <c r="AF169" s="29" t="str">
        <f>RIGHT(MCC_Table[[#This Row],[BUCKET]],1)</f>
        <v>J</v>
      </c>
      <c r="AG169" s="29">
        <f>VLOOKUP(MCC_Table[[#This Row],[START UNIT]],UnitMap[],2,FALSE)</f>
        <v>9</v>
      </c>
      <c r="AH169" s="29">
        <f t="array" ref="AH1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69" s="29">
        <f>IF(ISNUMBER(MCC_Table[[#This Row],[SIZE]]), MCC_Table[[#This Row],[SIZE]]/6, 0)</f>
        <v>4</v>
      </c>
      <c r="AJ169" s="29">
        <f>MCC_Table[[#This Row],[START INDEX]]+MCC_Table[[#This Row],[UNITS USED]]-1</f>
        <v>12</v>
      </c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</row>
    <row r="170" spans="1:57" ht="15.75" hidden="1" customHeight="1" thickTop="1" x14ac:dyDescent="0.25">
      <c r="A170" s="39" t="s">
        <v>2384</v>
      </c>
      <c r="B170" s="29" t="s">
        <v>2139</v>
      </c>
      <c r="C170" s="111" t="s">
        <v>2422</v>
      </c>
      <c r="D170" s="28" t="s">
        <v>2423</v>
      </c>
      <c r="E170" s="112" t="s">
        <v>2387</v>
      </c>
      <c r="F170" s="8">
        <v>5</v>
      </c>
      <c r="G170" s="8">
        <v>5</v>
      </c>
      <c r="H170" s="82"/>
      <c r="I170" s="8"/>
      <c r="J170" s="80">
        <f>IF(ISNUMBER(MCC_Table[[#This Row],[SIZE]]), MCC_Table[[#This Row],[SIZE]]/12, 0)</f>
        <v>2</v>
      </c>
      <c r="K170" s="82">
        <v>20</v>
      </c>
      <c r="L170" s="82">
        <v>125</v>
      </c>
      <c r="M170" s="82">
        <v>20</v>
      </c>
      <c r="N170" s="82" t="s">
        <v>2124</v>
      </c>
      <c r="O170" s="77"/>
      <c r="P170" s="110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225"/>
      <c r="AC170" s="225"/>
      <c r="AD170" s="225"/>
      <c r="AE170" s="29">
        <f>_xlfn.NUMBERVALUE(LEFT(MCC_Table[[#This Row],[BUCKET]],LEN(MCC_Table[[#This Row],[BUCKET]])-1))</f>
        <v>8</v>
      </c>
      <c r="AF170" s="29" t="str">
        <f>RIGHT(MCC_Table[[#This Row],[BUCKET]],1)</f>
        <v>A</v>
      </c>
      <c r="AG170" s="29">
        <f>VLOOKUP(MCC_Table[[#This Row],[START UNIT]],UnitMap[],2,FALSE)</f>
        <v>1</v>
      </c>
      <c r="AH170" s="29">
        <f t="array" ref="AH1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0" s="29">
        <f>IF(ISNUMBER(MCC_Table[[#This Row],[SIZE]]), MCC_Table[[#This Row],[SIZE]]/6, 0)</f>
        <v>4</v>
      </c>
      <c r="AJ170" s="29">
        <f>MCC_Table[[#This Row],[START INDEX]]+MCC_Table[[#This Row],[UNITS USED]]-1</f>
        <v>4</v>
      </c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</row>
    <row r="171" spans="1:57" ht="15.75" hidden="1" customHeight="1" thickTop="1" x14ac:dyDescent="0.25">
      <c r="A171" s="39" t="s">
        <v>2384</v>
      </c>
      <c r="B171" s="29" t="s">
        <v>2251</v>
      </c>
      <c r="C171" s="111" t="s">
        <v>2424</v>
      </c>
      <c r="D171" s="28" t="s">
        <v>2425</v>
      </c>
      <c r="E171" s="112" t="s">
        <v>2387</v>
      </c>
      <c r="F171" s="8">
        <v>5</v>
      </c>
      <c r="G171" s="8">
        <v>5</v>
      </c>
      <c r="H171" s="82"/>
      <c r="I171" s="8"/>
      <c r="J171" s="80">
        <f>IF(ISNUMBER(MCC_Table[[#This Row],[SIZE]]), MCC_Table[[#This Row],[SIZE]]/12, 0)</f>
        <v>2</v>
      </c>
      <c r="K171" s="82">
        <v>20</v>
      </c>
      <c r="L171" s="82">
        <v>125</v>
      </c>
      <c r="M171" s="82">
        <v>20</v>
      </c>
      <c r="N171" s="82" t="s">
        <v>2124</v>
      </c>
      <c r="O171" s="77"/>
      <c r="P171" s="110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225"/>
      <c r="AC171" s="225"/>
      <c r="AD171" s="225"/>
      <c r="AE171" s="29">
        <f>_xlfn.NUMBERVALUE(LEFT(MCC_Table[[#This Row],[BUCKET]],LEN(MCC_Table[[#This Row],[BUCKET]])-1))</f>
        <v>8</v>
      </c>
      <c r="AF171" s="29" t="str">
        <f>RIGHT(MCC_Table[[#This Row],[BUCKET]],1)</f>
        <v>E</v>
      </c>
      <c r="AG171" s="29">
        <f>VLOOKUP(MCC_Table[[#This Row],[START UNIT]],UnitMap[],2,FALSE)</f>
        <v>5</v>
      </c>
      <c r="AH171" s="29">
        <f t="array" ref="AH1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1" s="29">
        <f>IF(ISNUMBER(MCC_Table[[#This Row],[SIZE]]), MCC_Table[[#This Row],[SIZE]]/6, 0)</f>
        <v>4</v>
      </c>
      <c r="AJ171" s="29">
        <f>MCC_Table[[#This Row],[START INDEX]]+MCC_Table[[#This Row],[UNITS USED]]-1</f>
        <v>8</v>
      </c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</row>
    <row r="172" spans="1:57" ht="15.75" hidden="1" customHeight="1" thickTop="1" x14ac:dyDescent="0.25">
      <c r="A172" s="39" t="s">
        <v>2384</v>
      </c>
      <c r="B172" s="29" t="s">
        <v>2426</v>
      </c>
      <c r="C172" s="111" t="s">
        <v>2427</v>
      </c>
      <c r="D172" s="28" t="s">
        <v>2428</v>
      </c>
      <c r="E172" s="112" t="s">
        <v>2387</v>
      </c>
      <c r="F172" s="8">
        <v>5</v>
      </c>
      <c r="G172" s="8">
        <v>5</v>
      </c>
      <c r="H172" s="82"/>
      <c r="I172" s="8"/>
      <c r="J172" s="80">
        <f>IF(ISNUMBER(MCC_Table[[#This Row],[SIZE]]), MCC_Table[[#This Row],[SIZE]]/12, 0)</f>
        <v>2</v>
      </c>
      <c r="K172" s="82">
        <v>20</v>
      </c>
      <c r="L172" s="82">
        <v>125</v>
      </c>
      <c r="M172" s="82">
        <v>20</v>
      </c>
      <c r="N172" s="82" t="s">
        <v>2124</v>
      </c>
      <c r="O172" s="77"/>
      <c r="P172" s="110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225"/>
      <c r="AC172" s="225"/>
      <c r="AD172" s="225"/>
      <c r="AE172" s="29">
        <f>_xlfn.NUMBERVALUE(LEFT(MCC_Table[[#This Row],[BUCKET]],LEN(MCC_Table[[#This Row],[BUCKET]])-1))</f>
        <v>8</v>
      </c>
      <c r="AF172" s="29" t="str">
        <f>RIGHT(MCC_Table[[#This Row],[BUCKET]],1)</f>
        <v>J</v>
      </c>
      <c r="AG172" s="29">
        <f>VLOOKUP(MCC_Table[[#This Row],[START UNIT]],UnitMap[],2,FALSE)</f>
        <v>9</v>
      </c>
      <c r="AH172" s="29">
        <f t="array" ref="AH1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2" s="29">
        <f>IF(ISNUMBER(MCC_Table[[#This Row],[SIZE]]), MCC_Table[[#This Row],[SIZE]]/6, 0)</f>
        <v>4</v>
      </c>
      <c r="AJ172" s="29">
        <f>MCC_Table[[#This Row],[START INDEX]]+MCC_Table[[#This Row],[UNITS USED]]-1</f>
        <v>12</v>
      </c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</row>
    <row r="173" spans="1:57" ht="15.75" hidden="1" customHeight="1" thickTop="1" x14ac:dyDescent="0.25">
      <c r="A173" s="37" t="s">
        <v>2384</v>
      </c>
      <c r="B173" s="29" t="s">
        <v>2147</v>
      </c>
      <c r="C173" s="111" t="s">
        <v>2429</v>
      </c>
      <c r="D173" s="28" t="s">
        <v>2430</v>
      </c>
      <c r="E173" s="112"/>
      <c r="F173" s="8"/>
      <c r="G173" s="8"/>
      <c r="H173" s="82"/>
      <c r="I173" s="8"/>
      <c r="J173" s="80">
        <f>IF(ISNUMBER(MCC_Table[[#This Row],[SIZE]]), MCC_Table[[#This Row],[SIZE]]/12, 0)</f>
        <v>2</v>
      </c>
      <c r="K173" s="82"/>
      <c r="L173" s="82"/>
      <c r="M173" s="82"/>
      <c r="N173" s="82"/>
      <c r="O173" s="77"/>
      <c r="P173" s="110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225"/>
      <c r="AC173" s="225"/>
      <c r="AD173" s="225"/>
      <c r="AE173" s="29">
        <f>_xlfn.NUMBERVALUE(LEFT(MCC_Table[[#This Row],[BUCKET]],LEN(MCC_Table[[#This Row],[BUCKET]])-1))</f>
        <v>9</v>
      </c>
      <c r="AF173" s="29" t="str">
        <f>RIGHT(MCC_Table[[#This Row],[BUCKET]],1)</f>
        <v>A</v>
      </c>
      <c r="AG173" s="29">
        <f>VLOOKUP(MCC_Table[[#This Row],[START UNIT]],UnitMap[],2,FALSE)</f>
        <v>1</v>
      </c>
      <c r="AH173" s="29">
        <f t="array" ref="AH1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3" s="29">
        <f>IF(ISNUMBER(MCC_Table[[#This Row],[SIZE]]), MCC_Table[[#This Row],[SIZE]]/6, 0)</f>
        <v>4</v>
      </c>
      <c r="AJ173" s="29">
        <f>MCC_Table[[#This Row],[START INDEX]]+MCC_Table[[#This Row],[UNITS USED]]-1</f>
        <v>4</v>
      </c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</row>
    <row r="174" spans="1:57" ht="15.75" hidden="1" customHeight="1" thickTop="1" x14ac:dyDescent="0.25">
      <c r="A174" s="39" t="s">
        <v>2384</v>
      </c>
      <c r="B174" s="29" t="s">
        <v>2257</v>
      </c>
      <c r="C174" s="111" t="s">
        <v>2431</v>
      </c>
      <c r="D174" s="28" t="s">
        <v>2432</v>
      </c>
      <c r="E174" s="112" t="s">
        <v>2387</v>
      </c>
      <c r="F174" s="8">
        <v>2</v>
      </c>
      <c r="G174" s="8">
        <v>2</v>
      </c>
      <c r="H174" s="82"/>
      <c r="I174" s="8"/>
      <c r="J174" s="80">
        <f>IF(ISNUMBER(MCC_Table[[#This Row],[SIZE]]), MCC_Table[[#This Row],[SIZE]]/12, 0)</f>
        <v>2</v>
      </c>
      <c r="K174" s="82">
        <v>15</v>
      </c>
      <c r="L174" s="82">
        <v>125</v>
      </c>
      <c r="M174" s="82">
        <v>10</v>
      </c>
      <c r="N174" s="82" t="s">
        <v>2124</v>
      </c>
      <c r="O174" s="77"/>
      <c r="P174" s="110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225"/>
      <c r="AC174" s="225"/>
      <c r="AD174" s="225"/>
      <c r="AE174" s="29">
        <f>_xlfn.NUMBERVALUE(LEFT(MCC_Table[[#This Row],[BUCKET]],LEN(MCC_Table[[#This Row],[BUCKET]])-1))</f>
        <v>9</v>
      </c>
      <c r="AF174" s="29" t="str">
        <f>RIGHT(MCC_Table[[#This Row],[BUCKET]],1)</f>
        <v>E</v>
      </c>
      <c r="AG174" s="29">
        <f>VLOOKUP(MCC_Table[[#This Row],[START UNIT]],UnitMap[],2,FALSE)</f>
        <v>5</v>
      </c>
      <c r="AH174" s="29">
        <f t="array" ref="AH1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4" s="29">
        <f>IF(ISNUMBER(MCC_Table[[#This Row],[SIZE]]), MCC_Table[[#This Row],[SIZE]]/6, 0)</f>
        <v>4</v>
      </c>
      <c r="AJ174" s="29">
        <f>MCC_Table[[#This Row],[START INDEX]]+MCC_Table[[#This Row],[UNITS USED]]-1</f>
        <v>8</v>
      </c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</row>
    <row r="175" spans="1:57" ht="15.75" hidden="1" customHeight="1" thickTop="1" x14ac:dyDescent="0.25">
      <c r="A175" s="39" t="s">
        <v>2384</v>
      </c>
      <c r="B175" s="29" t="s">
        <v>2433</v>
      </c>
      <c r="C175" s="111" t="s">
        <v>2434</v>
      </c>
      <c r="D175" s="28" t="s">
        <v>2435</v>
      </c>
      <c r="E175" s="112" t="s">
        <v>2387</v>
      </c>
      <c r="F175" s="8">
        <v>2</v>
      </c>
      <c r="G175" s="8">
        <v>2</v>
      </c>
      <c r="H175" s="82"/>
      <c r="I175" s="8"/>
      <c r="J175" s="80">
        <f>IF(ISNUMBER(MCC_Table[[#This Row],[SIZE]]), MCC_Table[[#This Row],[SIZE]]/12, 0)</f>
        <v>2</v>
      </c>
      <c r="K175" s="82">
        <v>15</v>
      </c>
      <c r="L175" s="82">
        <v>125</v>
      </c>
      <c r="M175" s="82">
        <v>10</v>
      </c>
      <c r="N175" s="82" t="s">
        <v>2124</v>
      </c>
      <c r="O175" s="77"/>
      <c r="P175" s="110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225"/>
      <c r="AC175" s="225"/>
      <c r="AD175" s="225"/>
      <c r="AE175" s="29">
        <f>_xlfn.NUMBERVALUE(LEFT(MCC_Table[[#This Row],[BUCKET]],LEN(MCC_Table[[#This Row],[BUCKET]])-1))</f>
        <v>9</v>
      </c>
      <c r="AF175" s="29" t="str">
        <f>RIGHT(MCC_Table[[#This Row],[BUCKET]],1)</f>
        <v>J</v>
      </c>
      <c r="AG175" s="29">
        <f>VLOOKUP(MCC_Table[[#This Row],[START UNIT]],UnitMap[],2,FALSE)</f>
        <v>9</v>
      </c>
      <c r="AH175" s="29">
        <f t="array" ref="AH1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5" s="29">
        <f>IF(ISNUMBER(MCC_Table[[#This Row],[SIZE]]), MCC_Table[[#This Row],[SIZE]]/6, 0)</f>
        <v>4</v>
      </c>
      <c r="AJ175" s="29">
        <f>MCC_Table[[#This Row],[START INDEX]]+MCC_Table[[#This Row],[UNITS USED]]-1</f>
        <v>12</v>
      </c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</row>
    <row r="176" spans="1:57" ht="15.75" hidden="1" customHeight="1" thickTop="1" x14ac:dyDescent="0.25">
      <c r="A176" s="39" t="s">
        <v>2384</v>
      </c>
      <c r="B176" s="29" t="s">
        <v>2154</v>
      </c>
      <c r="C176" s="111" t="s">
        <v>2436</v>
      </c>
      <c r="D176" s="28" t="s">
        <v>2437</v>
      </c>
      <c r="E176" s="112" t="s">
        <v>2387</v>
      </c>
      <c r="F176" s="8">
        <v>2</v>
      </c>
      <c r="G176" s="8">
        <v>2</v>
      </c>
      <c r="H176" s="82"/>
      <c r="I176" s="8"/>
      <c r="J176" s="80">
        <f>IF(ISNUMBER(MCC_Table[[#This Row],[SIZE]]), MCC_Table[[#This Row],[SIZE]]/12, 0)</f>
        <v>2</v>
      </c>
      <c r="K176" s="82">
        <v>15</v>
      </c>
      <c r="L176" s="82">
        <v>125</v>
      </c>
      <c r="M176" s="82">
        <v>10</v>
      </c>
      <c r="N176" s="82" t="s">
        <v>2124</v>
      </c>
      <c r="O176" s="77"/>
      <c r="P176" s="110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225"/>
      <c r="AC176" s="225"/>
      <c r="AD176" s="225"/>
      <c r="AE176" s="29">
        <f>_xlfn.NUMBERVALUE(LEFT(MCC_Table[[#This Row],[BUCKET]],LEN(MCC_Table[[#This Row],[BUCKET]])-1))</f>
        <v>10</v>
      </c>
      <c r="AF176" s="29" t="str">
        <f>RIGHT(MCC_Table[[#This Row],[BUCKET]],1)</f>
        <v>A</v>
      </c>
      <c r="AG176" s="29">
        <f>VLOOKUP(MCC_Table[[#This Row],[START UNIT]],UnitMap[],2,FALSE)</f>
        <v>1</v>
      </c>
      <c r="AH176" s="29">
        <f t="array" ref="AH1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6" s="29">
        <f>IF(ISNUMBER(MCC_Table[[#This Row],[SIZE]]), MCC_Table[[#This Row],[SIZE]]/6, 0)</f>
        <v>4</v>
      </c>
      <c r="AJ176" s="29">
        <f>MCC_Table[[#This Row],[START INDEX]]+MCC_Table[[#This Row],[UNITS USED]]-1</f>
        <v>4</v>
      </c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</row>
    <row r="177" spans="1:57" ht="15.75" hidden="1" customHeight="1" thickTop="1" x14ac:dyDescent="0.25">
      <c r="A177" s="39" t="s">
        <v>2384</v>
      </c>
      <c r="B177" s="29" t="s">
        <v>2263</v>
      </c>
      <c r="C177" s="111" t="s">
        <v>2438</v>
      </c>
      <c r="D177" s="28" t="s">
        <v>2439</v>
      </c>
      <c r="E177" s="112" t="s">
        <v>2387</v>
      </c>
      <c r="F177" s="8">
        <v>2</v>
      </c>
      <c r="G177" s="8">
        <v>2</v>
      </c>
      <c r="H177" s="82"/>
      <c r="I177" s="8"/>
      <c r="J177" s="80">
        <f>IF(ISNUMBER(MCC_Table[[#This Row],[SIZE]]), MCC_Table[[#This Row],[SIZE]]/12, 0)</f>
        <v>2</v>
      </c>
      <c r="K177" s="82">
        <v>15</v>
      </c>
      <c r="L177" s="82">
        <v>125</v>
      </c>
      <c r="M177" s="82">
        <v>10</v>
      </c>
      <c r="N177" s="82" t="s">
        <v>2124</v>
      </c>
      <c r="O177" s="77"/>
      <c r="P177" s="110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225"/>
      <c r="AC177" s="225"/>
      <c r="AD177" s="225"/>
      <c r="AE177" s="29">
        <f>_xlfn.NUMBERVALUE(LEFT(MCC_Table[[#This Row],[BUCKET]],LEN(MCC_Table[[#This Row],[BUCKET]])-1))</f>
        <v>10</v>
      </c>
      <c r="AF177" s="29" t="str">
        <f>RIGHT(MCC_Table[[#This Row],[BUCKET]],1)</f>
        <v>E</v>
      </c>
      <c r="AG177" s="29">
        <f>VLOOKUP(MCC_Table[[#This Row],[START UNIT]],UnitMap[],2,FALSE)</f>
        <v>5</v>
      </c>
      <c r="AH177" s="29">
        <f t="array" ref="AH1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7" s="29">
        <f>IF(ISNUMBER(MCC_Table[[#This Row],[SIZE]]), MCC_Table[[#This Row],[SIZE]]/6, 0)</f>
        <v>4</v>
      </c>
      <c r="AJ177" s="29">
        <f>MCC_Table[[#This Row],[START INDEX]]+MCC_Table[[#This Row],[UNITS USED]]-1</f>
        <v>8</v>
      </c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</row>
    <row r="178" spans="1:57" ht="15.75" hidden="1" customHeight="1" thickTop="1" x14ac:dyDescent="0.25">
      <c r="A178" s="39" t="s">
        <v>2384</v>
      </c>
      <c r="B178" s="29" t="s">
        <v>2440</v>
      </c>
      <c r="C178" s="111" t="s">
        <v>2441</v>
      </c>
      <c r="D178" s="28" t="s">
        <v>2442</v>
      </c>
      <c r="E178" s="112" t="s">
        <v>2387</v>
      </c>
      <c r="F178" s="8">
        <v>2</v>
      </c>
      <c r="G178" s="8">
        <v>2</v>
      </c>
      <c r="H178" s="82"/>
      <c r="I178" s="8"/>
      <c r="J178" s="80">
        <f>IF(ISNUMBER(MCC_Table[[#This Row],[SIZE]]), MCC_Table[[#This Row],[SIZE]]/12, 0)</f>
        <v>2</v>
      </c>
      <c r="K178" s="82">
        <v>15</v>
      </c>
      <c r="L178" s="82">
        <v>125</v>
      </c>
      <c r="M178" s="82">
        <v>10</v>
      </c>
      <c r="N178" s="82" t="s">
        <v>2124</v>
      </c>
      <c r="O178" s="77"/>
      <c r="P178" s="110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225"/>
      <c r="AC178" s="225"/>
      <c r="AD178" s="225"/>
      <c r="AE178" s="29">
        <f>_xlfn.NUMBERVALUE(LEFT(MCC_Table[[#This Row],[BUCKET]],LEN(MCC_Table[[#This Row],[BUCKET]])-1))</f>
        <v>10</v>
      </c>
      <c r="AF178" s="29" t="str">
        <f>RIGHT(MCC_Table[[#This Row],[BUCKET]],1)</f>
        <v>J</v>
      </c>
      <c r="AG178" s="29">
        <f>VLOOKUP(MCC_Table[[#This Row],[START UNIT]],UnitMap[],2,FALSE)</f>
        <v>9</v>
      </c>
      <c r="AH178" s="29">
        <f t="array" ref="AH1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78" s="29">
        <f>IF(ISNUMBER(MCC_Table[[#This Row],[SIZE]]), MCC_Table[[#This Row],[SIZE]]/6, 0)</f>
        <v>4</v>
      </c>
      <c r="AJ178" s="29">
        <f>MCC_Table[[#This Row],[START INDEX]]+MCC_Table[[#This Row],[UNITS USED]]-1</f>
        <v>12</v>
      </c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</row>
    <row r="179" spans="1:57" ht="15.75" hidden="1" customHeight="1" thickTop="1" x14ac:dyDescent="0.25">
      <c r="A179" s="37" t="s">
        <v>2384</v>
      </c>
      <c r="B179" s="29" t="s">
        <v>2161</v>
      </c>
      <c r="C179" s="111" t="s">
        <v>2443</v>
      </c>
      <c r="D179" s="28" t="s">
        <v>2444</v>
      </c>
      <c r="E179" s="112" t="s">
        <v>2387</v>
      </c>
      <c r="F179" s="8">
        <v>150</v>
      </c>
      <c r="G179" s="8">
        <v>150</v>
      </c>
      <c r="H179" s="82"/>
      <c r="I179" s="8"/>
      <c r="J179" s="80">
        <f>IF(ISNUMBER(MCC_Table[[#This Row],[SIZE]]), MCC_Table[[#This Row],[SIZE]]/12, 0)</f>
        <v>6</v>
      </c>
      <c r="K179" s="82">
        <v>250</v>
      </c>
      <c r="L179" s="82">
        <v>250</v>
      </c>
      <c r="M179" s="82">
        <v>300</v>
      </c>
      <c r="N179" s="82" t="s">
        <v>2445</v>
      </c>
      <c r="O179" s="77"/>
      <c r="P179" s="110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225"/>
      <c r="AC179" s="225"/>
      <c r="AD179" s="225"/>
      <c r="AE179" s="29">
        <f>_xlfn.NUMBERVALUE(LEFT(MCC_Table[[#This Row],[BUCKET]],LEN(MCC_Table[[#This Row],[BUCKET]])-1))</f>
        <v>11</v>
      </c>
      <c r="AF179" s="29" t="str">
        <f>RIGHT(MCC_Table[[#This Row],[BUCKET]],1)</f>
        <v>A</v>
      </c>
      <c r="AG179" s="29">
        <f>VLOOKUP(MCC_Table[[#This Row],[START UNIT]],UnitMap[],2,FALSE)</f>
        <v>1</v>
      </c>
      <c r="AH179" s="29">
        <f t="array" ref="AH1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179" s="29">
        <f>IF(ISNUMBER(MCC_Table[[#This Row],[SIZE]]), MCC_Table[[#This Row],[SIZE]]/6, 0)</f>
        <v>12</v>
      </c>
      <c r="AJ179" s="29">
        <f>MCC_Table[[#This Row],[START INDEX]]+MCC_Table[[#This Row],[UNITS USED]]-1</f>
        <v>12</v>
      </c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</row>
    <row r="180" spans="1:57" ht="15.75" hidden="1" customHeight="1" thickTop="1" x14ac:dyDescent="0.25">
      <c r="A180" s="39" t="s">
        <v>2384</v>
      </c>
      <c r="B180" s="29" t="s">
        <v>2168</v>
      </c>
      <c r="C180" s="111" t="s">
        <v>2446</v>
      </c>
      <c r="D180" s="28" t="s">
        <v>2447</v>
      </c>
      <c r="E180" s="112" t="s">
        <v>2387</v>
      </c>
      <c r="F180" s="8">
        <v>3</v>
      </c>
      <c r="G180" s="8">
        <v>5</v>
      </c>
      <c r="H180" s="82"/>
      <c r="I180" s="8"/>
      <c r="J180" s="80">
        <f>IF(ISNUMBER(MCC_Table[[#This Row],[SIZE]]), MCC_Table[[#This Row],[SIZE]]/12, 0)</f>
        <v>2</v>
      </c>
      <c r="K180" s="82">
        <v>15</v>
      </c>
      <c r="L180" s="82">
        <v>125</v>
      </c>
      <c r="M180" s="82">
        <v>15</v>
      </c>
      <c r="N180" s="82" t="s">
        <v>2124</v>
      </c>
      <c r="O180" s="77"/>
      <c r="P180" s="110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225"/>
      <c r="AC180" s="225"/>
      <c r="AD180" s="225"/>
      <c r="AE180" s="29">
        <f>_xlfn.NUMBERVALUE(LEFT(MCC_Table[[#This Row],[BUCKET]],LEN(MCC_Table[[#This Row],[BUCKET]])-1))</f>
        <v>12</v>
      </c>
      <c r="AF180" s="29" t="str">
        <f>RIGHT(MCC_Table[[#This Row],[BUCKET]],1)</f>
        <v>A</v>
      </c>
      <c r="AG180" s="29">
        <f>VLOOKUP(MCC_Table[[#This Row],[START UNIT]],UnitMap[],2,FALSE)</f>
        <v>1</v>
      </c>
      <c r="AH180" s="29">
        <f t="array" ref="AH1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80" s="29">
        <f>IF(ISNUMBER(MCC_Table[[#This Row],[SIZE]]), MCC_Table[[#This Row],[SIZE]]/6, 0)</f>
        <v>4</v>
      </c>
      <c r="AJ180" s="29">
        <f>MCC_Table[[#This Row],[START INDEX]]+MCC_Table[[#This Row],[UNITS USED]]-1</f>
        <v>4</v>
      </c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</row>
    <row r="181" spans="1:57" ht="15.75" hidden="1" customHeight="1" thickTop="1" x14ac:dyDescent="0.25">
      <c r="A181" s="39" t="s">
        <v>2384</v>
      </c>
      <c r="B181" s="29" t="s">
        <v>2171</v>
      </c>
      <c r="C181" s="111" t="s">
        <v>2103</v>
      </c>
      <c r="D181" s="28" t="s">
        <v>2104</v>
      </c>
      <c r="E181" s="112" t="s">
        <v>2103</v>
      </c>
      <c r="F181" s="8"/>
      <c r="G181" s="8"/>
      <c r="H181" s="82"/>
      <c r="I181" s="8"/>
      <c r="J181" s="80">
        <f>IF(ISNUMBER(MCC_Table[[#This Row],[SIZE]]), MCC_Table[[#This Row],[SIZE]]/12, 0)</f>
        <v>0.5</v>
      </c>
      <c r="K181" s="82"/>
      <c r="L181" s="82"/>
      <c r="M181" s="82"/>
      <c r="N181" s="82"/>
      <c r="O181" s="77"/>
      <c r="P181" s="110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225"/>
      <c r="AC181" s="225"/>
      <c r="AD181" s="225"/>
      <c r="AE181" s="29">
        <f>_xlfn.NUMBERVALUE(LEFT(MCC_Table[[#This Row],[BUCKET]],LEN(MCC_Table[[#This Row],[BUCKET]])-1))</f>
        <v>12</v>
      </c>
      <c r="AF181" s="29" t="str">
        <f>RIGHT(MCC_Table[[#This Row],[BUCKET]],1)</f>
        <v>E</v>
      </c>
      <c r="AG181" s="29">
        <f>VLOOKUP(MCC_Table[[#This Row],[START UNIT]],UnitMap[],2,FALSE)</f>
        <v>5</v>
      </c>
      <c r="AH181" s="29">
        <f t="array" ref="AH1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81" s="29">
        <f>IF(ISNUMBER(MCC_Table[[#This Row],[SIZE]]), MCC_Table[[#This Row],[SIZE]]/6, 0)</f>
        <v>1</v>
      </c>
      <c r="AJ181" s="29">
        <f>MCC_Table[[#This Row],[START INDEX]]+MCC_Table[[#This Row],[UNITS USED]]-1</f>
        <v>5</v>
      </c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</row>
    <row r="182" spans="1:57" ht="15.75" hidden="1" customHeight="1" thickTop="1" x14ac:dyDescent="0.25">
      <c r="A182" s="39" t="s">
        <v>2384</v>
      </c>
      <c r="B182" s="29" t="s">
        <v>2172</v>
      </c>
      <c r="C182" s="111" t="s">
        <v>2448</v>
      </c>
      <c r="D182" s="28" t="s">
        <v>2449</v>
      </c>
      <c r="E182" s="112" t="s">
        <v>2387</v>
      </c>
      <c r="F182" s="8">
        <v>100</v>
      </c>
      <c r="G182" s="8">
        <v>100</v>
      </c>
      <c r="H182" s="82"/>
      <c r="I182" s="8"/>
      <c r="J182" s="80">
        <f>IF(ISNUMBER(MCC_Table[[#This Row],[SIZE]]), MCC_Table[[#This Row],[SIZE]]/12, 0)</f>
        <v>3.5</v>
      </c>
      <c r="K182" s="82">
        <v>250</v>
      </c>
      <c r="L182" s="82">
        <v>250</v>
      </c>
      <c r="M182" s="82">
        <v>225</v>
      </c>
      <c r="N182" s="82" t="s">
        <v>2450</v>
      </c>
      <c r="O182" s="77"/>
      <c r="P182" s="110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225"/>
      <c r="AC182" s="225"/>
      <c r="AD182" s="225"/>
      <c r="AE182" s="29">
        <f>_xlfn.NUMBERVALUE(LEFT(MCC_Table[[#This Row],[BUCKET]],LEN(MCC_Table[[#This Row],[BUCKET]])-1))</f>
        <v>12</v>
      </c>
      <c r="AF182" s="29" t="str">
        <f>RIGHT(MCC_Table[[#This Row],[BUCKET]],1)</f>
        <v>F</v>
      </c>
      <c r="AG182" s="29">
        <f>VLOOKUP(MCC_Table[[#This Row],[START UNIT]],UnitMap[],2,FALSE)</f>
        <v>6</v>
      </c>
      <c r="AH182" s="29">
        <f t="array" ref="AH1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82" s="29">
        <f>IF(ISNUMBER(MCC_Table[[#This Row],[SIZE]]), MCC_Table[[#This Row],[SIZE]]/6, 0)</f>
        <v>7</v>
      </c>
      <c r="AJ182" s="29">
        <f>MCC_Table[[#This Row],[START INDEX]]+MCC_Table[[#This Row],[UNITS USED]]-1</f>
        <v>12</v>
      </c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</row>
    <row r="183" spans="1:57" ht="15.75" hidden="1" customHeight="1" thickTop="1" x14ac:dyDescent="0.25">
      <c r="A183" s="39" t="s">
        <v>2384</v>
      </c>
      <c r="B183" s="29" t="s">
        <v>2176</v>
      </c>
      <c r="C183" s="111" t="s">
        <v>2451</v>
      </c>
      <c r="D183" s="28" t="s">
        <v>2452</v>
      </c>
      <c r="E183" s="112" t="s">
        <v>2387</v>
      </c>
      <c r="F183" s="8">
        <v>2</v>
      </c>
      <c r="G183" s="8">
        <v>2</v>
      </c>
      <c r="H183" s="82"/>
      <c r="I183" s="8"/>
      <c r="J183" s="80">
        <f>IF(ISNUMBER(MCC_Table[[#This Row],[SIZE]]), MCC_Table[[#This Row],[SIZE]]/12, 0)</f>
        <v>2</v>
      </c>
      <c r="K183" s="82"/>
      <c r="L183" s="82"/>
      <c r="M183" s="82"/>
      <c r="N183" s="82" t="s">
        <v>2124</v>
      </c>
      <c r="O183" s="77"/>
      <c r="P183" s="110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225"/>
      <c r="AC183" s="225"/>
      <c r="AD183" s="225"/>
      <c r="AE183" s="29">
        <f>_xlfn.NUMBERVALUE(LEFT(MCC_Table[[#This Row],[BUCKET]],LEN(MCC_Table[[#This Row],[BUCKET]])-1))</f>
        <v>13</v>
      </c>
      <c r="AF183" s="29" t="str">
        <f>RIGHT(MCC_Table[[#This Row],[BUCKET]],1)</f>
        <v>A</v>
      </c>
      <c r="AG183" s="29">
        <f>VLOOKUP(MCC_Table[[#This Row],[START UNIT]],UnitMap[],2,FALSE)</f>
        <v>1</v>
      </c>
      <c r="AH183" s="29">
        <f t="array" ref="AH1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83" s="29">
        <f>IF(ISNUMBER(MCC_Table[[#This Row],[SIZE]]), MCC_Table[[#This Row],[SIZE]]/6, 0)</f>
        <v>4</v>
      </c>
      <c r="AJ183" s="29">
        <f>MCC_Table[[#This Row],[START INDEX]]+MCC_Table[[#This Row],[UNITS USED]]-1</f>
        <v>4</v>
      </c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</row>
    <row r="184" spans="1:57" ht="15.75" hidden="1" customHeight="1" thickTop="1" x14ac:dyDescent="0.25">
      <c r="A184" s="39" t="s">
        <v>2384</v>
      </c>
      <c r="B184" s="29" t="s">
        <v>2367</v>
      </c>
      <c r="C184" s="111" t="s">
        <v>2103</v>
      </c>
      <c r="D184" s="28" t="s">
        <v>2104</v>
      </c>
      <c r="E184" s="112" t="s">
        <v>2103</v>
      </c>
      <c r="F184" s="8"/>
      <c r="G184" s="8"/>
      <c r="H184" s="82"/>
      <c r="I184" s="8"/>
      <c r="J184" s="80">
        <f>IF(ISNUMBER(MCC_Table[[#This Row],[SIZE]]), MCC_Table[[#This Row],[SIZE]]/12, 0)</f>
        <v>0.5</v>
      </c>
      <c r="K184" s="82"/>
      <c r="L184" s="82"/>
      <c r="M184" s="82"/>
      <c r="N184" s="82"/>
      <c r="O184" s="77"/>
      <c r="P184" s="110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225"/>
      <c r="AC184" s="225"/>
      <c r="AD184" s="225"/>
      <c r="AE184" s="29">
        <f>_xlfn.NUMBERVALUE(LEFT(MCC_Table[[#This Row],[BUCKET]],LEN(MCC_Table[[#This Row],[BUCKET]])-1))</f>
        <v>13</v>
      </c>
      <c r="AF184" s="29" t="str">
        <f>RIGHT(MCC_Table[[#This Row],[BUCKET]],1)</f>
        <v>E</v>
      </c>
      <c r="AG184" s="29">
        <f>VLOOKUP(MCC_Table[[#This Row],[START UNIT]],UnitMap[],2,FALSE)</f>
        <v>5</v>
      </c>
      <c r="AH184" s="29">
        <f t="array" ref="AH1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84" s="29">
        <f>IF(ISNUMBER(MCC_Table[[#This Row],[SIZE]]), MCC_Table[[#This Row],[SIZE]]/6, 0)</f>
        <v>1</v>
      </c>
      <c r="AJ184" s="29">
        <f>MCC_Table[[#This Row],[START INDEX]]+MCC_Table[[#This Row],[UNITS USED]]-1</f>
        <v>5</v>
      </c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</row>
    <row r="185" spans="1:57" ht="15.75" hidden="1" customHeight="1" thickTop="1" x14ac:dyDescent="0.25">
      <c r="A185" s="39" t="s">
        <v>2384</v>
      </c>
      <c r="B185" s="29" t="s">
        <v>2453</v>
      </c>
      <c r="C185" s="111" t="s">
        <v>2454</v>
      </c>
      <c r="D185" s="28" t="s">
        <v>2455</v>
      </c>
      <c r="E185" s="112" t="s">
        <v>2387</v>
      </c>
      <c r="F185" s="8">
        <v>100</v>
      </c>
      <c r="G185" s="8">
        <v>100</v>
      </c>
      <c r="H185" s="82"/>
      <c r="I185" s="8"/>
      <c r="J185" s="80">
        <f>IF(ISNUMBER(MCC_Table[[#This Row],[SIZE]]), MCC_Table[[#This Row],[SIZE]]/12, 0)</f>
        <v>3.5</v>
      </c>
      <c r="K185" s="82">
        <v>250</v>
      </c>
      <c r="L185" s="82">
        <v>250</v>
      </c>
      <c r="M185" s="82">
        <v>225</v>
      </c>
      <c r="N185" s="82" t="s">
        <v>2450</v>
      </c>
      <c r="O185" s="77"/>
      <c r="P185" s="110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225"/>
      <c r="AC185" s="225"/>
      <c r="AD185" s="225"/>
      <c r="AE185" s="29">
        <f>_xlfn.NUMBERVALUE(LEFT(MCC_Table[[#This Row],[BUCKET]],LEN(MCC_Table[[#This Row],[BUCKET]])-1))</f>
        <v>13</v>
      </c>
      <c r="AF185" s="29" t="str">
        <f>RIGHT(MCC_Table[[#This Row],[BUCKET]],1)</f>
        <v>F</v>
      </c>
      <c r="AG185" s="29">
        <f>VLOOKUP(MCC_Table[[#This Row],[START UNIT]],UnitMap[],2,FALSE)</f>
        <v>6</v>
      </c>
      <c r="AH185" s="29">
        <f t="array" ref="AH1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185" s="29">
        <f>IF(ISNUMBER(MCC_Table[[#This Row],[SIZE]]), MCC_Table[[#This Row],[SIZE]]/6, 0)</f>
        <v>7</v>
      </c>
      <c r="AJ185" s="29">
        <f>MCC_Table[[#This Row],[START INDEX]]+MCC_Table[[#This Row],[UNITS USED]]-1</f>
        <v>12</v>
      </c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</row>
    <row r="186" spans="1:57" ht="15.75" hidden="1" customHeight="1" thickTop="1" x14ac:dyDescent="0.25">
      <c r="A186" s="39" t="s">
        <v>2384</v>
      </c>
      <c r="B186" s="29" t="s">
        <v>2186</v>
      </c>
      <c r="C186" s="111" t="s">
        <v>2456</v>
      </c>
      <c r="D186" s="28" t="s">
        <v>2167</v>
      </c>
      <c r="E186" s="112" t="s">
        <v>2387</v>
      </c>
      <c r="F186" s="8">
        <v>15</v>
      </c>
      <c r="G186" s="8">
        <v>15</v>
      </c>
      <c r="H186" s="82"/>
      <c r="I186" s="8"/>
      <c r="J186" s="80">
        <f>IF(ISNUMBER(MCC_Table[[#This Row],[SIZE]]), MCC_Table[[#This Row],[SIZE]]/12, 0)</f>
        <v>3</v>
      </c>
      <c r="K186" s="82">
        <v>60</v>
      </c>
      <c r="L186" s="82">
        <v>125</v>
      </c>
      <c r="M186" s="82">
        <v>40</v>
      </c>
      <c r="N186" s="82" t="s">
        <v>2198</v>
      </c>
      <c r="O186" s="77"/>
      <c r="P186" s="110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225"/>
      <c r="AC186" s="225"/>
      <c r="AD186" s="225"/>
      <c r="AE186" s="29">
        <f>_xlfn.NUMBERVALUE(LEFT(MCC_Table[[#This Row],[BUCKET]],LEN(MCC_Table[[#This Row],[BUCKET]])-1))</f>
        <v>14</v>
      </c>
      <c r="AF186" s="29" t="str">
        <f>RIGHT(MCC_Table[[#This Row],[BUCKET]],1)</f>
        <v>A</v>
      </c>
      <c r="AG186" s="29">
        <f>VLOOKUP(MCC_Table[[#This Row],[START UNIT]],UnitMap[],2,FALSE)</f>
        <v>1</v>
      </c>
      <c r="AH186" s="29">
        <f t="array" ref="AH1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186" s="29">
        <f>IF(ISNUMBER(MCC_Table[[#This Row],[SIZE]]), MCC_Table[[#This Row],[SIZE]]/6, 0)</f>
        <v>6</v>
      </c>
      <c r="AJ186" s="29">
        <f>MCC_Table[[#This Row],[START INDEX]]+MCC_Table[[#This Row],[UNITS USED]]-1</f>
        <v>6</v>
      </c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</row>
    <row r="187" spans="1:57" ht="15.75" hidden="1" customHeight="1" thickTop="1" x14ac:dyDescent="0.25">
      <c r="A187" s="39" t="s">
        <v>2384</v>
      </c>
      <c r="B187" s="29" t="s">
        <v>2457</v>
      </c>
      <c r="C187" s="111" t="s">
        <v>1933</v>
      </c>
      <c r="D187" s="28" t="s">
        <v>2135</v>
      </c>
      <c r="E187" s="112" t="s">
        <v>2387</v>
      </c>
      <c r="F187" s="8"/>
      <c r="G187" s="8"/>
      <c r="H187" s="82"/>
      <c r="I187" s="8"/>
      <c r="J187" s="80">
        <f>IF(ISNUMBER(MCC_Table[[#This Row],[SIZE]]), MCC_Table[[#This Row],[SIZE]]/12, 0)</f>
        <v>2</v>
      </c>
      <c r="K187" s="82">
        <v>15</v>
      </c>
      <c r="L187" s="82">
        <v>125</v>
      </c>
      <c r="M187" s="82">
        <v>10</v>
      </c>
      <c r="N187" s="82" t="s">
        <v>2124</v>
      </c>
      <c r="O187" s="77"/>
      <c r="P187" s="110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225"/>
      <c r="AC187" s="225"/>
      <c r="AD187" s="225"/>
      <c r="AE187" s="29">
        <f>_xlfn.NUMBERVALUE(LEFT(MCC_Table[[#This Row],[BUCKET]],LEN(MCC_Table[[#This Row],[BUCKET]])-1))</f>
        <v>14</v>
      </c>
      <c r="AF187" s="29" t="str">
        <f>RIGHT(MCC_Table[[#This Row],[BUCKET]],1)</f>
        <v>G</v>
      </c>
      <c r="AG187" s="29">
        <f>VLOOKUP(MCC_Table[[#This Row],[START UNIT]],UnitMap[],2,FALSE)</f>
        <v>7</v>
      </c>
      <c r="AH187" s="29">
        <f t="array" ref="AH1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87" s="29">
        <f>IF(ISNUMBER(MCC_Table[[#This Row],[SIZE]]), MCC_Table[[#This Row],[SIZE]]/6, 0)</f>
        <v>4</v>
      </c>
      <c r="AJ187" s="29">
        <f>MCC_Table[[#This Row],[START INDEX]]+MCC_Table[[#This Row],[UNITS USED]]-1</f>
        <v>10</v>
      </c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</row>
    <row r="188" spans="1:57" ht="15.75" hidden="1" customHeight="1" thickTop="1" x14ac:dyDescent="0.25">
      <c r="A188" s="39" t="s">
        <v>2384</v>
      </c>
      <c r="B188" s="29" t="s">
        <v>2458</v>
      </c>
      <c r="C188" s="24" t="s">
        <v>2459</v>
      </c>
      <c r="D188" s="62" t="s">
        <v>2224</v>
      </c>
      <c r="E188" s="24" t="s">
        <v>2225</v>
      </c>
      <c r="F188" s="8"/>
      <c r="G188" s="8"/>
      <c r="H188" s="82"/>
      <c r="I188" s="8"/>
      <c r="J188" s="80">
        <f>IF(ISNUMBER(MCC_Table[[#This Row],[SIZE]]), MCC_Table[[#This Row],[SIZE]]/12, 0)</f>
        <v>1</v>
      </c>
      <c r="K188" s="82"/>
      <c r="L188" s="82"/>
      <c r="M188" s="82"/>
      <c r="N188" s="82"/>
      <c r="O188" s="77"/>
      <c r="P188" s="110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225"/>
      <c r="AC188" s="225"/>
      <c r="AD188" s="225"/>
      <c r="AE188" s="29">
        <f>_xlfn.NUMBERVALUE(LEFT(MCC_Table[[#This Row],[BUCKET]],LEN(MCC_Table[[#This Row],[BUCKET]])-1))</f>
        <v>14</v>
      </c>
      <c r="AF188" s="29" t="str">
        <f>RIGHT(MCC_Table[[#This Row],[BUCKET]],1)</f>
        <v>L</v>
      </c>
      <c r="AG188" s="29">
        <f>VLOOKUP(MCC_Table[[#This Row],[START UNIT]],UnitMap[],2,FALSE)</f>
        <v>11</v>
      </c>
      <c r="AH188" s="29">
        <f t="array" ref="AH1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88" s="29">
        <f>IF(ISNUMBER(MCC_Table[[#This Row],[SIZE]]), MCC_Table[[#This Row],[SIZE]]/6, 0)</f>
        <v>2</v>
      </c>
      <c r="AJ188" s="29">
        <f>MCC_Table[[#This Row],[START INDEX]]+MCC_Table[[#This Row],[UNITS USED]]-1</f>
        <v>12</v>
      </c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</row>
    <row r="189" spans="1:57" ht="15.75" hidden="1" customHeight="1" thickTop="1" x14ac:dyDescent="0.25">
      <c r="A189" s="39" t="s">
        <v>2384</v>
      </c>
      <c r="B189" s="29" t="s">
        <v>2195</v>
      </c>
      <c r="C189" s="111" t="s">
        <v>2460</v>
      </c>
      <c r="D189" s="28" t="s">
        <v>2146</v>
      </c>
      <c r="E189" s="112" t="s">
        <v>2387</v>
      </c>
      <c r="F189" s="8">
        <v>15</v>
      </c>
      <c r="G189" s="8">
        <v>15</v>
      </c>
      <c r="H189" s="82"/>
      <c r="I189" s="8"/>
      <c r="J189" s="80">
        <f>IF(ISNUMBER(MCC_Table[[#This Row],[SIZE]]), MCC_Table[[#This Row],[SIZE]]/12, 0)</f>
        <v>3</v>
      </c>
      <c r="K189" s="82">
        <v>60</v>
      </c>
      <c r="L189" s="82">
        <v>125</v>
      </c>
      <c r="M189" s="82">
        <v>40</v>
      </c>
      <c r="N189" s="82" t="s">
        <v>2198</v>
      </c>
      <c r="O189" s="77"/>
      <c r="P189" s="110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225"/>
      <c r="AC189" s="225"/>
      <c r="AD189" s="225"/>
      <c r="AE189" s="29">
        <f>_xlfn.NUMBERVALUE(LEFT(MCC_Table[[#This Row],[BUCKET]],LEN(MCC_Table[[#This Row],[BUCKET]])-1))</f>
        <v>15</v>
      </c>
      <c r="AF189" s="29" t="str">
        <f>RIGHT(MCC_Table[[#This Row],[BUCKET]],1)</f>
        <v>A</v>
      </c>
      <c r="AG189" s="29">
        <f>VLOOKUP(MCC_Table[[#This Row],[START UNIT]],UnitMap[],2,FALSE)</f>
        <v>1</v>
      </c>
      <c r="AH189" s="29">
        <f t="array" ref="AH1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189" s="29">
        <f>IF(ISNUMBER(MCC_Table[[#This Row],[SIZE]]), MCC_Table[[#This Row],[SIZE]]/6, 0)</f>
        <v>6</v>
      </c>
      <c r="AJ189" s="29">
        <f>MCC_Table[[#This Row],[START INDEX]]+MCC_Table[[#This Row],[UNITS USED]]-1</f>
        <v>6</v>
      </c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</row>
    <row r="190" spans="1:57" ht="15.75" hidden="1" customHeight="1" thickTop="1" x14ac:dyDescent="0.25">
      <c r="A190" s="39" t="s">
        <v>2384</v>
      </c>
      <c r="B190" s="29" t="s">
        <v>2199</v>
      </c>
      <c r="C190" s="111" t="s">
        <v>2103</v>
      </c>
      <c r="D190" s="28" t="s">
        <v>2104</v>
      </c>
      <c r="E190" s="112" t="s">
        <v>2103</v>
      </c>
      <c r="F190" s="8"/>
      <c r="G190" s="8"/>
      <c r="H190" s="82"/>
      <c r="I190" s="8"/>
      <c r="J190" s="80">
        <f>IF(ISNUMBER(MCC_Table[[#This Row],[SIZE]]), MCC_Table[[#This Row],[SIZE]]/12, 0)</f>
        <v>0.5</v>
      </c>
      <c r="K190" s="82"/>
      <c r="L190" s="82"/>
      <c r="M190" s="82"/>
      <c r="N190" s="82"/>
      <c r="O190" s="77"/>
      <c r="P190" s="110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225"/>
      <c r="AC190" s="225"/>
      <c r="AD190" s="225"/>
      <c r="AE190" s="29">
        <f>_xlfn.NUMBERVALUE(LEFT(MCC_Table[[#This Row],[BUCKET]],LEN(MCC_Table[[#This Row],[BUCKET]])-1))</f>
        <v>15</v>
      </c>
      <c r="AF190" s="29" t="str">
        <f>RIGHT(MCC_Table[[#This Row],[BUCKET]],1)</f>
        <v>G</v>
      </c>
      <c r="AG190" s="29">
        <f>VLOOKUP(MCC_Table[[#This Row],[START UNIT]],UnitMap[],2,FALSE)</f>
        <v>7</v>
      </c>
      <c r="AH190" s="29">
        <f t="array" ref="AH1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190" s="29">
        <f>IF(ISNUMBER(MCC_Table[[#This Row],[SIZE]]), MCC_Table[[#This Row],[SIZE]]/6, 0)</f>
        <v>1</v>
      </c>
      <c r="AJ190" s="29">
        <f>MCC_Table[[#This Row],[START INDEX]]+MCC_Table[[#This Row],[UNITS USED]]-1</f>
        <v>7</v>
      </c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</row>
    <row r="191" spans="1:57" ht="15.75" hidden="1" customHeight="1" thickTop="1" x14ac:dyDescent="0.25">
      <c r="A191" s="39" t="s">
        <v>2384</v>
      </c>
      <c r="B191" s="29" t="s">
        <v>2461</v>
      </c>
      <c r="C191" s="111" t="s">
        <v>2462</v>
      </c>
      <c r="D191" s="28" t="s">
        <v>2463</v>
      </c>
      <c r="E191" s="112" t="s">
        <v>2387</v>
      </c>
      <c r="F191" s="8">
        <v>7.5</v>
      </c>
      <c r="G191" s="8">
        <v>10</v>
      </c>
      <c r="H191" s="82"/>
      <c r="I191" s="8"/>
      <c r="J191" s="80">
        <f>IF(ISNUMBER(MCC_Table[[#This Row],[SIZE]]), MCC_Table[[#This Row],[SIZE]]/12, 0)</f>
        <v>2.5</v>
      </c>
      <c r="K191" s="82">
        <v>30</v>
      </c>
      <c r="L191" s="82">
        <v>125</v>
      </c>
      <c r="M191" s="82">
        <v>25</v>
      </c>
      <c r="N191" s="82" t="s">
        <v>2124</v>
      </c>
      <c r="O191" s="77"/>
      <c r="P191" s="110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225"/>
      <c r="AC191" s="225"/>
      <c r="AD191" s="225"/>
      <c r="AE191" s="29">
        <f>_xlfn.NUMBERVALUE(LEFT(MCC_Table[[#This Row],[BUCKET]],LEN(MCC_Table[[#This Row],[BUCKET]])-1))</f>
        <v>15</v>
      </c>
      <c r="AF191" s="29" t="str">
        <f>RIGHT(MCC_Table[[#This Row],[BUCKET]],1)</f>
        <v>H</v>
      </c>
      <c r="AG191" s="29">
        <f>VLOOKUP(MCC_Table[[#This Row],[START UNIT]],UnitMap[],2,FALSE)</f>
        <v>8</v>
      </c>
      <c r="AH191" s="29">
        <f t="array" ref="AH1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191" s="29">
        <f>IF(ISNUMBER(MCC_Table[[#This Row],[SIZE]]), MCC_Table[[#This Row],[SIZE]]/6, 0)</f>
        <v>5</v>
      </c>
      <c r="AJ191" s="29">
        <f>MCC_Table[[#This Row],[START INDEX]]+MCC_Table[[#This Row],[UNITS USED]]-1</f>
        <v>12</v>
      </c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</row>
    <row r="192" spans="1:57" ht="15.75" hidden="1" customHeight="1" thickTop="1" x14ac:dyDescent="0.25">
      <c r="A192" s="39" t="s">
        <v>2384</v>
      </c>
      <c r="B192" s="29" t="s">
        <v>2202</v>
      </c>
      <c r="C192" s="111" t="s">
        <v>1933</v>
      </c>
      <c r="D192" s="28" t="s">
        <v>2135</v>
      </c>
      <c r="E192" s="112" t="s">
        <v>2387</v>
      </c>
      <c r="F192" s="8"/>
      <c r="G192" s="8"/>
      <c r="H192" s="82"/>
      <c r="I192" s="8"/>
      <c r="J192" s="80">
        <f>IF(ISNUMBER(MCC_Table[[#This Row],[SIZE]]), MCC_Table[[#This Row],[SIZE]]/12, 0)</f>
        <v>2</v>
      </c>
      <c r="K192" s="82">
        <v>15</v>
      </c>
      <c r="L192" s="82">
        <v>125</v>
      </c>
      <c r="M192" s="82">
        <v>10</v>
      </c>
      <c r="N192" s="82" t="s">
        <v>2124</v>
      </c>
      <c r="O192" s="77"/>
      <c r="P192" s="110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225"/>
      <c r="AC192" s="225"/>
      <c r="AD192" s="225"/>
      <c r="AE192" s="29">
        <f>_xlfn.NUMBERVALUE(LEFT(MCC_Table[[#This Row],[BUCKET]],LEN(MCC_Table[[#This Row],[BUCKET]])-1))</f>
        <v>16</v>
      </c>
      <c r="AF192" s="29" t="str">
        <f>RIGHT(MCC_Table[[#This Row],[BUCKET]],1)</f>
        <v>A</v>
      </c>
      <c r="AG192" s="29">
        <f>VLOOKUP(MCC_Table[[#This Row],[START UNIT]],UnitMap[],2,FALSE)</f>
        <v>1</v>
      </c>
      <c r="AH192" s="29">
        <f t="array" ref="AH1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2" s="29">
        <f>IF(ISNUMBER(MCC_Table[[#This Row],[SIZE]]), MCC_Table[[#This Row],[SIZE]]/6, 0)</f>
        <v>4</v>
      </c>
      <c r="AJ192" s="29">
        <f>MCC_Table[[#This Row],[START INDEX]]+MCC_Table[[#This Row],[UNITS USED]]-1</f>
        <v>4</v>
      </c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</row>
    <row r="193" spans="1:57" ht="15.75" hidden="1" customHeight="1" thickTop="1" x14ac:dyDescent="0.25">
      <c r="A193" s="39" t="s">
        <v>2384</v>
      </c>
      <c r="B193" s="29" t="s">
        <v>2206</v>
      </c>
      <c r="C193" s="111" t="s">
        <v>2464</v>
      </c>
      <c r="D193" s="28" t="s">
        <v>2138</v>
      </c>
      <c r="E193" s="112" t="s">
        <v>2387</v>
      </c>
      <c r="F193" s="8">
        <v>2</v>
      </c>
      <c r="G193" s="8">
        <v>2</v>
      </c>
      <c r="H193" s="82"/>
      <c r="I193" s="8"/>
      <c r="J193" s="80">
        <f>IF(ISNUMBER(MCC_Table[[#This Row],[SIZE]]), MCC_Table[[#This Row],[SIZE]]/12, 0)</f>
        <v>2</v>
      </c>
      <c r="K193" s="82">
        <v>15</v>
      </c>
      <c r="L193" s="82">
        <v>125</v>
      </c>
      <c r="M193" s="82">
        <v>10</v>
      </c>
      <c r="N193" s="82" t="s">
        <v>2124</v>
      </c>
      <c r="O193" s="77"/>
      <c r="P193" s="110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225"/>
      <c r="AC193" s="225"/>
      <c r="AD193" s="225"/>
      <c r="AE193" s="29">
        <f>_xlfn.NUMBERVALUE(LEFT(MCC_Table[[#This Row],[BUCKET]],LEN(MCC_Table[[#This Row],[BUCKET]])-1))</f>
        <v>16</v>
      </c>
      <c r="AF193" s="29" t="str">
        <f>RIGHT(MCC_Table[[#This Row],[BUCKET]],1)</f>
        <v>E</v>
      </c>
      <c r="AG193" s="29">
        <f>VLOOKUP(MCC_Table[[#This Row],[START UNIT]],UnitMap[],2,FALSE)</f>
        <v>5</v>
      </c>
      <c r="AH193" s="29">
        <f t="array" ref="AH1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3" s="29">
        <f>IF(ISNUMBER(MCC_Table[[#This Row],[SIZE]]), MCC_Table[[#This Row],[SIZE]]/6, 0)</f>
        <v>4</v>
      </c>
      <c r="AJ193" s="29">
        <f>MCC_Table[[#This Row],[START INDEX]]+MCC_Table[[#This Row],[UNITS USED]]-1</f>
        <v>8</v>
      </c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</row>
    <row r="194" spans="1:57" ht="15.75" hidden="1" customHeight="1" thickTop="1" x14ac:dyDescent="0.25">
      <c r="A194" s="39" t="s">
        <v>2384</v>
      </c>
      <c r="B194" s="29" t="s">
        <v>2209</v>
      </c>
      <c r="C194" s="111" t="s">
        <v>2465</v>
      </c>
      <c r="D194" s="28" t="s">
        <v>2466</v>
      </c>
      <c r="E194" s="112" t="s">
        <v>2086</v>
      </c>
      <c r="F194" s="8">
        <v>1.5</v>
      </c>
      <c r="G194" s="8">
        <v>2</v>
      </c>
      <c r="H194" s="82"/>
      <c r="I194" s="8">
        <v>1</v>
      </c>
      <c r="J194" s="80">
        <f>IF(ISNUMBER(MCC_Table[[#This Row],[SIZE]]), MCC_Table[[#This Row],[SIZE]]/12, 0)</f>
        <v>1</v>
      </c>
      <c r="K194" s="82">
        <v>7</v>
      </c>
      <c r="L194" s="82">
        <v>125</v>
      </c>
      <c r="M194" s="82"/>
      <c r="N194" s="82" t="s">
        <v>2124</v>
      </c>
      <c r="O194" s="77"/>
      <c r="P194" s="110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225"/>
      <c r="AC194" s="225"/>
      <c r="AD194" s="225"/>
      <c r="AE194" s="29">
        <f>_xlfn.NUMBERVALUE(LEFT(MCC_Table[[#This Row],[BUCKET]],LEN(MCC_Table[[#This Row],[BUCKET]])-1))</f>
        <v>16</v>
      </c>
      <c r="AF194" s="29" t="str">
        <f>RIGHT(MCC_Table[[#This Row],[BUCKET]],1)</f>
        <v>J</v>
      </c>
      <c r="AG194" s="29">
        <f>VLOOKUP(MCC_Table[[#This Row],[START UNIT]],UnitMap[],2,FALSE)</f>
        <v>9</v>
      </c>
      <c r="AH194" s="29">
        <f t="array" ref="AH1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94" s="29">
        <f>IF(ISNUMBER(MCC_Table[[#This Row],[SIZE]]), MCC_Table[[#This Row],[SIZE]]/6, 0)</f>
        <v>2</v>
      </c>
      <c r="AJ194" s="29">
        <f>MCC_Table[[#This Row],[START INDEX]]+MCC_Table[[#This Row],[UNITS USED]]-1</f>
        <v>10</v>
      </c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</row>
    <row r="195" spans="1:57" ht="15.75" hidden="1" customHeight="1" thickTop="1" x14ac:dyDescent="0.25">
      <c r="A195" s="39" t="s">
        <v>2384</v>
      </c>
      <c r="B195" s="29" t="s">
        <v>2467</v>
      </c>
      <c r="C195" s="111" t="s">
        <v>2103</v>
      </c>
      <c r="D195" s="28" t="s">
        <v>2143</v>
      </c>
      <c r="E195" s="112" t="s">
        <v>2103</v>
      </c>
      <c r="F195" s="8"/>
      <c r="G195" s="8"/>
      <c r="H195" s="82"/>
      <c r="I195" s="8"/>
      <c r="J195" s="80">
        <f>IF(ISNUMBER(MCC_Table[[#This Row],[SIZE]]), MCC_Table[[#This Row],[SIZE]]/12, 0)</f>
        <v>1</v>
      </c>
      <c r="K195" s="82"/>
      <c r="L195" s="82"/>
      <c r="M195" s="82"/>
      <c r="N195" s="82"/>
      <c r="O195" s="77"/>
      <c r="P195" s="110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225"/>
      <c r="AC195" s="225"/>
      <c r="AD195" s="225"/>
      <c r="AE195" s="29">
        <f>_xlfn.NUMBERVALUE(LEFT(MCC_Table[[#This Row],[BUCKET]],LEN(MCC_Table[[#This Row],[BUCKET]])-1))</f>
        <v>16</v>
      </c>
      <c r="AF195" s="29" t="str">
        <f>RIGHT(MCC_Table[[#This Row],[BUCKET]],1)</f>
        <v>L</v>
      </c>
      <c r="AG195" s="29">
        <f>VLOOKUP(MCC_Table[[#This Row],[START UNIT]],UnitMap[],2,FALSE)</f>
        <v>11</v>
      </c>
      <c r="AH195" s="29">
        <f t="array" ref="AH1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195" s="29">
        <f>IF(ISNUMBER(MCC_Table[[#This Row],[SIZE]]), MCC_Table[[#This Row],[SIZE]]/6, 0)</f>
        <v>2</v>
      </c>
      <c r="AJ195" s="29">
        <f>MCC_Table[[#This Row],[START INDEX]]+MCC_Table[[#This Row],[UNITS USED]]-1</f>
        <v>12</v>
      </c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</row>
    <row r="196" spans="1:57" ht="15.75" hidden="1" customHeight="1" thickTop="1" x14ac:dyDescent="0.25">
      <c r="A196" s="39" t="s">
        <v>2384</v>
      </c>
      <c r="B196" s="29" t="s">
        <v>2212</v>
      </c>
      <c r="C196" s="111" t="s">
        <v>2468</v>
      </c>
      <c r="D196" s="28" t="s">
        <v>2469</v>
      </c>
      <c r="E196" s="112" t="s">
        <v>2387</v>
      </c>
      <c r="F196" s="8">
        <v>5</v>
      </c>
      <c r="G196" s="8">
        <v>5</v>
      </c>
      <c r="H196" s="82"/>
      <c r="I196" s="8"/>
      <c r="J196" s="80">
        <f>IF(ISNUMBER(MCC_Table[[#This Row],[SIZE]]), MCC_Table[[#This Row],[SIZE]]/12, 0)</f>
        <v>2</v>
      </c>
      <c r="K196" s="82">
        <v>20</v>
      </c>
      <c r="L196" s="82">
        <v>125</v>
      </c>
      <c r="M196" s="82">
        <v>20</v>
      </c>
      <c r="N196" s="82" t="s">
        <v>2124</v>
      </c>
      <c r="O196" s="77"/>
      <c r="P196" s="110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225"/>
      <c r="AC196" s="225"/>
      <c r="AD196" s="225"/>
      <c r="AE196" s="29">
        <f>_xlfn.NUMBERVALUE(LEFT(MCC_Table[[#This Row],[BUCKET]],LEN(MCC_Table[[#This Row],[BUCKET]])-1))</f>
        <v>17</v>
      </c>
      <c r="AF196" s="29" t="str">
        <f>RIGHT(MCC_Table[[#This Row],[BUCKET]],1)</f>
        <v>A</v>
      </c>
      <c r="AG196" s="29">
        <f>VLOOKUP(MCC_Table[[#This Row],[START UNIT]],UnitMap[],2,FALSE)</f>
        <v>1</v>
      </c>
      <c r="AH196" s="29">
        <f t="array" ref="AH1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6" s="29">
        <f>IF(ISNUMBER(MCC_Table[[#This Row],[SIZE]]), MCC_Table[[#This Row],[SIZE]]/6, 0)</f>
        <v>4</v>
      </c>
      <c r="AJ196" s="29">
        <f>MCC_Table[[#This Row],[START INDEX]]+MCC_Table[[#This Row],[UNITS USED]]-1</f>
        <v>4</v>
      </c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</row>
    <row r="197" spans="1:57" ht="15.75" hidden="1" customHeight="1" thickTop="1" x14ac:dyDescent="0.25">
      <c r="A197" s="39" t="s">
        <v>2384</v>
      </c>
      <c r="B197" s="29" t="s">
        <v>2470</v>
      </c>
      <c r="C197" s="111" t="s">
        <v>2471</v>
      </c>
      <c r="D197" s="28" t="s">
        <v>2472</v>
      </c>
      <c r="E197" s="112" t="s">
        <v>2387</v>
      </c>
      <c r="F197" s="8">
        <v>5</v>
      </c>
      <c r="G197" s="8">
        <v>5</v>
      </c>
      <c r="H197" s="82"/>
      <c r="I197" s="8"/>
      <c r="J197" s="80">
        <f>IF(ISNUMBER(MCC_Table[[#This Row],[SIZE]]), MCC_Table[[#This Row],[SIZE]]/12, 0)</f>
        <v>2</v>
      </c>
      <c r="K197" s="82">
        <v>20</v>
      </c>
      <c r="L197" s="82">
        <v>125</v>
      </c>
      <c r="M197" s="82">
        <v>20</v>
      </c>
      <c r="N197" s="82" t="s">
        <v>2124</v>
      </c>
      <c r="O197" s="77"/>
      <c r="P197" s="110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225"/>
      <c r="AC197" s="225"/>
      <c r="AD197" s="225"/>
      <c r="AE197" s="29">
        <f>_xlfn.NUMBERVALUE(LEFT(MCC_Table[[#This Row],[BUCKET]],LEN(MCC_Table[[#This Row],[BUCKET]])-1))</f>
        <v>17</v>
      </c>
      <c r="AF197" s="29" t="str">
        <f>RIGHT(MCC_Table[[#This Row],[BUCKET]],1)</f>
        <v>E</v>
      </c>
      <c r="AG197" s="29">
        <f>VLOOKUP(MCC_Table[[#This Row],[START UNIT]],UnitMap[],2,FALSE)</f>
        <v>5</v>
      </c>
      <c r="AH197" s="29">
        <f t="array" ref="AH1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7" s="29">
        <f>IF(ISNUMBER(MCC_Table[[#This Row],[SIZE]]), MCC_Table[[#This Row],[SIZE]]/6, 0)</f>
        <v>4</v>
      </c>
      <c r="AJ197" s="29">
        <f>MCC_Table[[#This Row],[START INDEX]]+MCC_Table[[#This Row],[UNITS USED]]-1</f>
        <v>8</v>
      </c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</row>
    <row r="198" spans="1:57" ht="15.75" hidden="1" customHeight="1" thickTop="1" x14ac:dyDescent="0.25">
      <c r="A198" s="39" t="s">
        <v>2384</v>
      </c>
      <c r="B198" s="29" t="s">
        <v>2473</v>
      </c>
      <c r="C198" s="111" t="s">
        <v>2474</v>
      </c>
      <c r="D198" s="28" t="s">
        <v>2475</v>
      </c>
      <c r="E198" s="112" t="s">
        <v>2387</v>
      </c>
      <c r="F198" s="8">
        <v>5</v>
      </c>
      <c r="G198" s="8">
        <v>5</v>
      </c>
      <c r="H198" s="82"/>
      <c r="I198" s="8"/>
      <c r="J198" s="80">
        <f>IF(ISNUMBER(MCC_Table[[#This Row],[SIZE]]), MCC_Table[[#This Row],[SIZE]]/12, 0)</f>
        <v>2</v>
      </c>
      <c r="K198" s="82">
        <v>20</v>
      </c>
      <c r="L198" s="82">
        <v>125</v>
      </c>
      <c r="M198" s="82">
        <v>20</v>
      </c>
      <c r="N198" s="82" t="s">
        <v>2124</v>
      </c>
      <c r="O198" s="77"/>
      <c r="P198" s="110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225"/>
      <c r="AC198" s="225"/>
      <c r="AD198" s="225"/>
      <c r="AE198" s="29">
        <f>_xlfn.NUMBERVALUE(LEFT(MCC_Table[[#This Row],[BUCKET]],LEN(MCC_Table[[#This Row],[BUCKET]])-1))</f>
        <v>17</v>
      </c>
      <c r="AF198" s="29" t="str">
        <f>RIGHT(MCC_Table[[#This Row],[BUCKET]],1)</f>
        <v>J</v>
      </c>
      <c r="AG198" s="29">
        <f>VLOOKUP(MCC_Table[[#This Row],[START UNIT]],UnitMap[],2,FALSE)</f>
        <v>9</v>
      </c>
      <c r="AH198" s="29">
        <f t="array" ref="AH1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8" s="29">
        <f>IF(ISNUMBER(MCC_Table[[#This Row],[SIZE]]), MCC_Table[[#This Row],[SIZE]]/6, 0)</f>
        <v>4</v>
      </c>
      <c r="AJ198" s="29">
        <f>MCC_Table[[#This Row],[START INDEX]]+MCC_Table[[#This Row],[UNITS USED]]-1</f>
        <v>12</v>
      </c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</row>
    <row r="199" spans="1:57" ht="15.75" hidden="1" customHeight="1" thickTop="1" x14ac:dyDescent="0.25">
      <c r="A199" s="39" t="s">
        <v>2384</v>
      </c>
      <c r="B199" s="29" t="s">
        <v>2216</v>
      </c>
      <c r="C199" s="111" t="s">
        <v>2476</v>
      </c>
      <c r="D199" s="28" t="s">
        <v>2477</v>
      </c>
      <c r="E199" s="112" t="s">
        <v>2387</v>
      </c>
      <c r="F199" s="8">
        <v>5</v>
      </c>
      <c r="G199" s="8">
        <v>5</v>
      </c>
      <c r="H199" s="82"/>
      <c r="I199" s="8"/>
      <c r="J199" s="80">
        <f>IF(ISNUMBER(MCC_Table[[#This Row],[SIZE]]), MCC_Table[[#This Row],[SIZE]]/12, 0)</f>
        <v>2</v>
      </c>
      <c r="K199" s="82">
        <v>20</v>
      </c>
      <c r="L199" s="82">
        <v>125</v>
      </c>
      <c r="M199" s="82">
        <v>20</v>
      </c>
      <c r="N199" s="82" t="s">
        <v>2124</v>
      </c>
      <c r="O199" s="77"/>
      <c r="P199" s="110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225"/>
      <c r="AC199" s="225"/>
      <c r="AD199" s="225"/>
      <c r="AE199" s="29">
        <f>_xlfn.NUMBERVALUE(LEFT(MCC_Table[[#This Row],[BUCKET]],LEN(MCC_Table[[#This Row],[BUCKET]])-1))</f>
        <v>18</v>
      </c>
      <c r="AF199" s="29" t="str">
        <f>RIGHT(MCC_Table[[#This Row],[BUCKET]],1)</f>
        <v>A</v>
      </c>
      <c r="AG199" s="29">
        <f>VLOOKUP(MCC_Table[[#This Row],[START UNIT]],UnitMap[],2,FALSE)</f>
        <v>1</v>
      </c>
      <c r="AH199" s="29">
        <f t="array" ref="AH1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199" s="29">
        <f>IF(ISNUMBER(MCC_Table[[#This Row],[SIZE]]), MCC_Table[[#This Row],[SIZE]]/6, 0)</f>
        <v>4</v>
      </c>
      <c r="AJ199" s="29">
        <f>MCC_Table[[#This Row],[START INDEX]]+MCC_Table[[#This Row],[UNITS USED]]-1</f>
        <v>4</v>
      </c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</row>
    <row r="200" spans="1:57" ht="15.75" hidden="1" customHeight="1" thickTop="1" x14ac:dyDescent="0.25">
      <c r="A200" s="39" t="s">
        <v>2384</v>
      </c>
      <c r="B200" s="29" t="s">
        <v>2478</v>
      </c>
      <c r="C200" s="111" t="s">
        <v>2479</v>
      </c>
      <c r="D200" s="28" t="s">
        <v>2480</v>
      </c>
      <c r="E200" s="112" t="s">
        <v>2290</v>
      </c>
      <c r="F200" s="8">
        <v>1.5</v>
      </c>
      <c r="G200" s="8">
        <v>2</v>
      </c>
      <c r="H200" s="82"/>
      <c r="I200" s="8">
        <v>1</v>
      </c>
      <c r="J200" s="80">
        <f>IF(ISNUMBER(MCC_Table[[#This Row],[SIZE]]), MCC_Table[[#This Row],[SIZE]]/12, 0)</f>
        <v>1.5</v>
      </c>
      <c r="K200" s="82">
        <v>7</v>
      </c>
      <c r="L200" s="82">
        <v>125</v>
      </c>
      <c r="M200" s="82" t="s">
        <v>1888</v>
      </c>
      <c r="N200" s="82" t="s">
        <v>2124</v>
      </c>
      <c r="O200" s="77"/>
      <c r="P200" s="110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225"/>
      <c r="AC200" s="225"/>
      <c r="AD200" s="225"/>
      <c r="AE200" s="29">
        <f>_xlfn.NUMBERVALUE(LEFT(MCC_Table[[#This Row],[BUCKET]],LEN(MCC_Table[[#This Row],[BUCKET]])-1))</f>
        <v>18</v>
      </c>
      <c r="AF200" s="29" t="str">
        <f>RIGHT(MCC_Table[[#This Row],[BUCKET]],1)</f>
        <v>E</v>
      </c>
      <c r="AG200" s="29">
        <f>VLOOKUP(MCC_Table[[#This Row],[START UNIT]],UnitMap[],2,FALSE)</f>
        <v>5</v>
      </c>
      <c r="AH200" s="29">
        <f t="array" ref="AH2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00" s="29">
        <f>IF(ISNUMBER(MCC_Table[[#This Row],[SIZE]]), MCC_Table[[#This Row],[SIZE]]/6, 0)</f>
        <v>3</v>
      </c>
      <c r="AJ200" s="29">
        <f>MCC_Table[[#This Row],[START INDEX]]+MCC_Table[[#This Row],[UNITS USED]]-1</f>
        <v>7</v>
      </c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</row>
    <row r="201" spans="1:57" ht="15.75" hidden="1" customHeight="1" thickTop="1" x14ac:dyDescent="0.25">
      <c r="A201" s="39" t="s">
        <v>2384</v>
      </c>
      <c r="B201" s="29" t="s">
        <v>2481</v>
      </c>
      <c r="C201" s="111" t="s">
        <v>2482</v>
      </c>
      <c r="D201" s="28" t="s">
        <v>2483</v>
      </c>
      <c r="E201" s="112" t="s">
        <v>2387</v>
      </c>
      <c r="F201" s="8">
        <v>7.5</v>
      </c>
      <c r="G201" s="8">
        <v>10</v>
      </c>
      <c r="H201" s="82"/>
      <c r="I201" s="8"/>
      <c r="J201" s="80">
        <f>IF(ISNUMBER(MCC_Table[[#This Row],[SIZE]]), MCC_Table[[#This Row],[SIZE]]/12, 0)</f>
        <v>2.5</v>
      </c>
      <c r="K201" s="82">
        <v>30</v>
      </c>
      <c r="L201" s="82">
        <v>125</v>
      </c>
      <c r="M201" s="82">
        <v>25</v>
      </c>
      <c r="N201" s="82" t="s">
        <v>2124</v>
      </c>
      <c r="O201" s="77"/>
      <c r="P201" s="110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225"/>
      <c r="AC201" s="225"/>
      <c r="AD201" s="225"/>
      <c r="AE201" s="29">
        <f>_xlfn.NUMBERVALUE(LEFT(MCC_Table[[#This Row],[BUCKET]],LEN(MCC_Table[[#This Row],[BUCKET]])-1))</f>
        <v>18</v>
      </c>
      <c r="AF201" s="29" t="str">
        <f>RIGHT(MCC_Table[[#This Row],[BUCKET]],1)</f>
        <v>H</v>
      </c>
      <c r="AG201" s="29">
        <f>VLOOKUP(MCC_Table[[#This Row],[START UNIT]],UnitMap[],2,FALSE)</f>
        <v>8</v>
      </c>
      <c r="AH201" s="29">
        <f t="array" ref="AH2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01" s="29">
        <f>IF(ISNUMBER(MCC_Table[[#This Row],[SIZE]]), MCC_Table[[#This Row],[SIZE]]/6, 0)</f>
        <v>5</v>
      </c>
      <c r="AJ201" s="29">
        <f>MCC_Table[[#This Row],[START INDEX]]+MCC_Table[[#This Row],[UNITS USED]]-1</f>
        <v>12</v>
      </c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</row>
    <row r="202" spans="1:57" ht="15.75" hidden="1" customHeight="1" thickTop="1" x14ac:dyDescent="0.25">
      <c r="A202" s="39" t="s">
        <v>2384</v>
      </c>
      <c r="B202" s="29" t="s">
        <v>2314</v>
      </c>
      <c r="C202" s="111" t="s">
        <v>1933</v>
      </c>
      <c r="D202" s="28" t="s">
        <v>2300</v>
      </c>
      <c r="E202" s="112" t="s">
        <v>2387</v>
      </c>
      <c r="F202" s="8"/>
      <c r="G202" s="8"/>
      <c r="H202" s="82"/>
      <c r="I202" s="8"/>
      <c r="J202" s="80">
        <f>IF(ISNUMBER(MCC_Table[[#This Row],[SIZE]]), MCC_Table[[#This Row],[SIZE]]/12, 0)</f>
        <v>2</v>
      </c>
      <c r="K202" s="82">
        <v>20</v>
      </c>
      <c r="L202" s="82">
        <v>125</v>
      </c>
      <c r="M202" s="82">
        <v>20</v>
      </c>
      <c r="N202" s="82" t="s">
        <v>2198</v>
      </c>
      <c r="O202" s="77"/>
      <c r="P202" s="110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225"/>
      <c r="AC202" s="225"/>
      <c r="AD202" s="225"/>
      <c r="AE202" s="29">
        <f>_xlfn.NUMBERVALUE(LEFT(MCC_Table[[#This Row],[BUCKET]],LEN(MCC_Table[[#This Row],[BUCKET]])-1))</f>
        <v>19</v>
      </c>
      <c r="AF202" s="29" t="str">
        <f>RIGHT(MCC_Table[[#This Row],[BUCKET]],1)</f>
        <v>A</v>
      </c>
      <c r="AG202" s="29">
        <f>VLOOKUP(MCC_Table[[#This Row],[START UNIT]],UnitMap[],2,FALSE)</f>
        <v>1</v>
      </c>
      <c r="AH202" s="29">
        <f t="array" ref="AH2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02" s="29">
        <f>IF(ISNUMBER(MCC_Table[[#This Row],[SIZE]]), MCC_Table[[#This Row],[SIZE]]/6, 0)</f>
        <v>4</v>
      </c>
      <c r="AJ202" s="29">
        <f>MCC_Table[[#This Row],[START INDEX]]+MCC_Table[[#This Row],[UNITS USED]]-1</f>
        <v>4</v>
      </c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</row>
    <row r="203" spans="1:57" ht="15.75" hidden="1" customHeight="1" thickTop="1" x14ac:dyDescent="0.25">
      <c r="A203" s="39" t="s">
        <v>2384</v>
      </c>
      <c r="B203" s="29" t="s">
        <v>2484</v>
      </c>
      <c r="C203" s="111" t="s">
        <v>2485</v>
      </c>
      <c r="D203" s="28" t="s">
        <v>2486</v>
      </c>
      <c r="E203" s="112" t="s">
        <v>2086</v>
      </c>
      <c r="F203" s="8">
        <v>40</v>
      </c>
      <c r="G203" s="8">
        <v>40</v>
      </c>
      <c r="H203" s="82"/>
      <c r="I203" s="8">
        <v>1</v>
      </c>
      <c r="J203" s="80">
        <f>IF(ISNUMBER(MCC_Table[[#This Row],[SIZE]]), MCC_Table[[#This Row],[SIZE]]/12, 0)</f>
        <v>1.5</v>
      </c>
      <c r="K203" s="82">
        <v>70</v>
      </c>
      <c r="L203" s="82">
        <v>125</v>
      </c>
      <c r="M203" s="82">
        <v>50</v>
      </c>
      <c r="N203" s="82" t="s">
        <v>2487</v>
      </c>
      <c r="O203" s="77"/>
      <c r="P203" s="110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225"/>
      <c r="AC203" s="225"/>
      <c r="AD203" s="225"/>
      <c r="AE203" s="29">
        <f>_xlfn.NUMBERVALUE(LEFT(MCC_Table[[#This Row],[BUCKET]],LEN(MCC_Table[[#This Row],[BUCKET]])-1))</f>
        <v>19</v>
      </c>
      <c r="AF203" s="29" t="str">
        <f>RIGHT(MCC_Table[[#This Row],[BUCKET]],1)</f>
        <v>E</v>
      </c>
      <c r="AG203" s="29">
        <f>VLOOKUP(MCC_Table[[#This Row],[START UNIT]],UnitMap[],2,FALSE)</f>
        <v>5</v>
      </c>
      <c r="AH203" s="29">
        <f t="array" ref="AH2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03" s="29">
        <f>IF(ISNUMBER(MCC_Table[[#This Row],[SIZE]]), MCC_Table[[#This Row],[SIZE]]/6, 0)</f>
        <v>3</v>
      </c>
      <c r="AJ203" s="29">
        <f>MCC_Table[[#This Row],[START INDEX]]+MCC_Table[[#This Row],[UNITS USED]]-1</f>
        <v>7</v>
      </c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</row>
    <row r="204" spans="1:57" ht="15.75" hidden="1" customHeight="1" thickTop="1" x14ac:dyDescent="0.25">
      <c r="A204" s="39" t="s">
        <v>2384</v>
      </c>
      <c r="B204" s="29" t="s">
        <v>2317</v>
      </c>
      <c r="C204" s="111" t="s">
        <v>2103</v>
      </c>
      <c r="D204" s="28" t="s">
        <v>2104</v>
      </c>
      <c r="E204" s="112" t="s">
        <v>2103</v>
      </c>
      <c r="F204" s="8"/>
      <c r="G204" s="8"/>
      <c r="H204" s="82"/>
      <c r="I204" s="8"/>
      <c r="J204" s="80">
        <f>IF(ISNUMBER(MCC_Table[[#This Row],[SIZE]]), MCC_Table[[#This Row],[SIZE]]/12, 0)</f>
        <v>0.5</v>
      </c>
      <c r="K204" s="82"/>
      <c r="L204" s="82"/>
      <c r="M204" s="82"/>
      <c r="N204" s="82"/>
      <c r="O204" s="77"/>
      <c r="P204" s="110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225"/>
      <c r="AC204" s="225"/>
      <c r="AD204" s="225"/>
      <c r="AE204" s="29">
        <f>_xlfn.NUMBERVALUE(LEFT(MCC_Table[[#This Row],[BUCKET]],LEN(MCC_Table[[#This Row],[BUCKET]])-1))</f>
        <v>19</v>
      </c>
      <c r="AF204" s="29" t="str">
        <f>RIGHT(MCC_Table[[#This Row],[BUCKET]],1)</f>
        <v>H</v>
      </c>
      <c r="AG204" s="29">
        <f>VLOOKUP(MCC_Table[[#This Row],[START UNIT]],UnitMap[],2,FALSE)</f>
        <v>8</v>
      </c>
      <c r="AH204" s="29">
        <f t="array" ref="AH2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04" s="29">
        <f>IF(ISNUMBER(MCC_Table[[#This Row],[SIZE]]), MCC_Table[[#This Row],[SIZE]]/6, 0)</f>
        <v>1</v>
      </c>
      <c r="AJ204" s="29">
        <f>MCC_Table[[#This Row],[START INDEX]]+MCC_Table[[#This Row],[UNITS USED]]-1</f>
        <v>8</v>
      </c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</row>
    <row r="205" spans="1:57" ht="15.75" hidden="1" customHeight="1" thickTop="1" x14ac:dyDescent="0.25">
      <c r="A205" s="39" t="s">
        <v>2384</v>
      </c>
      <c r="B205" s="29" t="s">
        <v>2488</v>
      </c>
      <c r="C205" s="111" t="s">
        <v>2489</v>
      </c>
      <c r="D205" s="28" t="s">
        <v>2447</v>
      </c>
      <c r="E205" s="112" t="s">
        <v>2387</v>
      </c>
      <c r="F205" s="8">
        <v>1</v>
      </c>
      <c r="G205" s="8">
        <v>2</v>
      </c>
      <c r="H205" s="82"/>
      <c r="I205" s="8"/>
      <c r="J205" s="80">
        <f>IF(ISNUMBER(MCC_Table[[#This Row],[SIZE]]), MCC_Table[[#This Row],[SIZE]]/12, 0)</f>
        <v>2</v>
      </c>
      <c r="K205" s="82">
        <v>15</v>
      </c>
      <c r="L205" s="82">
        <v>125</v>
      </c>
      <c r="M205" s="82">
        <v>3</v>
      </c>
      <c r="N205" s="82" t="s">
        <v>2124</v>
      </c>
      <c r="O205" s="77"/>
      <c r="P205" s="110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225"/>
      <c r="AC205" s="225"/>
      <c r="AD205" s="225"/>
      <c r="AE205" s="29">
        <f>_xlfn.NUMBERVALUE(LEFT(MCC_Table[[#This Row],[BUCKET]],LEN(MCC_Table[[#This Row],[BUCKET]])-1))</f>
        <v>19</v>
      </c>
      <c r="AF205" s="29" t="str">
        <f>RIGHT(MCC_Table[[#This Row],[BUCKET]],1)</f>
        <v>J</v>
      </c>
      <c r="AG205" s="29">
        <f>VLOOKUP(MCC_Table[[#This Row],[START UNIT]],UnitMap[],2,FALSE)</f>
        <v>9</v>
      </c>
      <c r="AH205" s="29">
        <f t="array" ref="AH2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05" s="29">
        <f>IF(ISNUMBER(MCC_Table[[#This Row],[SIZE]]), MCC_Table[[#This Row],[SIZE]]/6, 0)</f>
        <v>4</v>
      </c>
      <c r="AJ205" s="29">
        <f>MCC_Table[[#This Row],[START INDEX]]+MCC_Table[[#This Row],[UNITS USED]]-1</f>
        <v>12</v>
      </c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</row>
    <row r="206" spans="1:57" ht="15.75" hidden="1" customHeight="1" thickTop="1" x14ac:dyDescent="0.25">
      <c r="A206" s="39" t="s">
        <v>2490</v>
      </c>
      <c r="B206" s="29" t="s">
        <v>2074</v>
      </c>
      <c r="C206" s="99" t="s">
        <v>2075</v>
      </c>
      <c r="D206" s="100" t="s">
        <v>2076</v>
      </c>
      <c r="E206" s="112" t="s">
        <v>2075</v>
      </c>
      <c r="F206" s="8"/>
      <c r="G206" s="8"/>
      <c r="H206" s="82"/>
      <c r="I206" s="8"/>
      <c r="J206" s="80">
        <f>IF(ISNUMBER(MCC_Table[[#This Row],[SIZE]]), MCC_Table[[#This Row],[SIZE]]/12, 0)</f>
        <v>2.5</v>
      </c>
      <c r="K206" s="82"/>
      <c r="L206" s="82"/>
      <c r="M206" s="82"/>
      <c r="N206" s="82"/>
      <c r="O206" s="77"/>
      <c r="P206" s="110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225"/>
      <c r="AC206" s="225"/>
      <c r="AD206" s="225"/>
      <c r="AE206" s="29">
        <f>_xlfn.NUMBERVALUE(LEFT(MCC_Table[[#This Row],[BUCKET]],LEN(MCC_Table[[#This Row],[BUCKET]])-1))</f>
        <v>1</v>
      </c>
      <c r="AF206" s="29" t="str">
        <f>RIGHT(MCC_Table[[#This Row],[BUCKET]],1)</f>
        <v>A</v>
      </c>
      <c r="AG206" s="29">
        <f>VLOOKUP(MCC_Table[[#This Row],[START UNIT]],UnitMap[],2,FALSE)</f>
        <v>1</v>
      </c>
      <c r="AH206" s="29">
        <f t="array" ref="AH2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06" s="29">
        <f>IF(ISNUMBER(MCC_Table[[#This Row],[SIZE]]), MCC_Table[[#This Row],[SIZE]]/6, 0)</f>
        <v>5</v>
      </c>
      <c r="AJ206" s="29">
        <f>MCC_Table[[#This Row],[START INDEX]]+MCC_Table[[#This Row],[UNITS USED]]-1</f>
        <v>5</v>
      </c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</row>
    <row r="207" spans="1:57" ht="15.75" hidden="1" customHeight="1" thickTop="1" x14ac:dyDescent="0.25">
      <c r="A207" s="39" t="s">
        <v>2490</v>
      </c>
      <c r="B207" s="29" t="s">
        <v>2491</v>
      </c>
      <c r="C207" s="99" t="s">
        <v>2492</v>
      </c>
      <c r="D207" s="100" t="s">
        <v>2082</v>
      </c>
      <c r="E207" s="99" t="s">
        <v>2083</v>
      </c>
      <c r="F207" s="10"/>
      <c r="G207" s="10"/>
      <c r="H207" s="81"/>
      <c r="I207" s="10"/>
      <c r="J207" s="101">
        <f>IF(ISNUMBER(MCC_Table[[#This Row],[SIZE]]), MCC_Table[[#This Row],[SIZE]]/12, 0)</f>
        <v>1.5</v>
      </c>
      <c r="K207" s="81" t="s">
        <v>1888</v>
      </c>
      <c r="L207" s="82" t="s">
        <v>1888</v>
      </c>
      <c r="M207" s="81">
        <v>0.75</v>
      </c>
      <c r="N207" s="82"/>
      <c r="O207" s="77"/>
      <c r="P207" s="110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224"/>
      <c r="AC207" s="224"/>
      <c r="AD207" s="224"/>
      <c r="AE207" s="98">
        <f>_xlfn.NUMBERVALUE(LEFT(MCC_Table[[#This Row],[BUCKET]],LEN(MCC_Table[[#This Row],[BUCKET]])-1))</f>
        <v>1</v>
      </c>
      <c r="AF207" s="98" t="str">
        <f>RIGHT(MCC_Table[[#This Row],[BUCKET]],1)</f>
        <v>F</v>
      </c>
      <c r="AG207" s="98">
        <f>VLOOKUP(MCC_Table[[#This Row],[START UNIT]],UnitMap[],2,FALSE)</f>
        <v>6</v>
      </c>
      <c r="AH207" s="98">
        <f t="array" ref="AH2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07" s="98">
        <f>IF(ISNUMBER(MCC_Table[[#This Row],[SIZE]]), MCC_Table[[#This Row],[SIZE]]/6, 0)</f>
        <v>3</v>
      </c>
      <c r="AJ207" s="98">
        <f>MCC_Table[[#This Row],[START INDEX]]+MCC_Table[[#This Row],[UNITS USED]]-1</f>
        <v>8</v>
      </c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</row>
    <row r="208" spans="1:57" ht="15.75" hidden="1" customHeight="1" thickTop="1" x14ac:dyDescent="0.25">
      <c r="A208" s="39" t="s">
        <v>2490</v>
      </c>
      <c r="B208" s="29" t="s">
        <v>2493</v>
      </c>
      <c r="C208" s="111" t="s">
        <v>2103</v>
      </c>
      <c r="D208" s="28" t="s">
        <v>2104</v>
      </c>
      <c r="E208" s="112" t="s">
        <v>2103</v>
      </c>
      <c r="F208" s="8"/>
      <c r="G208" s="8"/>
      <c r="H208" s="82"/>
      <c r="I208" s="8"/>
      <c r="J208" s="80">
        <f>IF(ISNUMBER(MCC_Table[[#This Row],[SIZE]]), MCC_Table[[#This Row],[SIZE]]/12, 0)</f>
        <v>0.5</v>
      </c>
      <c r="K208" s="82"/>
      <c r="L208" s="82"/>
      <c r="M208" s="82"/>
      <c r="N208" s="82"/>
      <c r="O208" s="77"/>
      <c r="P208" s="110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225"/>
      <c r="AC208" s="225"/>
      <c r="AD208" s="225"/>
      <c r="AE208" s="29">
        <f>_xlfn.NUMBERVALUE(LEFT(MCC_Table[[#This Row],[BUCKET]],LEN(MCC_Table[[#This Row],[BUCKET]])-1))</f>
        <v>1</v>
      </c>
      <c r="AF208" s="29" t="str">
        <f>RIGHT(MCC_Table[[#This Row],[BUCKET]],1)</f>
        <v>J</v>
      </c>
      <c r="AG208" s="29">
        <f>VLOOKUP(MCC_Table[[#This Row],[START UNIT]],UnitMap[],2,FALSE)</f>
        <v>9</v>
      </c>
      <c r="AH208" s="29">
        <f t="array" ref="AH2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08" s="29">
        <f>IF(ISNUMBER(MCC_Table[[#This Row],[SIZE]]), MCC_Table[[#This Row],[SIZE]]/6, 0)</f>
        <v>1</v>
      </c>
      <c r="AJ208" s="29">
        <f>MCC_Table[[#This Row],[START INDEX]]+MCC_Table[[#This Row],[UNITS USED]]-1</f>
        <v>9</v>
      </c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</row>
    <row r="209" spans="1:57" ht="15.75" hidden="1" customHeight="1" thickTop="1" x14ac:dyDescent="0.25">
      <c r="A209" s="39" t="s">
        <v>2490</v>
      </c>
      <c r="B209" s="29" t="s">
        <v>2494</v>
      </c>
      <c r="C209" s="24" t="s">
        <v>2495</v>
      </c>
      <c r="D209" s="62" t="s">
        <v>2098</v>
      </c>
      <c r="E209" s="24" t="s">
        <v>2099</v>
      </c>
      <c r="F209" s="8"/>
      <c r="G209" s="8"/>
      <c r="H209" s="82"/>
      <c r="I209" s="8"/>
      <c r="J209" s="80">
        <f>IF(ISNUMBER(MCC_Table[[#This Row],[SIZE]]), MCC_Table[[#This Row],[SIZE]]/12, 0)</f>
        <v>1.5</v>
      </c>
      <c r="K209" s="82">
        <v>15</v>
      </c>
      <c r="L209" s="82">
        <v>125</v>
      </c>
      <c r="M209" s="82"/>
      <c r="N209" s="82"/>
      <c r="O209" s="77"/>
      <c r="P209" s="110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225"/>
      <c r="AC209" s="225"/>
      <c r="AD209" s="225"/>
      <c r="AE209" s="29">
        <f>_xlfn.NUMBERVALUE(LEFT(MCC_Table[[#This Row],[BUCKET]],LEN(MCC_Table[[#This Row],[BUCKET]])-1))</f>
        <v>1</v>
      </c>
      <c r="AF209" s="29" t="str">
        <f>RIGHT(MCC_Table[[#This Row],[BUCKET]],1)</f>
        <v>K</v>
      </c>
      <c r="AG209" s="29">
        <f>VLOOKUP(MCC_Table[[#This Row],[START UNIT]],UnitMap[],2,FALSE)</f>
        <v>10</v>
      </c>
      <c r="AH209" s="29">
        <f t="array" ref="AH2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09" s="29">
        <f>IF(ISNUMBER(MCC_Table[[#This Row],[SIZE]]), MCC_Table[[#This Row],[SIZE]]/6, 0)</f>
        <v>3</v>
      </c>
      <c r="AJ209" s="29">
        <f>MCC_Table[[#This Row],[START INDEX]]+MCC_Table[[#This Row],[UNITS USED]]-1</f>
        <v>12</v>
      </c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</row>
    <row r="210" spans="1:57" ht="15.75" hidden="1" customHeight="1" thickTop="1" x14ac:dyDescent="0.25">
      <c r="A210" s="39" t="s">
        <v>2490</v>
      </c>
      <c r="B210" s="29" t="s">
        <v>2222</v>
      </c>
      <c r="C210" s="24" t="s">
        <v>2496</v>
      </c>
      <c r="D210" s="62" t="s">
        <v>2497</v>
      </c>
      <c r="E210" s="24" t="s">
        <v>2387</v>
      </c>
      <c r="F210" s="8">
        <v>15</v>
      </c>
      <c r="G210" s="8">
        <v>15</v>
      </c>
      <c r="H210" s="82"/>
      <c r="I210" s="8"/>
      <c r="J210" s="80">
        <f>IF(ISNUMBER(MCC_Table[[#This Row],[SIZE]]), MCC_Table[[#This Row],[SIZE]]/12, 0)</f>
        <v>3</v>
      </c>
      <c r="K210" s="82">
        <v>60</v>
      </c>
      <c r="L210" s="82">
        <v>125</v>
      </c>
      <c r="M210" s="82">
        <v>40</v>
      </c>
      <c r="N210" s="82" t="s">
        <v>2198</v>
      </c>
      <c r="O210" s="77"/>
      <c r="P210" s="110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225"/>
      <c r="AC210" s="225"/>
      <c r="AD210" s="225"/>
      <c r="AE210" s="29">
        <f>_xlfn.NUMBERVALUE(LEFT(MCC_Table[[#This Row],[BUCKET]],LEN(MCC_Table[[#This Row],[BUCKET]])-1))</f>
        <v>2</v>
      </c>
      <c r="AF210" s="29" t="str">
        <f>RIGHT(MCC_Table[[#This Row],[BUCKET]],1)</f>
        <v>A</v>
      </c>
      <c r="AG210" s="29">
        <f>VLOOKUP(MCC_Table[[#This Row],[START UNIT]],UnitMap[],2,FALSE)</f>
        <v>1</v>
      </c>
      <c r="AH210" s="29">
        <f t="array" ref="AH2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0" s="29">
        <f>IF(ISNUMBER(MCC_Table[[#This Row],[SIZE]]), MCC_Table[[#This Row],[SIZE]]/6, 0)</f>
        <v>6</v>
      </c>
      <c r="AJ210" s="29">
        <f>MCC_Table[[#This Row],[START INDEX]]+MCC_Table[[#This Row],[UNITS USED]]-1</f>
        <v>6</v>
      </c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</row>
    <row r="211" spans="1:57" ht="15.75" hidden="1" customHeight="1" thickTop="1" x14ac:dyDescent="0.25">
      <c r="A211" s="39" t="s">
        <v>2490</v>
      </c>
      <c r="B211" s="29" t="s">
        <v>2498</v>
      </c>
      <c r="C211" s="111" t="s">
        <v>2499</v>
      </c>
      <c r="D211" s="28" t="s">
        <v>2500</v>
      </c>
      <c r="E211" s="112" t="s">
        <v>2387</v>
      </c>
      <c r="F211" s="8">
        <v>3</v>
      </c>
      <c r="G211" s="8">
        <v>5</v>
      </c>
      <c r="H211" s="82"/>
      <c r="I211" s="8"/>
      <c r="J211" s="80">
        <f>IF(ISNUMBER(MCC_Table[[#This Row],[SIZE]]), MCC_Table[[#This Row],[SIZE]]/12, 0)</f>
        <v>2</v>
      </c>
      <c r="K211" s="82">
        <v>15</v>
      </c>
      <c r="L211" s="82">
        <v>125</v>
      </c>
      <c r="M211" s="82">
        <v>15</v>
      </c>
      <c r="N211" s="82" t="s">
        <v>2124</v>
      </c>
      <c r="O211" s="77"/>
      <c r="P211" s="110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225"/>
      <c r="AC211" s="225"/>
      <c r="AD211" s="225"/>
      <c r="AE211" s="29">
        <f>_xlfn.NUMBERVALUE(LEFT(MCC_Table[[#This Row],[BUCKET]],LEN(MCC_Table[[#This Row],[BUCKET]])-1))</f>
        <v>2</v>
      </c>
      <c r="AF211" s="29" t="str">
        <f>RIGHT(MCC_Table[[#This Row],[BUCKET]],1)</f>
        <v>G</v>
      </c>
      <c r="AG211" s="29">
        <f>VLOOKUP(MCC_Table[[#This Row],[START UNIT]],UnitMap[],2,FALSE)</f>
        <v>7</v>
      </c>
      <c r="AH211" s="29">
        <f t="array" ref="AH2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11" s="29">
        <f>IF(ISNUMBER(MCC_Table[[#This Row],[SIZE]]), MCC_Table[[#This Row],[SIZE]]/6, 0)</f>
        <v>4</v>
      </c>
      <c r="AJ211" s="29">
        <f>MCC_Table[[#This Row],[START INDEX]]+MCC_Table[[#This Row],[UNITS USED]]-1</f>
        <v>10</v>
      </c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</row>
    <row r="212" spans="1:57" ht="15.75" hidden="1" customHeight="1" thickTop="1" x14ac:dyDescent="0.25">
      <c r="A212" s="39" t="s">
        <v>2490</v>
      </c>
      <c r="B212" s="29" t="s">
        <v>2389</v>
      </c>
      <c r="C212" s="24" t="s">
        <v>2501</v>
      </c>
      <c r="D212" s="62" t="s">
        <v>2224</v>
      </c>
      <c r="E212" s="24" t="s">
        <v>2225</v>
      </c>
      <c r="F212" s="8"/>
      <c r="G212" s="8"/>
      <c r="H212" s="82"/>
      <c r="I212" s="8"/>
      <c r="J212" s="80">
        <f>IF(ISNUMBER(MCC_Table[[#This Row],[SIZE]]), MCC_Table[[#This Row],[SIZE]]/12, 0)</f>
        <v>1</v>
      </c>
      <c r="K212" s="82"/>
      <c r="L212" s="82"/>
      <c r="M212" s="82"/>
      <c r="N212" s="82"/>
      <c r="O212" s="77"/>
      <c r="P212" s="110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225"/>
      <c r="AC212" s="225"/>
      <c r="AD212" s="225"/>
      <c r="AE212" s="29">
        <f>_xlfn.NUMBERVALUE(LEFT(MCC_Table[[#This Row],[BUCKET]],LEN(MCC_Table[[#This Row],[BUCKET]])-1))</f>
        <v>2</v>
      </c>
      <c r="AF212" s="29" t="str">
        <f>RIGHT(MCC_Table[[#This Row],[BUCKET]],1)</f>
        <v>L</v>
      </c>
      <c r="AG212" s="29">
        <f>VLOOKUP(MCC_Table[[#This Row],[START UNIT]],UnitMap[],2,FALSE)</f>
        <v>11</v>
      </c>
      <c r="AH212" s="29">
        <f t="array" ref="AH2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12" s="29">
        <f>IF(ISNUMBER(MCC_Table[[#This Row],[SIZE]]), MCC_Table[[#This Row],[SIZE]]/6, 0)</f>
        <v>2</v>
      </c>
      <c r="AJ212" s="29">
        <f>MCC_Table[[#This Row],[START INDEX]]+MCC_Table[[#This Row],[UNITS USED]]-1</f>
        <v>12</v>
      </c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</row>
    <row r="213" spans="1:57" ht="15.75" hidden="1" customHeight="1" thickTop="1" x14ac:dyDescent="0.25">
      <c r="A213" s="39" t="s">
        <v>2490</v>
      </c>
      <c r="B213" s="29" t="s">
        <v>2113</v>
      </c>
      <c r="C213" s="111" t="s">
        <v>2502</v>
      </c>
      <c r="D213" s="28" t="s">
        <v>2503</v>
      </c>
      <c r="E213" s="112" t="s">
        <v>2387</v>
      </c>
      <c r="F213" s="8">
        <v>15</v>
      </c>
      <c r="G213" s="8">
        <v>15</v>
      </c>
      <c r="H213" s="82"/>
      <c r="I213" s="8"/>
      <c r="J213" s="80">
        <f>IF(ISNUMBER(MCC_Table[[#This Row],[SIZE]]), MCC_Table[[#This Row],[SIZE]]/12, 0)</f>
        <v>3</v>
      </c>
      <c r="K213" s="82">
        <v>60</v>
      </c>
      <c r="L213" s="82">
        <v>125</v>
      </c>
      <c r="M213" s="82">
        <v>40</v>
      </c>
      <c r="N213" s="82" t="s">
        <v>2198</v>
      </c>
      <c r="O213" s="77"/>
      <c r="P213" s="110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225"/>
      <c r="AC213" s="225"/>
      <c r="AD213" s="225"/>
      <c r="AE213" s="29">
        <f>_xlfn.NUMBERVALUE(LEFT(MCC_Table[[#This Row],[BUCKET]],LEN(MCC_Table[[#This Row],[BUCKET]])-1))</f>
        <v>3</v>
      </c>
      <c r="AF213" s="29" t="str">
        <f>RIGHT(MCC_Table[[#This Row],[BUCKET]],1)</f>
        <v>A</v>
      </c>
      <c r="AG213" s="29">
        <f>VLOOKUP(MCC_Table[[#This Row],[START UNIT]],UnitMap[],2,FALSE)</f>
        <v>1</v>
      </c>
      <c r="AH213" s="29">
        <f t="array" ref="AH2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3" s="29">
        <f>IF(ISNUMBER(MCC_Table[[#This Row],[SIZE]]), MCC_Table[[#This Row],[SIZE]]/6, 0)</f>
        <v>6</v>
      </c>
      <c r="AJ213" s="29">
        <f>MCC_Table[[#This Row],[START INDEX]]+MCC_Table[[#This Row],[UNITS USED]]-1</f>
        <v>6</v>
      </c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</row>
    <row r="214" spans="1:57" ht="15.75" hidden="1" customHeight="1" thickTop="1" x14ac:dyDescent="0.25">
      <c r="A214" s="39" t="s">
        <v>2490</v>
      </c>
      <c r="B214" s="29" t="s">
        <v>2504</v>
      </c>
      <c r="C214" s="111" t="s">
        <v>2505</v>
      </c>
      <c r="D214" s="28" t="s">
        <v>2506</v>
      </c>
      <c r="E214" s="112" t="s">
        <v>2387</v>
      </c>
      <c r="F214" s="8">
        <v>15</v>
      </c>
      <c r="G214" s="8">
        <v>15</v>
      </c>
      <c r="H214" s="82"/>
      <c r="I214" s="8"/>
      <c r="J214" s="80">
        <f>IF(ISNUMBER(MCC_Table[[#This Row],[SIZE]]), MCC_Table[[#This Row],[SIZE]]/12, 0)</f>
        <v>3</v>
      </c>
      <c r="K214" s="82">
        <v>60</v>
      </c>
      <c r="L214" s="82">
        <v>125</v>
      </c>
      <c r="M214" s="82">
        <v>40</v>
      </c>
      <c r="N214" s="82" t="s">
        <v>2198</v>
      </c>
      <c r="O214" s="77"/>
      <c r="P214" s="110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225"/>
      <c r="AC214" s="225"/>
      <c r="AD214" s="225"/>
      <c r="AE214" s="29">
        <f>_xlfn.NUMBERVALUE(LEFT(MCC_Table[[#This Row],[BUCKET]],LEN(MCC_Table[[#This Row],[BUCKET]])-1))</f>
        <v>3</v>
      </c>
      <c r="AF214" s="29" t="str">
        <f>RIGHT(MCC_Table[[#This Row],[BUCKET]],1)</f>
        <v>G</v>
      </c>
      <c r="AG214" s="29">
        <f>VLOOKUP(MCC_Table[[#This Row],[START UNIT]],UnitMap[],2,FALSE)</f>
        <v>7</v>
      </c>
      <c r="AH214" s="29">
        <f t="array" ref="AH2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4" s="29">
        <f>IF(ISNUMBER(MCC_Table[[#This Row],[SIZE]]), MCC_Table[[#This Row],[SIZE]]/6, 0)</f>
        <v>6</v>
      </c>
      <c r="AJ214" s="29">
        <f>MCC_Table[[#This Row],[START INDEX]]+MCC_Table[[#This Row],[UNITS USED]]-1</f>
        <v>12</v>
      </c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</row>
    <row r="215" spans="1:57" ht="15.75" hidden="1" customHeight="1" thickTop="1" x14ac:dyDescent="0.25">
      <c r="A215" s="39" t="s">
        <v>2490</v>
      </c>
      <c r="B215" s="29" t="s">
        <v>2115</v>
      </c>
      <c r="C215" s="111" t="s">
        <v>2507</v>
      </c>
      <c r="D215" s="28" t="s">
        <v>2508</v>
      </c>
      <c r="E215" s="112" t="s">
        <v>2387</v>
      </c>
      <c r="F215" s="8">
        <v>15</v>
      </c>
      <c r="G215" s="8">
        <v>15</v>
      </c>
      <c r="H215" s="82"/>
      <c r="I215" s="8"/>
      <c r="J215" s="80">
        <f>IF(ISNUMBER(MCC_Table[[#This Row],[SIZE]]), MCC_Table[[#This Row],[SIZE]]/12, 0)</f>
        <v>3</v>
      </c>
      <c r="K215" s="82">
        <v>60</v>
      </c>
      <c r="L215" s="82">
        <v>125</v>
      </c>
      <c r="M215" s="82">
        <v>40</v>
      </c>
      <c r="N215" s="82" t="s">
        <v>2198</v>
      </c>
      <c r="O215" s="77"/>
      <c r="P215" s="110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225"/>
      <c r="AC215" s="225"/>
      <c r="AD215" s="225"/>
      <c r="AE215" s="29">
        <f>_xlfn.NUMBERVALUE(LEFT(MCC_Table[[#This Row],[BUCKET]],LEN(MCC_Table[[#This Row],[BUCKET]])-1))</f>
        <v>4</v>
      </c>
      <c r="AF215" s="29" t="str">
        <f>RIGHT(MCC_Table[[#This Row],[BUCKET]],1)</f>
        <v>A</v>
      </c>
      <c r="AG215" s="29">
        <f>VLOOKUP(MCC_Table[[#This Row],[START UNIT]],UnitMap[],2,FALSE)</f>
        <v>1</v>
      </c>
      <c r="AH215" s="29">
        <f t="array" ref="AH2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5" s="29">
        <f>IF(ISNUMBER(MCC_Table[[#This Row],[SIZE]]), MCC_Table[[#This Row],[SIZE]]/6, 0)</f>
        <v>6</v>
      </c>
      <c r="AJ215" s="29">
        <f>MCC_Table[[#This Row],[START INDEX]]+MCC_Table[[#This Row],[UNITS USED]]-1</f>
        <v>6</v>
      </c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</row>
    <row r="216" spans="1:57" ht="15.75" hidden="1" customHeight="1" thickTop="1" x14ac:dyDescent="0.25">
      <c r="A216" s="39" t="s">
        <v>2490</v>
      </c>
      <c r="B216" s="29" t="s">
        <v>2509</v>
      </c>
      <c r="C216" s="111" t="s">
        <v>2510</v>
      </c>
      <c r="D216" s="28" t="s">
        <v>2511</v>
      </c>
      <c r="E216" s="112" t="s">
        <v>2387</v>
      </c>
      <c r="F216" s="8">
        <v>15</v>
      </c>
      <c r="G216" s="8">
        <v>15</v>
      </c>
      <c r="H216" s="82"/>
      <c r="I216" s="8"/>
      <c r="J216" s="80">
        <f>IF(ISNUMBER(MCC_Table[[#This Row],[SIZE]]), MCC_Table[[#This Row],[SIZE]]/12, 0)</f>
        <v>3</v>
      </c>
      <c r="K216" s="82">
        <v>60</v>
      </c>
      <c r="L216" s="82">
        <v>125</v>
      </c>
      <c r="M216" s="82">
        <v>40</v>
      </c>
      <c r="N216" s="82" t="s">
        <v>2198</v>
      </c>
      <c r="O216" s="77"/>
      <c r="P216" s="110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225"/>
      <c r="AC216" s="225"/>
      <c r="AD216" s="225"/>
      <c r="AE216" s="29">
        <f>_xlfn.NUMBERVALUE(LEFT(MCC_Table[[#This Row],[BUCKET]],LEN(MCC_Table[[#This Row],[BUCKET]])-1))</f>
        <v>4</v>
      </c>
      <c r="AF216" s="29" t="str">
        <f>RIGHT(MCC_Table[[#This Row],[BUCKET]],1)</f>
        <v>G</v>
      </c>
      <c r="AG216" s="29">
        <f>VLOOKUP(MCC_Table[[#This Row],[START UNIT]],UnitMap[],2,FALSE)</f>
        <v>7</v>
      </c>
      <c r="AH216" s="29">
        <f t="array" ref="AH2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6" s="29">
        <f>IF(ISNUMBER(MCC_Table[[#This Row],[SIZE]]), MCC_Table[[#This Row],[SIZE]]/6, 0)</f>
        <v>6</v>
      </c>
      <c r="AJ216" s="29">
        <f>MCC_Table[[#This Row],[START INDEX]]+MCC_Table[[#This Row],[UNITS USED]]-1</f>
        <v>12</v>
      </c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</row>
    <row r="217" spans="1:57" ht="15.75" hidden="1" customHeight="1" thickTop="1" x14ac:dyDescent="0.25">
      <c r="A217" s="39" t="s">
        <v>2490</v>
      </c>
      <c r="B217" s="29" t="s">
        <v>2118</v>
      </c>
      <c r="C217" s="111" t="s">
        <v>2512</v>
      </c>
      <c r="D217" s="28" t="s">
        <v>2513</v>
      </c>
      <c r="E217" s="112" t="s">
        <v>2387</v>
      </c>
      <c r="F217" s="8">
        <v>20</v>
      </c>
      <c r="G217" s="8">
        <v>20</v>
      </c>
      <c r="H217" s="82"/>
      <c r="I217" s="8"/>
      <c r="J217" s="80">
        <f>IF(ISNUMBER(MCC_Table[[#This Row],[SIZE]]), MCC_Table[[#This Row],[SIZE]]/12, 0)</f>
        <v>3</v>
      </c>
      <c r="K217" s="82">
        <v>60</v>
      </c>
      <c r="L217" s="82">
        <v>125</v>
      </c>
      <c r="M217" s="82">
        <v>50</v>
      </c>
      <c r="N217" s="82" t="s">
        <v>2198</v>
      </c>
      <c r="O217" s="77"/>
      <c r="P217" s="110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225"/>
      <c r="AC217" s="225"/>
      <c r="AD217" s="225"/>
      <c r="AE217" s="29">
        <f>_xlfn.NUMBERVALUE(LEFT(MCC_Table[[#This Row],[BUCKET]],LEN(MCC_Table[[#This Row],[BUCKET]])-1))</f>
        <v>5</v>
      </c>
      <c r="AF217" s="29" t="str">
        <f>RIGHT(MCC_Table[[#This Row],[BUCKET]],1)</f>
        <v>A</v>
      </c>
      <c r="AG217" s="29">
        <f>VLOOKUP(MCC_Table[[#This Row],[START UNIT]],UnitMap[],2,FALSE)</f>
        <v>1</v>
      </c>
      <c r="AH217" s="29">
        <f t="array" ref="AH2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7" s="29">
        <f>IF(ISNUMBER(MCC_Table[[#This Row],[SIZE]]), MCC_Table[[#This Row],[SIZE]]/6, 0)</f>
        <v>6</v>
      </c>
      <c r="AJ217" s="29">
        <f>MCC_Table[[#This Row],[START INDEX]]+MCC_Table[[#This Row],[UNITS USED]]-1</f>
        <v>6</v>
      </c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</row>
    <row r="218" spans="1:57" ht="15.75" hidden="1" customHeight="1" thickTop="1" x14ac:dyDescent="0.25">
      <c r="A218" s="39" t="s">
        <v>2490</v>
      </c>
      <c r="B218" s="29" t="s">
        <v>2514</v>
      </c>
      <c r="C218" s="111" t="s">
        <v>2515</v>
      </c>
      <c r="D218" s="28" t="s">
        <v>2516</v>
      </c>
      <c r="E218" s="112" t="s">
        <v>2387</v>
      </c>
      <c r="F218" s="8">
        <v>20</v>
      </c>
      <c r="G218" s="8">
        <v>20</v>
      </c>
      <c r="H218" s="82"/>
      <c r="I218" s="8"/>
      <c r="J218" s="80">
        <f>IF(ISNUMBER(MCC_Table[[#This Row],[SIZE]]), MCC_Table[[#This Row],[SIZE]]/12, 0)</f>
        <v>3</v>
      </c>
      <c r="K218" s="82">
        <v>60</v>
      </c>
      <c r="L218" s="82">
        <v>125</v>
      </c>
      <c r="M218" s="82">
        <v>50</v>
      </c>
      <c r="N218" s="82" t="s">
        <v>2198</v>
      </c>
      <c r="O218" s="77"/>
      <c r="P218" s="110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225"/>
      <c r="AC218" s="225"/>
      <c r="AD218" s="225"/>
      <c r="AE218" s="29">
        <f>_xlfn.NUMBERVALUE(LEFT(MCC_Table[[#This Row],[BUCKET]],LEN(MCC_Table[[#This Row],[BUCKET]])-1))</f>
        <v>5</v>
      </c>
      <c r="AF218" s="29" t="str">
        <f>RIGHT(MCC_Table[[#This Row],[BUCKET]],1)</f>
        <v>G</v>
      </c>
      <c r="AG218" s="29">
        <f>VLOOKUP(MCC_Table[[#This Row],[START UNIT]],UnitMap[],2,FALSE)</f>
        <v>7</v>
      </c>
      <c r="AH218" s="29">
        <f t="array" ref="AH2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18" s="29">
        <f>IF(ISNUMBER(MCC_Table[[#This Row],[SIZE]]), MCC_Table[[#This Row],[SIZE]]/6, 0)</f>
        <v>6</v>
      </c>
      <c r="AJ218" s="29">
        <f>MCC_Table[[#This Row],[START INDEX]]+MCC_Table[[#This Row],[UNITS USED]]-1</f>
        <v>12</v>
      </c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</row>
    <row r="219" spans="1:57" ht="15.75" hidden="1" customHeight="1" thickTop="1" x14ac:dyDescent="0.25">
      <c r="A219" s="39" t="s">
        <v>2490</v>
      </c>
      <c r="B219" s="29" t="s">
        <v>2121</v>
      </c>
      <c r="C219" s="111" t="s">
        <v>2517</v>
      </c>
      <c r="D219" s="28" t="s">
        <v>2518</v>
      </c>
      <c r="E219" s="112" t="s">
        <v>2387</v>
      </c>
      <c r="F219" s="8">
        <v>2</v>
      </c>
      <c r="G219" s="8">
        <v>2</v>
      </c>
      <c r="H219" s="82"/>
      <c r="I219" s="8"/>
      <c r="J219" s="80">
        <f>IF(ISNUMBER(MCC_Table[[#This Row],[SIZE]]), MCC_Table[[#This Row],[SIZE]]/12, 0)</f>
        <v>2</v>
      </c>
      <c r="K219" s="82">
        <v>15</v>
      </c>
      <c r="L219" s="82">
        <v>125</v>
      </c>
      <c r="M219" s="82">
        <v>10</v>
      </c>
      <c r="N219" s="82" t="s">
        <v>2124</v>
      </c>
      <c r="O219" s="77"/>
      <c r="P219" s="110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225"/>
      <c r="AC219" s="225"/>
      <c r="AD219" s="225"/>
      <c r="AE219" s="29">
        <f>_xlfn.NUMBERVALUE(LEFT(MCC_Table[[#This Row],[BUCKET]],LEN(MCC_Table[[#This Row],[BUCKET]])-1))</f>
        <v>6</v>
      </c>
      <c r="AF219" s="29" t="str">
        <f>RIGHT(MCC_Table[[#This Row],[BUCKET]],1)</f>
        <v>A</v>
      </c>
      <c r="AG219" s="29">
        <f>VLOOKUP(MCC_Table[[#This Row],[START UNIT]],UnitMap[],2,FALSE)</f>
        <v>1</v>
      </c>
      <c r="AH219" s="29">
        <f t="array" ref="AH2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19" s="29">
        <f>IF(ISNUMBER(MCC_Table[[#This Row],[SIZE]]), MCC_Table[[#This Row],[SIZE]]/6, 0)</f>
        <v>4</v>
      </c>
      <c r="AJ219" s="29">
        <f>MCC_Table[[#This Row],[START INDEX]]+MCC_Table[[#This Row],[UNITS USED]]-1</f>
        <v>4</v>
      </c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</row>
    <row r="220" spans="1:57" ht="30.75" hidden="1" customHeight="1" thickTop="1" x14ac:dyDescent="0.25">
      <c r="A220" s="39" t="s">
        <v>2490</v>
      </c>
      <c r="B220" s="29" t="s">
        <v>2125</v>
      </c>
      <c r="C220" s="111" t="s">
        <v>2519</v>
      </c>
      <c r="D220" s="28" t="s">
        <v>2520</v>
      </c>
      <c r="E220" s="112" t="s">
        <v>2387</v>
      </c>
      <c r="F220" s="8">
        <v>40</v>
      </c>
      <c r="G220" s="8">
        <v>40</v>
      </c>
      <c r="H220" s="82"/>
      <c r="I220" s="8"/>
      <c r="J220" s="80">
        <f>IF(ISNUMBER(MCC_Table[[#This Row],[SIZE]]), MCC_Table[[#This Row],[SIZE]]/12, 0)</f>
        <v>4</v>
      </c>
      <c r="K220" s="82">
        <v>125</v>
      </c>
      <c r="L220" s="82">
        <v>125</v>
      </c>
      <c r="M220" s="82">
        <v>90</v>
      </c>
      <c r="N220" s="82" t="s">
        <v>2215</v>
      </c>
      <c r="O220" s="77"/>
      <c r="P220" s="110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225"/>
      <c r="AC220" s="225"/>
      <c r="AD220" s="225"/>
      <c r="AE220" s="29">
        <f>_xlfn.NUMBERVALUE(LEFT(MCC_Table[[#This Row],[BUCKET]],LEN(MCC_Table[[#This Row],[BUCKET]])-1))</f>
        <v>6</v>
      </c>
      <c r="AF220" s="29" t="str">
        <f>RIGHT(MCC_Table[[#This Row],[BUCKET]],1)</f>
        <v>E</v>
      </c>
      <c r="AG220" s="29">
        <f>VLOOKUP(MCC_Table[[#This Row],[START UNIT]],UnitMap[],2,FALSE)</f>
        <v>5</v>
      </c>
      <c r="AH220" s="29">
        <f t="array" ref="AH2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48</v>
      </c>
      <c r="AI220" s="29">
        <f>IF(ISNUMBER(MCC_Table[[#This Row],[SIZE]]), MCC_Table[[#This Row],[SIZE]]/6, 0)</f>
        <v>8</v>
      </c>
      <c r="AJ220" s="29">
        <f>MCC_Table[[#This Row],[START INDEX]]+MCC_Table[[#This Row],[UNITS USED]]-1</f>
        <v>12</v>
      </c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</row>
    <row r="221" spans="1:57" ht="15.75" hidden="1" customHeight="1" thickTop="1" x14ac:dyDescent="0.25">
      <c r="A221" s="39" t="s">
        <v>2490</v>
      </c>
      <c r="B221" s="29" t="s">
        <v>2131</v>
      </c>
      <c r="C221" s="111" t="s">
        <v>2521</v>
      </c>
      <c r="D221" s="28" t="s">
        <v>2522</v>
      </c>
      <c r="E221" s="112" t="s">
        <v>2387</v>
      </c>
      <c r="F221" s="8">
        <v>3</v>
      </c>
      <c r="G221" s="8">
        <v>5</v>
      </c>
      <c r="H221" s="82"/>
      <c r="I221" s="8"/>
      <c r="J221" s="80">
        <f>IF(ISNUMBER(MCC_Table[[#This Row],[SIZE]]), MCC_Table[[#This Row],[SIZE]]/12, 0)</f>
        <v>2</v>
      </c>
      <c r="K221" s="82">
        <v>15</v>
      </c>
      <c r="L221" s="82">
        <v>125</v>
      </c>
      <c r="M221" s="82">
        <v>15</v>
      </c>
      <c r="N221" s="82" t="s">
        <v>2124</v>
      </c>
      <c r="O221" s="77"/>
      <c r="P221" s="110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225"/>
      <c r="AC221" s="225"/>
      <c r="AD221" s="225"/>
      <c r="AE221" s="29">
        <f>_xlfn.NUMBERVALUE(LEFT(MCC_Table[[#This Row],[BUCKET]],LEN(MCC_Table[[#This Row],[BUCKET]])-1))</f>
        <v>7</v>
      </c>
      <c r="AF221" s="29" t="str">
        <f>RIGHT(MCC_Table[[#This Row],[BUCKET]],1)</f>
        <v>A</v>
      </c>
      <c r="AG221" s="29">
        <f>VLOOKUP(MCC_Table[[#This Row],[START UNIT]],UnitMap[],2,FALSE)</f>
        <v>1</v>
      </c>
      <c r="AH221" s="29">
        <f t="array" ref="AH2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21" s="29">
        <f>IF(ISNUMBER(MCC_Table[[#This Row],[SIZE]]), MCC_Table[[#This Row],[SIZE]]/6, 0)</f>
        <v>4</v>
      </c>
      <c r="AJ221" s="29">
        <f>MCC_Table[[#This Row],[START INDEX]]+MCC_Table[[#This Row],[UNITS USED]]-1</f>
        <v>4</v>
      </c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</row>
    <row r="222" spans="1:57" ht="30.75" hidden="1" customHeight="1" thickTop="1" x14ac:dyDescent="0.25">
      <c r="A222" s="39" t="s">
        <v>2490</v>
      </c>
      <c r="B222" s="29" t="s">
        <v>2134</v>
      </c>
      <c r="C222" s="111" t="s">
        <v>2523</v>
      </c>
      <c r="D222" s="28" t="s">
        <v>2524</v>
      </c>
      <c r="E222" s="112" t="s">
        <v>2387</v>
      </c>
      <c r="F222" s="8">
        <v>40</v>
      </c>
      <c r="G222" s="8">
        <v>40</v>
      </c>
      <c r="H222" s="82"/>
      <c r="I222" s="8"/>
      <c r="J222" s="80">
        <f>IF(ISNUMBER(MCC_Table[[#This Row],[SIZE]]), MCC_Table[[#This Row],[SIZE]]/12, 0)</f>
        <v>4</v>
      </c>
      <c r="K222" s="82">
        <v>125</v>
      </c>
      <c r="L222" s="82">
        <v>125</v>
      </c>
      <c r="M222" s="82">
        <v>90</v>
      </c>
      <c r="N222" s="82" t="s">
        <v>2215</v>
      </c>
      <c r="O222" s="77"/>
      <c r="P222" s="110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225"/>
      <c r="AC222" s="225"/>
      <c r="AD222" s="225"/>
      <c r="AE222" s="29">
        <f>_xlfn.NUMBERVALUE(LEFT(MCC_Table[[#This Row],[BUCKET]],LEN(MCC_Table[[#This Row],[BUCKET]])-1))</f>
        <v>7</v>
      </c>
      <c r="AF222" s="29" t="str">
        <f>RIGHT(MCC_Table[[#This Row],[BUCKET]],1)</f>
        <v>E</v>
      </c>
      <c r="AG222" s="29">
        <f>VLOOKUP(MCC_Table[[#This Row],[START UNIT]],UnitMap[],2,FALSE)</f>
        <v>5</v>
      </c>
      <c r="AH222" s="29">
        <f t="array" ref="AH2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48</v>
      </c>
      <c r="AI222" s="29">
        <f>IF(ISNUMBER(MCC_Table[[#This Row],[SIZE]]), MCC_Table[[#This Row],[SIZE]]/6, 0)</f>
        <v>8</v>
      </c>
      <c r="AJ222" s="29">
        <f>MCC_Table[[#This Row],[START INDEX]]+MCC_Table[[#This Row],[UNITS USED]]-1</f>
        <v>12</v>
      </c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</row>
    <row r="223" spans="1:57" ht="15.75" hidden="1" customHeight="1" thickTop="1" x14ac:dyDescent="0.25">
      <c r="A223" s="39" t="s">
        <v>2490</v>
      </c>
      <c r="B223" s="29" t="s">
        <v>2139</v>
      </c>
      <c r="C223" s="111" t="s">
        <v>2525</v>
      </c>
      <c r="D223" s="28" t="s">
        <v>2526</v>
      </c>
      <c r="E223" s="112" t="s">
        <v>2387</v>
      </c>
      <c r="F223" s="8">
        <v>25</v>
      </c>
      <c r="G223" s="8">
        <v>25</v>
      </c>
      <c r="H223" s="82"/>
      <c r="I223" s="8"/>
      <c r="J223" s="80">
        <f>IF(ISNUMBER(MCC_Table[[#This Row],[SIZE]]), MCC_Table[[#This Row],[SIZE]]/12, 0)</f>
        <v>3.5</v>
      </c>
      <c r="K223" s="82">
        <v>60</v>
      </c>
      <c r="L223" s="82">
        <v>125</v>
      </c>
      <c r="M223" s="82">
        <v>60</v>
      </c>
      <c r="N223" s="82" t="s">
        <v>2175</v>
      </c>
      <c r="O223" s="77"/>
      <c r="P223" s="110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225"/>
      <c r="AC223" s="225"/>
      <c r="AD223" s="225"/>
      <c r="AE223" s="29">
        <f>_xlfn.NUMBERVALUE(LEFT(MCC_Table[[#This Row],[BUCKET]],LEN(MCC_Table[[#This Row],[BUCKET]])-1))</f>
        <v>8</v>
      </c>
      <c r="AF223" s="29" t="str">
        <f>RIGHT(MCC_Table[[#This Row],[BUCKET]],1)</f>
        <v>A</v>
      </c>
      <c r="AG223" s="29">
        <f>VLOOKUP(MCC_Table[[#This Row],[START UNIT]],UnitMap[],2,FALSE)</f>
        <v>1</v>
      </c>
      <c r="AH223" s="29">
        <f t="array" ref="AH2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23" s="29">
        <f>IF(ISNUMBER(MCC_Table[[#This Row],[SIZE]]), MCC_Table[[#This Row],[SIZE]]/6, 0)</f>
        <v>7</v>
      </c>
      <c r="AJ223" s="29">
        <f>MCC_Table[[#This Row],[START INDEX]]+MCC_Table[[#This Row],[UNITS USED]]-1</f>
        <v>7</v>
      </c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</row>
    <row r="224" spans="1:57" ht="15.75" hidden="1" customHeight="1" thickTop="1" x14ac:dyDescent="0.25">
      <c r="A224" s="39" t="s">
        <v>2490</v>
      </c>
      <c r="B224" s="29" t="s">
        <v>2144</v>
      </c>
      <c r="C224" s="111" t="s">
        <v>2527</v>
      </c>
      <c r="D224" s="28" t="s">
        <v>2528</v>
      </c>
      <c r="E224" s="112" t="s">
        <v>2290</v>
      </c>
      <c r="F224" s="8">
        <v>1.5</v>
      </c>
      <c r="G224" s="8">
        <v>2</v>
      </c>
      <c r="H224" s="82"/>
      <c r="I224" s="8">
        <v>1</v>
      </c>
      <c r="J224" s="80">
        <f>IF(ISNUMBER(MCC_Table[[#This Row],[SIZE]]), MCC_Table[[#This Row],[SIZE]]/12, 0)</f>
        <v>1.5</v>
      </c>
      <c r="K224" s="82">
        <v>7</v>
      </c>
      <c r="L224" s="82">
        <v>125</v>
      </c>
      <c r="M224" s="82" t="s">
        <v>1888</v>
      </c>
      <c r="N224" s="82" t="s">
        <v>2124</v>
      </c>
      <c r="O224" s="77"/>
      <c r="P224" s="110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225"/>
      <c r="AC224" s="225"/>
      <c r="AD224" s="225"/>
      <c r="AE224" s="29">
        <f>_xlfn.NUMBERVALUE(LEFT(MCC_Table[[#This Row],[BUCKET]],LEN(MCC_Table[[#This Row],[BUCKET]])-1))</f>
        <v>8</v>
      </c>
      <c r="AF224" s="29" t="str">
        <f>RIGHT(MCC_Table[[#This Row],[BUCKET]],1)</f>
        <v>H</v>
      </c>
      <c r="AG224" s="29">
        <f>VLOOKUP(MCC_Table[[#This Row],[START UNIT]],UnitMap[],2,FALSE)</f>
        <v>8</v>
      </c>
      <c r="AH224" s="29">
        <f t="array" ref="AH2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24" s="29">
        <f>IF(ISNUMBER(MCC_Table[[#This Row],[SIZE]]), MCC_Table[[#This Row],[SIZE]]/6, 0)</f>
        <v>3</v>
      </c>
      <c r="AJ224" s="29">
        <f>MCC_Table[[#This Row],[START INDEX]]+MCC_Table[[#This Row],[UNITS USED]]-1</f>
        <v>10</v>
      </c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</row>
    <row r="225" spans="1:57" ht="15.75" hidden="1" customHeight="1" thickTop="1" x14ac:dyDescent="0.25">
      <c r="A225" s="39" t="s">
        <v>2490</v>
      </c>
      <c r="B225" s="29" t="s">
        <v>2529</v>
      </c>
      <c r="C225" s="24" t="s">
        <v>2530</v>
      </c>
      <c r="D225" s="62" t="s">
        <v>2224</v>
      </c>
      <c r="E225" s="24" t="s">
        <v>2225</v>
      </c>
      <c r="F225" s="8"/>
      <c r="G225" s="8"/>
      <c r="H225" s="82"/>
      <c r="I225" s="8"/>
      <c r="J225" s="80">
        <f>IF(ISNUMBER(MCC_Table[[#This Row],[SIZE]]), MCC_Table[[#This Row],[SIZE]]/12, 0)</f>
        <v>1</v>
      </c>
      <c r="K225" s="82"/>
      <c r="L225" s="82"/>
      <c r="M225" s="82"/>
      <c r="N225" s="82"/>
      <c r="O225" s="77"/>
      <c r="P225" s="110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225"/>
      <c r="AC225" s="225"/>
      <c r="AD225" s="225"/>
      <c r="AE225" s="29">
        <f>_xlfn.NUMBERVALUE(LEFT(MCC_Table[[#This Row],[BUCKET]],LEN(MCC_Table[[#This Row],[BUCKET]])-1))</f>
        <v>8</v>
      </c>
      <c r="AF225" s="29" t="str">
        <f>RIGHT(MCC_Table[[#This Row],[BUCKET]],1)</f>
        <v>L</v>
      </c>
      <c r="AG225" s="29">
        <f>VLOOKUP(MCC_Table[[#This Row],[START UNIT]],UnitMap[],2,FALSE)</f>
        <v>11</v>
      </c>
      <c r="AH225" s="29">
        <f t="array" ref="AH2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25" s="29">
        <f>IF(ISNUMBER(MCC_Table[[#This Row],[SIZE]]), MCC_Table[[#This Row],[SIZE]]/6, 0)</f>
        <v>2</v>
      </c>
      <c r="AJ225" s="29">
        <f>MCC_Table[[#This Row],[START INDEX]]+MCC_Table[[#This Row],[UNITS USED]]-1</f>
        <v>12</v>
      </c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</row>
    <row r="226" spans="1:57" ht="15.75" hidden="1" customHeight="1" thickTop="1" x14ac:dyDescent="0.25">
      <c r="A226" s="39" t="s">
        <v>2490</v>
      </c>
      <c r="B226" s="29" t="s">
        <v>2147</v>
      </c>
      <c r="C226" s="111" t="s">
        <v>2103</v>
      </c>
      <c r="D226" s="28" t="s">
        <v>2143</v>
      </c>
      <c r="E226" s="112" t="s">
        <v>2103</v>
      </c>
      <c r="F226" s="8"/>
      <c r="G226" s="8"/>
      <c r="H226" s="82"/>
      <c r="I226" s="8"/>
      <c r="J226" s="80">
        <f>IF(ISNUMBER(MCC_Table[[#This Row],[SIZE]]), MCC_Table[[#This Row],[SIZE]]/12, 0)</f>
        <v>1</v>
      </c>
      <c r="K226" s="82"/>
      <c r="L226" s="82"/>
      <c r="M226" s="82"/>
      <c r="N226" s="82"/>
      <c r="O226" s="77"/>
      <c r="P226" s="110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225"/>
      <c r="AC226" s="225"/>
      <c r="AD226" s="225"/>
      <c r="AE226" s="29">
        <f>_xlfn.NUMBERVALUE(LEFT(MCC_Table[[#This Row],[BUCKET]],LEN(MCC_Table[[#This Row],[BUCKET]])-1))</f>
        <v>9</v>
      </c>
      <c r="AF226" s="29" t="str">
        <f>RIGHT(MCC_Table[[#This Row],[BUCKET]],1)</f>
        <v>A</v>
      </c>
      <c r="AG226" s="29">
        <f>VLOOKUP(MCC_Table[[#This Row],[START UNIT]],UnitMap[],2,FALSE)</f>
        <v>1</v>
      </c>
      <c r="AH226" s="29">
        <f t="array" ref="AH2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26" s="29">
        <f>IF(ISNUMBER(MCC_Table[[#This Row],[SIZE]]), MCC_Table[[#This Row],[SIZE]]/6, 0)</f>
        <v>2</v>
      </c>
      <c r="AJ226" s="29">
        <f>MCC_Table[[#This Row],[START INDEX]]+MCC_Table[[#This Row],[UNITS USED]]-1</f>
        <v>2</v>
      </c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</row>
    <row r="227" spans="1:57" ht="15.75" hidden="1" customHeight="1" thickTop="1" x14ac:dyDescent="0.25">
      <c r="A227" s="39" t="s">
        <v>2490</v>
      </c>
      <c r="B227" s="29" t="s">
        <v>2531</v>
      </c>
      <c r="C227" s="111" t="s">
        <v>2103</v>
      </c>
      <c r="D227" s="28" t="s">
        <v>2143</v>
      </c>
      <c r="E227" s="112" t="s">
        <v>2103</v>
      </c>
      <c r="F227" s="8"/>
      <c r="G227" s="8"/>
      <c r="H227" s="82"/>
      <c r="I227" s="8"/>
      <c r="J227" s="80">
        <f>IF(ISNUMBER(MCC_Table[[#This Row],[SIZE]]), MCC_Table[[#This Row],[SIZE]]/12, 0)</f>
        <v>1</v>
      </c>
      <c r="K227" s="82"/>
      <c r="L227" s="82"/>
      <c r="M227" s="82"/>
      <c r="N227" s="82"/>
      <c r="O227" s="77"/>
      <c r="P227" s="110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225"/>
      <c r="AC227" s="225"/>
      <c r="AD227" s="225"/>
      <c r="AE227" s="29">
        <f>_xlfn.NUMBERVALUE(LEFT(MCC_Table[[#This Row],[BUCKET]],LEN(MCC_Table[[#This Row],[BUCKET]])-1))</f>
        <v>9</v>
      </c>
      <c r="AF227" s="29" t="str">
        <f>RIGHT(MCC_Table[[#This Row],[BUCKET]],1)</f>
        <v>C</v>
      </c>
      <c r="AG227" s="29">
        <f>VLOOKUP(MCC_Table[[#This Row],[START UNIT]],UnitMap[],2,FALSE)</f>
        <v>3</v>
      </c>
      <c r="AH227" s="29">
        <f t="array" ref="AH2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27" s="29">
        <f>IF(ISNUMBER(MCC_Table[[#This Row],[SIZE]]), MCC_Table[[#This Row],[SIZE]]/6, 0)</f>
        <v>2</v>
      </c>
      <c r="AJ227" s="29">
        <f>MCC_Table[[#This Row],[START INDEX]]+MCC_Table[[#This Row],[UNITS USED]]-1</f>
        <v>4</v>
      </c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</row>
    <row r="228" spans="1:57" ht="15.75" hidden="1" customHeight="1" thickTop="1" x14ac:dyDescent="0.25">
      <c r="A228" s="39" t="s">
        <v>2490</v>
      </c>
      <c r="B228" s="29" t="s">
        <v>2257</v>
      </c>
      <c r="C228" s="111" t="s">
        <v>2532</v>
      </c>
      <c r="D228" s="28" t="s">
        <v>2533</v>
      </c>
      <c r="E228" s="112" t="s">
        <v>2086</v>
      </c>
      <c r="F228" s="8">
        <v>7.5</v>
      </c>
      <c r="G228" s="8">
        <v>10</v>
      </c>
      <c r="H228" s="82"/>
      <c r="I228" s="8">
        <v>1</v>
      </c>
      <c r="J228" s="80">
        <f>IF(ISNUMBER(MCC_Table[[#This Row],[SIZE]]), MCC_Table[[#This Row],[SIZE]]/12, 0)</f>
        <v>1</v>
      </c>
      <c r="K228" s="82">
        <v>30</v>
      </c>
      <c r="L228" s="82">
        <v>125</v>
      </c>
      <c r="M228" s="82" t="s">
        <v>1888</v>
      </c>
      <c r="N228" s="82" t="s">
        <v>2124</v>
      </c>
      <c r="O228" s="77"/>
      <c r="P228" s="110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225"/>
      <c r="AC228" s="225"/>
      <c r="AD228" s="225"/>
      <c r="AE228" s="29">
        <f>_xlfn.NUMBERVALUE(LEFT(MCC_Table[[#This Row],[BUCKET]],LEN(MCC_Table[[#This Row],[BUCKET]])-1))</f>
        <v>9</v>
      </c>
      <c r="AF228" s="29" t="str">
        <f>RIGHT(MCC_Table[[#This Row],[BUCKET]],1)</f>
        <v>E</v>
      </c>
      <c r="AG228" s="29">
        <f>VLOOKUP(MCC_Table[[#This Row],[START UNIT]],UnitMap[],2,FALSE)</f>
        <v>5</v>
      </c>
      <c r="AH228" s="29">
        <f t="array" ref="AH2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28" s="29">
        <f>IF(ISNUMBER(MCC_Table[[#This Row],[SIZE]]), MCC_Table[[#This Row],[SIZE]]/6, 0)</f>
        <v>2</v>
      </c>
      <c r="AJ228" s="29">
        <f>MCC_Table[[#This Row],[START INDEX]]+MCC_Table[[#This Row],[UNITS USED]]-1</f>
        <v>6</v>
      </c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</row>
    <row r="229" spans="1:57" ht="15.75" hidden="1" customHeight="1" thickTop="1" x14ac:dyDescent="0.25">
      <c r="A229" s="39" t="s">
        <v>2490</v>
      </c>
      <c r="B229" s="29" t="s">
        <v>2258</v>
      </c>
      <c r="C229" s="111" t="s">
        <v>2534</v>
      </c>
      <c r="D229" s="28" t="s">
        <v>2535</v>
      </c>
      <c r="E229" s="112" t="s">
        <v>2387</v>
      </c>
      <c r="F229" s="8">
        <v>15</v>
      </c>
      <c r="G229" s="8">
        <v>15</v>
      </c>
      <c r="H229" s="82"/>
      <c r="I229" s="8"/>
      <c r="J229" s="80">
        <f>IF(ISNUMBER(MCC_Table[[#This Row],[SIZE]]), MCC_Table[[#This Row],[SIZE]]/12, 0)</f>
        <v>3</v>
      </c>
      <c r="K229" s="82">
        <v>60</v>
      </c>
      <c r="L229" s="82">
        <v>125</v>
      </c>
      <c r="M229" s="82">
        <v>40</v>
      </c>
      <c r="N229" s="82" t="s">
        <v>2198</v>
      </c>
      <c r="O229" s="77"/>
      <c r="P229" s="110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225"/>
      <c r="AC229" s="225"/>
      <c r="AD229" s="225"/>
      <c r="AE229" s="29">
        <f>_xlfn.NUMBERVALUE(LEFT(MCC_Table[[#This Row],[BUCKET]],LEN(MCC_Table[[#This Row],[BUCKET]])-1))</f>
        <v>9</v>
      </c>
      <c r="AF229" s="29" t="str">
        <f>RIGHT(MCC_Table[[#This Row],[BUCKET]],1)</f>
        <v>G</v>
      </c>
      <c r="AG229" s="29">
        <f>VLOOKUP(MCC_Table[[#This Row],[START UNIT]],UnitMap[],2,FALSE)</f>
        <v>7</v>
      </c>
      <c r="AH229" s="29">
        <f t="array" ref="AH2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29" s="29">
        <f>IF(ISNUMBER(MCC_Table[[#This Row],[SIZE]]), MCC_Table[[#This Row],[SIZE]]/6, 0)</f>
        <v>6</v>
      </c>
      <c r="AJ229" s="29">
        <f>MCC_Table[[#This Row],[START INDEX]]+MCC_Table[[#This Row],[UNITS USED]]-1</f>
        <v>12</v>
      </c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</row>
    <row r="230" spans="1:57" ht="15.75" hidden="1" customHeight="1" thickTop="1" x14ac:dyDescent="0.25">
      <c r="A230" s="39" t="s">
        <v>2490</v>
      </c>
      <c r="B230" s="29" t="s">
        <v>2154</v>
      </c>
      <c r="C230" s="111" t="s">
        <v>2536</v>
      </c>
      <c r="D230" s="28" t="s">
        <v>2537</v>
      </c>
      <c r="E230" s="112" t="s">
        <v>2387</v>
      </c>
      <c r="F230" s="8">
        <v>60</v>
      </c>
      <c r="G230" s="8">
        <v>60</v>
      </c>
      <c r="H230" s="82"/>
      <c r="I230" s="8"/>
      <c r="J230" s="80">
        <f>IF(ISNUMBER(MCC_Table[[#This Row],[SIZE]]), MCC_Table[[#This Row],[SIZE]]/12, 0)</f>
        <v>6</v>
      </c>
      <c r="K230" s="82">
        <v>200</v>
      </c>
      <c r="L230" s="82">
        <v>250</v>
      </c>
      <c r="M230" s="82">
        <v>125</v>
      </c>
      <c r="N230" s="82" t="s">
        <v>2358</v>
      </c>
      <c r="O230" s="77"/>
      <c r="P230" s="110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225"/>
      <c r="AC230" s="225"/>
      <c r="AD230" s="225"/>
      <c r="AE230" s="29">
        <f>_xlfn.NUMBERVALUE(LEFT(MCC_Table[[#This Row],[BUCKET]],LEN(MCC_Table[[#This Row],[BUCKET]])-1))</f>
        <v>10</v>
      </c>
      <c r="AF230" s="29" t="str">
        <f>RIGHT(MCC_Table[[#This Row],[BUCKET]],1)</f>
        <v>A</v>
      </c>
      <c r="AG230" s="29">
        <f>VLOOKUP(MCC_Table[[#This Row],[START UNIT]],UnitMap[],2,FALSE)</f>
        <v>1</v>
      </c>
      <c r="AH230" s="29">
        <f t="array" ref="AH2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230" s="29">
        <f>IF(ISNUMBER(MCC_Table[[#This Row],[SIZE]]), MCC_Table[[#This Row],[SIZE]]/6, 0)</f>
        <v>12</v>
      </c>
      <c r="AJ230" s="29">
        <f>MCC_Table[[#This Row],[START INDEX]]+MCC_Table[[#This Row],[UNITS USED]]-1</f>
        <v>12</v>
      </c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</row>
    <row r="231" spans="1:57" ht="15.75" hidden="1" customHeight="1" thickTop="1" x14ac:dyDescent="0.25">
      <c r="A231" s="39" t="s">
        <v>2490</v>
      </c>
      <c r="B231" s="29" t="s">
        <v>2161</v>
      </c>
      <c r="C231" s="111" t="s">
        <v>2538</v>
      </c>
      <c r="D231" s="28" t="s">
        <v>2539</v>
      </c>
      <c r="E231" s="112" t="s">
        <v>2387</v>
      </c>
      <c r="F231" s="8">
        <v>60</v>
      </c>
      <c r="G231" s="8">
        <v>60</v>
      </c>
      <c r="H231" s="82"/>
      <c r="I231" s="8"/>
      <c r="J231" s="80">
        <f>IF(ISNUMBER(MCC_Table[[#This Row],[SIZE]]), MCC_Table[[#This Row],[SIZE]]/12, 0)</f>
        <v>6</v>
      </c>
      <c r="K231" s="82">
        <v>200</v>
      </c>
      <c r="L231" s="82">
        <v>250</v>
      </c>
      <c r="M231" s="82">
        <v>125</v>
      </c>
      <c r="N231" s="82" t="s">
        <v>2358</v>
      </c>
      <c r="O231" s="77"/>
      <c r="P231" s="110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225"/>
      <c r="AC231" s="225"/>
      <c r="AD231" s="225"/>
      <c r="AE231" s="29">
        <f>_xlfn.NUMBERVALUE(LEFT(MCC_Table[[#This Row],[BUCKET]],LEN(MCC_Table[[#This Row],[BUCKET]])-1))</f>
        <v>11</v>
      </c>
      <c r="AF231" s="29" t="str">
        <f>RIGHT(MCC_Table[[#This Row],[BUCKET]],1)</f>
        <v>A</v>
      </c>
      <c r="AG231" s="29">
        <f>VLOOKUP(MCC_Table[[#This Row],[START UNIT]],UnitMap[],2,FALSE)</f>
        <v>1</v>
      </c>
      <c r="AH231" s="29">
        <f t="array" ref="AH2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231" s="29">
        <f>IF(ISNUMBER(MCC_Table[[#This Row],[SIZE]]), MCC_Table[[#This Row],[SIZE]]/6, 0)</f>
        <v>12</v>
      </c>
      <c r="AJ231" s="29">
        <f>MCC_Table[[#This Row],[START INDEX]]+MCC_Table[[#This Row],[UNITS USED]]-1</f>
        <v>12</v>
      </c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</row>
    <row r="232" spans="1:57" ht="15.75" hidden="1" customHeight="1" thickTop="1" x14ac:dyDescent="0.25">
      <c r="A232" s="39" t="s">
        <v>2490</v>
      </c>
      <c r="B232" s="29" t="s">
        <v>2168</v>
      </c>
      <c r="C232" s="111" t="s">
        <v>2540</v>
      </c>
      <c r="D232" s="28" t="s">
        <v>2541</v>
      </c>
      <c r="E232" s="112" t="s">
        <v>2387</v>
      </c>
      <c r="F232" s="8">
        <v>2</v>
      </c>
      <c r="G232" s="8">
        <v>2</v>
      </c>
      <c r="H232" s="82"/>
      <c r="I232" s="8"/>
      <c r="J232" s="80">
        <f>IF(ISNUMBER(MCC_Table[[#This Row],[SIZE]]), MCC_Table[[#This Row],[SIZE]]/12, 0)</f>
        <v>2</v>
      </c>
      <c r="K232" s="82">
        <v>15</v>
      </c>
      <c r="L232" s="82">
        <v>125</v>
      </c>
      <c r="M232" s="82">
        <v>10</v>
      </c>
      <c r="N232" s="82" t="s">
        <v>2124</v>
      </c>
      <c r="O232" s="77"/>
      <c r="P232" s="110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225"/>
      <c r="AC232" s="225"/>
      <c r="AD232" s="225"/>
      <c r="AE232" s="29">
        <f>_xlfn.NUMBERVALUE(LEFT(MCC_Table[[#This Row],[BUCKET]],LEN(MCC_Table[[#This Row],[BUCKET]])-1))</f>
        <v>12</v>
      </c>
      <c r="AF232" s="29" t="str">
        <f>RIGHT(MCC_Table[[#This Row],[BUCKET]],1)</f>
        <v>A</v>
      </c>
      <c r="AG232" s="29">
        <f>VLOOKUP(MCC_Table[[#This Row],[START UNIT]],UnitMap[],2,FALSE)</f>
        <v>1</v>
      </c>
      <c r="AH232" s="29">
        <f t="array" ref="AH2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2" s="29">
        <f>IF(ISNUMBER(MCC_Table[[#This Row],[SIZE]]), MCC_Table[[#This Row],[SIZE]]/6, 0)</f>
        <v>4</v>
      </c>
      <c r="AJ232" s="29">
        <f>MCC_Table[[#This Row],[START INDEX]]+MCC_Table[[#This Row],[UNITS USED]]-1</f>
        <v>4</v>
      </c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</row>
    <row r="233" spans="1:57" ht="15.75" hidden="1" customHeight="1" thickTop="1" x14ac:dyDescent="0.25">
      <c r="A233" s="39" t="s">
        <v>2490</v>
      </c>
      <c r="B233" s="29" t="s">
        <v>2171</v>
      </c>
      <c r="C233" s="111" t="s">
        <v>2542</v>
      </c>
      <c r="D233" s="28" t="s">
        <v>2543</v>
      </c>
      <c r="E233" s="112" t="s">
        <v>2387</v>
      </c>
      <c r="F233" s="8">
        <v>2</v>
      </c>
      <c r="G233" s="8">
        <v>2</v>
      </c>
      <c r="H233" s="82"/>
      <c r="I233" s="8"/>
      <c r="J233" s="80">
        <f>IF(ISNUMBER(MCC_Table[[#This Row],[SIZE]]), MCC_Table[[#This Row],[SIZE]]/12, 0)</f>
        <v>2</v>
      </c>
      <c r="K233" s="82">
        <v>15</v>
      </c>
      <c r="L233" s="82">
        <v>125</v>
      </c>
      <c r="M233" s="82">
        <v>10</v>
      </c>
      <c r="N233" s="82" t="s">
        <v>2124</v>
      </c>
      <c r="O233" s="77"/>
      <c r="P233" s="110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225"/>
      <c r="AC233" s="225"/>
      <c r="AD233" s="225"/>
      <c r="AE233" s="29">
        <f>_xlfn.NUMBERVALUE(LEFT(MCC_Table[[#This Row],[BUCKET]],LEN(MCC_Table[[#This Row],[BUCKET]])-1))</f>
        <v>12</v>
      </c>
      <c r="AF233" s="29" t="str">
        <f>RIGHT(MCC_Table[[#This Row],[BUCKET]],1)</f>
        <v>E</v>
      </c>
      <c r="AG233" s="29">
        <f>VLOOKUP(MCC_Table[[#This Row],[START UNIT]],UnitMap[],2,FALSE)</f>
        <v>5</v>
      </c>
      <c r="AH233" s="29">
        <f t="array" ref="AH2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3" s="29">
        <f>IF(ISNUMBER(MCC_Table[[#This Row],[SIZE]]), MCC_Table[[#This Row],[SIZE]]/6, 0)</f>
        <v>4</v>
      </c>
      <c r="AJ233" s="29">
        <f>MCC_Table[[#This Row],[START INDEX]]+MCC_Table[[#This Row],[UNITS USED]]-1</f>
        <v>8</v>
      </c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</row>
    <row r="234" spans="1:57" ht="15.75" hidden="1" customHeight="1" thickTop="1" x14ac:dyDescent="0.25">
      <c r="A234" s="39" t="s">
        <v>2490</v>
      </c>
      <c r="B234" s="29" t="s">
        <v>2278</v>
      </c>
      <c r="C234" s="111" t="s">
        <v>2544</v>
      </c>
      <c r="D234" s="28" t="s">
        <v>2545</v>
      </c>
      <c r="E234" s="112" t="s">
        <v>2387</v>
      </c>
      <c r="F234" s="8">
        <v>2</v>
      </c>
      <c r="G234" s="8">
        <v>2</v>
      </c>
      <c r="H234" s="82"/>
      <c r="I234" s="8"/>
      <c r="J234" s="80">
        <f>IF(ISNUMBER(MCC_Table[[#This Row],[SIZE]]), MCC_Table[[#This Row],[SIZE]]/12, 0)</f>
        <v>2</v>
      </c>
      <c r="K234" s="82">
        <v>15</v>
      </c>
      <c r="L234" s="82">
        <v>125</v>
      </c>
      <c r="M234" s="82">
        <v>10</v>
      </c>
      <c r="N234" s="82" t="s">
        <v>2124</v>
      </c>
      <c r="O234" s="77"/>
      <c r="P234" s="110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225"/>
      <c r="AC234" s="225"/>
      <c r="AD234" s="225"/>
      <c r="AE234" s="29">
        <f>_xlfn.NUMBERVALUE(LEFT(MCC_Table[[#This Row],[BUCKET]],LEN(MCC_Table[[#This Row],[BUCKET]])-1))</f>
        <v>12</v>
      </c>
      <c r="AF234" s="29" t="str">
        <f>RIGHT(MCC_Table[[#This Row],[BUCKET]],1)</f>
        <v>J</v>
      </c>
      <c r="AG234" s="29">
        <f>VLOOKUP(MCC_Table[[#This Row],[START UNIT]],UnitMap[],2,FALSE)</f>
        <v>9</v>
      </c>
      <c r="AH234" s="29">
        <f t="array" ref="AH2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4" s="29">
        <f>IF(ISNUMBER(MCC_Table[[#This Row],[SIZE]]), MCC_Table[[#This Row],[SIZE]]/6, 0)</f>
        <v>4</v>
      </c>
      <c r="AJ234" s="29">
        <f>MCC_Table[[#This Row],[START INDEX]]+MCC_Table[[#This Row],[UNITS USED]]-1</f>
        <v>12</v>
      </c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</row>
    <row r="235" spans="1:57" ht="15.75" hidden="1" customHeight="1" thickTop="1" x14ac:dyDescent="0.25">
      <c r="A235" s="39" t="s">
        <v>2490</v>
      </c>
      <c r="B235" s="29" t="s">
        <v>2176</v>
      </c>
      <c r="C235" s="111" t="s">
        <v>1933</v>
      </c>
      <c r="D235" s="28" t="s">
        <v>2322</v>
      </c>
      <c r="E235" s="112" t="s">
        <v>2387</v>
      </c>
      <c r="F235" s="8">
        <v>1</v>
      </c>
      <c r="G235" s="8">
        <v>1</v>
      </c>
      <c r="H235" s="82"/>
      <c r="I235" s="8"/>
      <c r="J235" s="80">
        <f>IF(ISNUMBER(MCC_Table[[#This Row],[SIZE]]), MCC_Table[[#This Row],[SIZE]]/12, 0)</f>
        <v>2</v>
      </c>
      <c r="K235" s="82">
        <v>15</v>
      </c>
      <c r="L235" s="82">
        <v>125</v>
      </c>
      <c r="M235" s="82">
        <v>6</v>
      </c>
      <c r="N235" s="82" t="s">
        <v>2124</v>
      </c>
      <c r="O235" s="77"/>
      <c r="P235" s="110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225"/>
      <c r="AC235" s="225"/>
      <c r="AD235" s="225"/>
      <c r="AE235" s="29">
        <f>_xlfn.NUMBERVALUE(LEFT(MCC_Table[[#This Row],[BUCKET]],LEN(MCC_Table[[#This Row],[BUCKET]])-1))</f>
        <v>13</v>
      </c>
      <c r="AF235" s="29" t="str">
        <f>RIGHT(MCC_Table[[#This Row],[BUCKET]],1)</f>
        <v>A</v>
      </c>
      <c r="AG235" s="29">
        <f>VLOOKUP(MCC_Table[[#This Row],[START UNIT]],UnitMap[],2,FALSE)</f>
        <v>1</v>
      </c>
      <c r="AH235" s="29">
        <f t="array" ref="AH2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5" s="29">
        <f>IF(ISNUMBER(MCC_Table[[#This Row],[SIZE]]), MCC_Table[[#This Row],[SIZE]]/6, 0)</f>
        <v>4</v>
      </c>
      <c r="AJ235" s="29">
        <f>MCC_Table[[#This Row],[START INDEX]]+MCC_Table[[#This Row],[UNITS USED]]-1</f>
        <v>4</v>
      </c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</row>
    <row r="236" spans="1:57" ht="15.75" hidden="1" customHeight="1" thickTop="1" x14ac:dyDescent="0.25">
      <c r="A236" s="39" t="s">
        <v>2490</v>
      </c>
      <c r="B236" s="29" t="s">
        <v>2367</v>
      </c>
      <c r="C236" s="111" t="s">
        <v>2546</v>
      </c>
      <c r="D236" s="28" t="s">
        <v>2547</v>
      </c>
      <c r="E236" s="112" t="s">
        <v>2387</v>
      </c>
      <c r="F236" s="8">
        <v>15</v>
      </c>
      <c r="G236" s="8">
        <v>15</v>
      </c>
      <c r="H236" s="82"/>
      <c r="I236" s="8"/>
      <c r="J236" s="80">
        <f>IF(ISNUMBER(MCC_Table[[#This Row],[SIZE]]), MCC_Table[[#This Row],[SIZE]]/12, 0)</f>
        <v>3</v>
      </c>
      <c r="K236" s="82">
        <v>60</v>
      </c>
      <c r="L236" s="82">
        <v>125</v>
      </c>
      <c r="M236" s="82">
        <v>40</v>
      </c>
      <c r="N236" s="82" t="s">
        <v>2198</v>
      </c>
      <c r="O236" s="77"/>
      <c r="P236" s="110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225"/>
      <c r="AC236" s="225"/>
      <c r="AD236" s="225"/>
      <c r="AE236" s="29">
        <f>_xlfn.NUMBERVALUE(LEFT(MCC_Table[[#This Row],[BUCKET]],LEN(MCC_Table[[#This Row],[BUCKET]])-1))</f>
        <v>13</v>
      </c>
      <c r="AF236" s="29" t="str">
        <f>RIGHT(MCC_Table[[#This Row],[BUCKET]],1)</f>
        <v>E</v>
      </c>
      <c r="AG236" s="29">
        <f>VLOOKUP(MCC_Table[[#This Row],[START UNIT]],UnitMap[],2,FALSE)</f>
        <v>5</v>
      </c>
      <c r="AH236" s="29">
        <f t="array" ref="AH2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36" s="29">
        <f>IF(ISNUMBER(MCC_Table[[#This Row],[SIZE]]), MCC_Table[[#This Row],[SIZE]]/6, 0)</f>
        <v>6</v>
      </c>
      <c r="AJ236" s="29">
        <f>MCC_Table[[#This Row],[START INDEX]]+MCC_Table[[#This Row],[UNITS USED]]-1</f>
        <v>10</v>
      </c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</row>
    <row r="237" spans="1:57" ht="15.75" hidden="1" customHeight="1" thickTop="1" x14ac:dyDescent="0.25">
      <c r="A237" s="39" t="s">
        <v>2490</v>
      </c>
      <c r="B237" s="29" t="s">
        <v>2548</v>
      </c>
      <c r="C237" s="24" t="s">
        <v>2549</v>
      </c>
      <c r="D237" s="62" t="s">
        <v>2224</v>
      </c>
      <c r="E237" s="24" t="s">
        <v>2225</v>
      </c>
      <c r="F237" s="8"/>
      <c r="G237" s="8"/>
      <c r="H237" s="82"/>
      <c r="I237" s="8"/>
      <c r="J237" s="80">
        <f>IF(ISNUMBER(MCC_Table[[#This Row],[SIZE]]), MCC_Table[[#This Row],[SIZE]]/12, 0)</f>
        <v>1</v>
      </c>
      <c r="K237" s="82"/>
      <c r="L237" s="82"/>
      <c r="M237" s="82"/>
      <c r="N237" s="82"/>
      <c r="O237" s="77"/>
      <c r="P237" s="110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225"/>
      <c r="AC237" s="225"/>
      <c r="AD237" s="225"/>
      <c r="AE237" s="29">
        <f>_xlfn.NUMBERVALUE(LEFT(MCC_Table[[#This Row],[BUCKET]],LEN(MCC_Table[[#This Row],[BUCKET]])-1))</f>
        <v>13</v>
      </c>
      <c r="AF237" s="29" t="str">
        <f>RIGHT(MCC_Table[[#This Row],[BUCKET]],1)</f>
        <v>L</v>
      </c>
      <c r="AG237" s="29">
        <f>VLOOKUP(MCC_Table[[#This Row],[START UNIT]],UnitMap[],2,FALSE)</f>
        <v>11</v>
      </c>
      <c r="AH237" s="29">
        <f t="array" ref="AH2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37" s="29">
        <f>IF(ISNUMBER(MCC_Table[[#This Row],[SIZE]]), MCC_Table[[#This Row],[SIZE]]/6, 0)</f>
        <v>2</v>
      </c>
      <c r="AJ237" s="29">
        <f>MCC_Table[[#This Row],[START INDEX]]+MCC_Table[[#This Row],[UNITS USED]]-1</f>
        <v>12</v>
      </c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</row>
    <row r="238" spans="1:57" ht="15.75" hidden="1" customHeight="1" thickTop="1" x14ac:dyDescent="0.25">
      <c r="A238" s="39" t="s">
        <v>2490</v>
      </c>
      <c r="B238" s="29" t="s">
        <v>2186</v>
      </c>
      <c r="C238" s="111" t="s">
        <v>2550</v>
      </c>
      <c r="D238" s="28" t="s">
        <v>2551</v>
      </c>
      <c r="E238" s="112" t="s">
        <v>2387</v>
      </c>
      <c r="F238" s="8">
        <v>3</v>
      </c>
      <c r="G238" s="8">
        <v>5</v>
      </c>
      <c r="H238" s="82"/>
      <c r="I238" s="8"/>
      <c r="J238" s="80">
        <f>IF(ISNUMBER(MCC_Table[[#This Row],[SIZE]]), MCC_Table[[#This Row],[SIZE]]/12, 0)</f>
        <v>2</v>
      </c>
      <c r="K238" s="82">
        <v>15</v>
      </c>
      <c r="L238" s="82">
        <v>125</v>
      </c>
      <c r="M238" s="82">
        <v>15</v>
      </c>
      <c r="N238" s="82" t="s">
        <v>2124</v>
      </c>
      <c r="O238" s="77"/>
      <c r="P238" s="110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225"/>
      <c r="AC238" s="225"/>
      <c r="AD238" s="225"/>
      <c r="AE238" s="29">
        <f>_xlfn.NUMBERVALUE(LEFT(MCC_Table[[#This Row],[BUCKET]],LEN(MCC_Table[[#This Row],[BUCKET]])-1))</f>
        <v>14</v>
      </c>
      <c r="AF238" s="29" t="str">
        <f>RIGHT(MCC_Table[[#This Row],[BUCKET]],1)</f>
        <v>A</v>
      </c>
      <c r="AG238" s="29">
        <f>VLOOKUP(MCC_Table[[#This Row],[START UNIT]],UnitMap[],2,FALSE)</f>
        <v>1</v>
      </c>
      <c r="AH238" s="29">
        <f t="array" ref="AH2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8" s="29">
        <f>IF(ISNUMBER(MCC_Table[[#This Row],[SIZE]]), MCC_Table[[#This Row],[SIZE]]/6, 0)</f>
        <v>4</v>
      </c>
      <c r="AJ238" s="29">
        <f>MCC_Table[[#This Row],[START INDEX]]+MCC_Table[[#This Row],[UNITS USED]]-1</f>
        <v>4</v>
      </c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</row>
    <row r="239" spans="1:57" ht="15.75" hidden="1" customHeight="1" thickTop="1" x14ac:dyDescent="0.25">
      <c r="A239" s="39" t="s">
        <v>2490</v>
      </c>
      <c r="B239" s="29" t="s">
        <v>2189</v>
      </c>
      <c r="C239" s="111" t="s">
        <v>2552</v>
      </c>
      <c r="D239" s="28" t="s">
        <v>2553</v>
      </c>
      <c r="E239" s="112" t="s">
        <v>2387</v>
      </c>
      <c r="F239" s="8">
        <v>2</v>
      </c>
      <c r="G239" s="8">
        <v>2</v>
      </c>
      <c r="H239" s="82"/>
      <c r="I239" s="8"/>
      <c r="J239" s="80">
        <f>IF(ISNUMBER(MCC_Table[[#This Row],[SIZE]]), MCC_Table[[#This Row],[SIZE]]/12, 0)</f>
        <v>2</v>
      </c>
      <c r="K239" s="82">
        <v>15</v>
      </c>
      <c r="L239" s="82">
        <v>125</v>
      </c>
      <c r="M239" s="82">
        <v>10</v>
      </c>
      <c r="N239" s="82" t="s">
        <v>2124</v>
      </c>
      <c r="O239" s="77"/>
      <c r="P239" s="110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225"/>
      <c r="AC239" s="225"/>
      <c r="AD239" s="225"/>
      <c r="AE239" s="29">
        <f>_xlfn.NUMBERVALUE(LEFT(MCC_Table[[#This Row],[BUCKET]],LEN(MCC_Table[[#This Row],[BUCKET]])-1))</f>
        <v>14</v>
      </c>
      <c r="AF239" s="29" t="str">
        <f>RIGHT(MCC_Table[[#This Row],[BUCKET]],1)</f>
        <v>E</v>
      </c>
      <c r="AG239" s="29">
        <f>VLOOKUP(MCC_Table[[#This Row],[START UNIT]],UnitMap[],2,FALSE)</f>
        <v>5</v>
      </c>
      <c r="AH239" s="29">
        <f t="array" ref="AH2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39" s="29">
        <f>IF(ISNUMBER(MCC_Table[[#This Row],[SIZE]]), MCC_Table[[#This Row],[SIZE]]/6, 0)</f>
        <v>4</v>
      </c>
      <c r="AJ239" s="29">
        <f>MCC_Table[[#This Row],[START INDEX]]+MCC_Table[[#This Row],[UNITS USED]]-1</f>
        <v>8</v>
      </c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</row>
    <row r="240" spans="1:57" ht="15.75" hidden="1" customHeight="1" thickTop="1" x14ac:dyDescent="0.25">
      <c r="A240" s="39" t="s">
        <v>2490</v>
      </c>
      <c r="B240" s="29" t="s">
        <v>2192</v>
      </c>
      <c r="C240" s="111" t="s">
        <v>2554</v>
      </c>
      <c r="D240" s="28" t="s">
        <v>2555</v>
      </c>
      <c r="E240" s="112" t="s">
        <v>2387</v>
      </c>
      <c r="F240" s="8">
        <v>3</v>
      </c>
      <c r="G240" s="8">
        <v>5</v>
      </c>
      <c r="H240" s="82"/>
      <c r="I240" s="8"/>
      <c r="J240" s="80">
        <f>IF(ISNUMBER(MCC_Table[[#This Row],[SIZE]]), MCC_Table[[#This Row],[SIZE]]/12, 0)</f>
        <v>2</v>
      </c>
      <c r="K240" s="82">
        <v>15</v>
      </c>
      <c r="L240" s="82">
        <v>125</v>
      </c>
      <c r="M240" s="82">
        <v>15</v>
      </c>
      <c r="N240" s="82" t="s">
        <v>2124</v>
      </c>
      <c r="O240" s="77"/>
      <c r="P240" s="110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225"/>
      <c r="AC240" s="225"/>
      <c r="AD240" s="225"/>
      <c r="AE240" s="29">
        <f>_xlfn.NUMBERVALUE(LEFT(MCC_Table[[#This Row],[BUCKET]],LEN(MCC_Table[[#This Row],[BUCKET]])-1))</f>
        <v>14</v>
      </c>
      <c r="AF240" s="29" t="str">
        <f>RIGHT(MCC_Table[[#This Row],[BUCKET]],1)</f>
        <v>J</v>
      </c>
      <c r="AG240" s="29">
        <f>VLOOKUP(MCC_Table[[#This Row],[START UNIT]],UnitMap[],2,FALSE)</f>
        <v>9</v>
      </c>
      <c r="AH240" s="29">
        <f t="array" ref="AH2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40" s="29">
        <f>IF(ISNUMBER(MCC_Table[[#This Row],[SIZE]]), MCC_Table[[#This Row],[SIZE]]/6, 0)</f>
        <v>4</v>
      </c>
      <c r="AJ240" s="29">
        <f>MCC_Table[[#This Row],[START INDEX]]+MCC_Table[[#This Row],[UNITS USED]]-1</f>
        <v>12</v>
      </c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</row>
    <row r="241" spans="1:57" ht="15.75" hidden="1" customHeight="1" thickTop="1" x14ac:dyDescent="0.25">
      <c r="A241" s="39" t="s">
        <v>2490</v>
      </c>
      <c r="B241" s="29" t="s">
        <v>2195</v>
      </c>
      <c r="C241" s="111" t="s">
        <v>2556</v>
      </c>
      <c r="D241" s="28" t="s">
        <v>2557</v>
      </c>
      <c r="E241" s="112" t="s">
        <v>2387</v>
      </c>
      <c r="F241" s="8">
        <v>2</v>
      </c>
      <c r="G241" s="8">
        <v>2</v>
      </c>
      <c r="H241" s="82"/>
      <c r="I241" s="8"/>
      <c r="J241" s="80">
        <f>IF(ISNUMBER(MCC_Table[[#This Row],[SIZE]]), MCC_Table[[#This Row],[SIZE]]/12, 0)</f>
        <v>2</v>
      </c>
      <c r="K241" s="82">
        <v>15</v>
      </c>
      <c r="L241" s="82">
        <v>125</v>
      </c>
      <c r="M241" s="82">
        <v>10</v>
      </c>
      <c r="N241" s="82" t="s">
        <v>2124</v>
      </c>
      <c r="O241" s="77"/>
      <c r="P241" s="110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225"/>
      <c r="AC241" s="225"/>
      <c r="AD241" s="225"/>
      <c r="AE241" s="29">
        <f>_xlfn.NUMBERVALUE(LEFT(MCC_Table[[#This Row],[BUCKET]],LEN(MCC_Table[[#This Row],[BUCKET]])-1))</f>
        <v>15</v>
      </c>
      <c r="AF241" s="29" t="str">
        <f>RIGHT(MCC_Table[[#This Row],[BUCKET]],1)</f>
        <v>A</v>
      </c>
      <c r="AG241" s="29">
        <f>VLOOKUP(MCC_Table[[#This Row],[START UNIT]],UnitMap[],2,FALSE)</f>
        <v>1</v>
      </c>
      <c r="AH241" s="29">
        <f t="array" ref="AH2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41" s="29">
        <f>IF(ISNUMBER(MCC_Table[[#This Row],[SIZE]]), MCC_Table[[#This Row],[SIZE]]/6, 0)</f>
        <v>4</v>
      </c>
      <c r="AJ241" s="29">
        <f>MCC_Table[[#This Row],[START INDEX]]+MCC_Table[[#This Row],[UNITS USED]]-1</f>
        <v>4</v>
      </c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</row>
    <row r="242" spans="1:57" ht="15.75" hidden="1" customHeight="1" thickTop="1" x14ac:dyDescent="0.25">
      <c r="A242" s="39" t="s">
        <v>2490</v>
      </c>
      <c r="B242" s="29" t="s">
        <v>2374</v>
      </c>
      <c r="C242" s="111" t="s">
        <v>2558</v>
      </c>
      <c r="D242" s="28" t="s">
        <v>2559</v>
      </c>
      <c r="E242" s="112" t="s">
        <v>2387</v>
      </c>
      <c r="F242" s="8">
        <v>3</v>
      </c>
      <c r="G242" s="8">
        <v>5</v>
      </c>
      <c r="H242" s="82"/>
      <c r="I242" s="8"/>
      <c r="J242" s="80">
        <f>IF(ISNUMBER(MCC_Table[[#This Row],[SIZE]]), MCC_Table[[#This Row],[SIZE]]/12, 0)</f>
        <v>2</v>
      </c>
      <c r="K242" s="82">
        <v>15</v>
      </c>
      <c r="L242" s="82">
        <v>125</v>
      </c>
      <c r="M242" s="82">
        <v>15</v>
      </c>
      <c r="N242" s="82" t="s">
        <v>2124</v>
      </c>
      <c r="O242" s="77"/>
      <c r="P242" s="110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225"/>
      <c r="AC242" s="225"/>
      <c r="AD242" s="225"/>
      <c r="AE242" s="29">
        <f>_xlfn.NUMBERVALUE(LEFT(MCC_Table[[#This Row],[BUCKET]],LEN(MCC_Table[[#This Row],[BUCKET]])-1))</f>
        <v>15</v>
      </c>
      <c r="AF242" s="29" t="str">
        <f>RIGHT(MCC_Table[[#This Row],[BUCKET]],1)</f>
        <v>E</v>
      </c>
      <c r="AG242" s="29">
        <f>VLOOKUP(MCC_Table[[#This Row],[START UNIT]],UnitMap[],2,FALSE)</f>
        <v>5</v>
      </c>
      <c r="AH242" s="29">
        <f t="array" ref="AH2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42" s="29">
        <f>IF(ISNUMBER(MCC_Table[[#This Row],[SIZE]]), MCC_Table[[#This Row],[SIZE]]/6, 0)</f>
        <v>4</v>
      </c>
      <c r="AJ242" s="29">
        <f>MCC_Table[[#This Row],[START INDEX]]+MCC_Table[[#This Row],[UNITS USED]]-1</f>
        <v>8</v>
      </c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</row>
    <row r="243" spans="1:57" ht="15.75" hidden="1" customHeight="1" thickTop="1" x14ac:dyDescent="0.25">
      <c r="A243" s="39" t="s">
        <v>2490</v>
      </c>
      <c r="B243" s="29" t="s">
        <v>2296</v>
      </c>
      <c r="C243" s="111" t="s">
        <v>2560</v>
      </c>
      <c r="D243" s="28" t="s">
        <v>2561</v>
      </c>
      <c r="E243" s="112" t="s">
        <v>2387</v>
      </c>
      <c r="F243" s="8">
        <v>2</v>
      </c>
      <c r="G243" s="8">
        <v>2</v>
      </c>
      <c r="H243" s="82"/>
      <c r="I243" s="8"/>
      <c r="J243" s="80">
        <f>IF(ISNUMBER(MCC_Table[[#This Row],[SIZE]]), MCC_Table[[#This Row],[SIZE]]/12, 0)</f>
        <v>2</v>
      </c>
      <c r="K243" s="82">
        <v>15</v>
      </c>
      <c r="L243" s="82">
        <v>125</v>
      </c>
      <c r="M243" s="82">
        <v>15</v>
      </c>
      <c r="N243" s="82" t="s">
        <v>2124</v>
      </c>
      <c r="O243" s="77"/>
      <c r="P243" s="110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225"/>
      <c r="AC243" s="225"/>
      <c r="AD243" s="225"/>
      <c r="AE243" s="29">
        <f>_xlfn.NUMBERVALUE(LEFT(MCC_Table[[#This Row],[BUCKET]],LEN(MCC_Table[[#This Row],[BUCKET]])-1))</f>
        <v>15</v>
      </c>
      <c r="AF243" s="29" t="str">
        <f>RIGHT(MCC_Table[[#This Row],[BUCKET]],1)</f>
        <v>J</v>
      </c>
      <c r="AG243" s="29">
        <f>VLOOKUP(MCC_Table[[#This Row],[START UNIT]],UnitMap[],2,FALSE)</f>
        <v>9</v>
      </c>
      <c r="AH243" s="29">
        <f t="array" ref="AH2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43" s="29">
        <f>IF(ISNUMBER(MCC_Table[[#This Row],[SIZE]]), MCC_Table[[#This Row],[SIZE]]/6, 0)</f>
        <v>4</v>
      </c>
      <c r="AJ243" s="29">
        <f>MCC_Table[[#This Row],[START INDEX]]+MCC_Table[[#This Row],[UNITS USED]]-1</f>
        <v>12</v>
      </c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</row>
    <row r="244" spans="1:57" ht="15.75" hidden="1" customHeight="1" thickTop="1" x14ac:dyDescent="0.25">
      <c r="A244" s="39" t="s">
        <v>2490</v>
      </c>
      <c r="B244" s="29" t="s">
        <v>2202</v>
      </c>
      <c r="C244" s="111" t="s">
        <v>2562</v>
      </c>
      <c r="D244" s="28" t="s">
        <v>2563</v>
      </c>
      <c r="E244" s="112" t="s">
        <v>2387</v>
      </c>
      <c r="F244" s="8">
        <v>15</v>
      </c>
      <c r="G244" s="8">
        <v>15</v>
      </c>
      <c r="H244" s="82"/>
      <c r="I244" s="8"/>
      <c r="J244" s="80">
        <f>IF(ISNUMBER(MCC_Table[[#This Row],[SIZE]]), MCC_Table[[#This Row],[SIZE]]/12, 0)</f>
        <v>3</v>
      </c>
      <c r="K244" s="82">
        <v>60</v>
      </c>
      <c r="L244" s="82">
        <v>125</v>
      </c>
      <c r="M244" s="82">
        <v>40</v>
      </c>
      <c r="N244" s="82" t="s">
        <v>2198</v>
      </c>
      <c r="O244" s="77"/>
      <c r="P244" s="110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225"/>
      <c r="AC244" s="225"/>
      <c r="AD244" s="225"/>
      <c r="AE244" s="29">
        <f>_xlfn.NUMBERVALUE(LEFT(MCC_Table[[#This Row],[BUCKET]],LEN(MCC_Table[[#This Row],[BUCKET]])-1))</f>
        <v>16</v>
      </c>
      <c r="AF244" s="29" t="str">
        <f>RIGHT(MCC_Table[[#This Row],[BUCKET]],1)</f>
        <v>A</v>
      </c>
      <c r="AG244" s="29">
        <f>VLOOKUP(MCC_Table[[#This Row],[START UNIT]],UnitMap[],2,FALSE)</f>
        <v>1</v>
      </c>
      <c r="AH244" s="29">
        <f t="array" ref="AH2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44" s="29">
        <f>IF(ISNUMBER(MCC_Table[[#This Row],[SIZE]]), MCC_Table[[#This Row],[SIZE]]/6, 0)</f>
        <v>6</v>
      </c>
      <c r="AJ244" s="29">
        <f>MCC_Table[[#This Row],[START INDEX]]+MCC_Table[[#This Row],[UNITS USED]]-1</f>
        <v>6</v>
      </c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</row>
    <row r="245" spans="1:57" ht="15.75" hidden="1" customHeight="1" thickTop="1" x14ac:dyDescent="0.25">
      <c r="A245" s="39" t="s">
        <v>2490</v>
      </c>
      <c r="B245" s="29" t="s">
        <v>2301</v>
      </c>
      <c r="C245" s="111" t="s">
        <v>2564</v>
      </c>
      <c r="D245" s="28" t="s">
        <v>2565</v>
      </c>
      <c r="E245" s="112" t="s">
        <v>2387</v>
      </c>
      <c r="F245" s="8">
        <v>15</v>
      </c>
      <c r="G245" s="8">
        <v>15</v>
      </c>
      <c r="H245" s="82"/>
      <c r="I245" s="8"/>
      <c r="J245" s="80">
        <f>IF(ISNUMBER(MCC_Table[[#This Row],[SIZE]]), MCC_Table[[#This Row],[SIZE]]/12, 0)</f>
        <v>3</v>
      </c>
      <c r="K245" s="82">
        <v>60</v>
      </c>
      <c r="L245" s="82">
        <v>125</v>
      </c>
      <c r="M245" s="82">
        <v>40</v>
      </c>
      <c r="N245" s="82" t="s">
        <v>2198</v>
      </c>
      <c r="O245" s="77"/>
      <c r="P245" s="110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225"/>
      <c r="AC245" s="225"/>
      <c r="AD245" s="225"/>
      <c r="AE245" s="29">
        <f>_xlfn.NUMBERVALUE(LEFT(MCC_Table[[#This Row],[BUCKET]],LEN(MCC_Table[[#This Row],[BUCKET]])-1))</f>
        <v>16</v>
      </c>
      <c r="AF245" s="29" t="str">
        <f>RIGHT(MCC_Table[[#This Row],[BUCKET]],1)</f>
        <v>G</v>
      </c>
      <c r="AG245" s="29">
        <f>VLOOKUP(MCC_Table[[#This Row],[START UNIT]],UnitMap[],2,FALSE)</f>
        <v>7</v>
      </c>
      <c r="AH245" s="29">
        <f t="array" ref="AH2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45" s="29">
        <f>IF(ISNUMBER(MCC_Table[[#This Row],[SIZE]]), MCC_Table[[#This Row],[SIZE]]/6, 0)</f>
        <v>6</v>
      </c>
      <c r="AJ245" s="29">
        <f>MCC_Table[[#This Row],[START INDEX]]+MCC_Table[[#This Row],[UNITS USED]]-1</f>
        <v>12</v>
      </c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</row>
    <row r="246" spans="1:57" ht="15.75" hidden="1" customHeight="1" thickTop="1" x14ac:dyDescent="0.25">
      <c r="A246" s="39" t="s">
        <v>2490</v>
      </c>
      <c r="B246" s="29" t="s">
        <v>2212</v>
      </c>
      <c r="C246" s="111" t="s">
        <v>2566</v>
      </c>
      <c r="D246" s="28" t="s">
        <v>2567</v>
      </c>
      <c r="E246" s="112" t="s">
        <v>2387</v>
      </c>
      <c r="F246" s="8">
        <v>15</v>
      </c>
      <c r="G246" s="8">
        <v>15</v>
      </c>
      <c r="H246" s="82"/>
      <c r="I246" s="8"/>
      <c r="J246" s="80">
        <f>IF(ISNUMBER(MCC_Table[[#This Row],[SIZE]]), MCC_Table[[#This Row],[SIZE]]/12, 0)</f>
        <v>3</v>
      </c>
      <c r="K246" s="82">
        <v>60</v>
      </c>
      <c r="L246" s="82">
        <v>125</v>
      </c>
      <c r="M246" s="82">
        <v>40</v>
      </c>
      <c r="N246" s="82" t="s">
        <v>2198</v>
      </c>
      <c r="O246" s="77"/>
      <c r="P246" s="110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225"/>
      <c r="AC246" s="225"/>
      <c r="AD246" s="225"/>
      <c r="AE246" s="29">
        <f>_xlfn.NUMBERVALUE(LEFT(MCC_Table[[#This Row],[BUCKET]],LEN(MCC_Table[[#This Row],[BUCKET]])-1))</f>
        <v>17</v>
      </c>
      <c r="AF246" s="29" t="str">
        <f>RIGHT(MCC_Table[[#This Row],[BUCKET]],1)</f>
        <v>A</v>
      </c>
      <c r="AG246" s="29">
        <f>VLOOKUP(MCC_Table[[#This Row],[START UNIT]],UnitMap[],2,FALSE)</f>
        <v>1</v>
      </c>
      <c r="AH246" s="29">
        <f t="array" ref="AH2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46" s="29">
        <f>IF(ISNUMBER(MCC_Table[[#This Row],[SIZE]]), MCC_Table[[#This Row],[SIZE]]/6, 0)</f>
        <v>6</v>
      </c>
      <c r="AJ246" s="29">
        <f>MCC_Table[[#This Row],[START INDEX]]+MCC_Table[[#This Row],[UNITS USED]]-1</f>
        <v>6</v>
      </c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</row>
    <row r="247" spans="1:57" ht="15.75" hidden="1" customHeight="1" thickTop="1" x14ac:dyDescent="0.25">
      <c r="A247" s="39" t="s">
        <v>2490</v>
      </c>
      <c r="B247" s="29" t="s">
        <v>2304</v>
      </c>
      <c r="C247" s="111" t="s">
        <v>2568</v>
      </c>
      <c r="D247" s="28" t="s">
        <v>2569</v>
      </c>
      <c r="E247" s="112" t="s">
        <v>2387</v>
      </c>
      <c r="F247" s="8">
        <v>15</v>
      </c>
      <c r="G247" s="8">
        <v>15</v>
      </c>
      <c r="H247" s="82"/>
      <c r="I247" s="8"/>
      <c r="J247" s="80">
        <f>IF(ISNUMBER(MCC_Table[[#This Row],[SIZE]]), MCC_Table[[#This Row],[SIZE]]/12, 0)</f>
        <v>3</v>
      </c>
      <c r="K247" s="82">
        <v>60</v>
      </c>
      <c r="L247" s="82">
        <v>125</v>
      </c>
      <c r="M247" s="82">
        <v>40</v>
      </c>
      <c r="N247" s="82" t="s">
        <v>2198</v>
      </c>
      <c r="O247" s="77"/>
      <c r="P247" s="110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225"/>
      <c r="AC247" s="225"/>
      <c r="AD247" s="225"/>
      <c r="AE247" s="29">
        <f>_xlfn.NUMBERVALUE(LEFT(MCC_Table[[#This Row],[BUCKET]],LEN(MCC_Table[[#This Row],[BUCKET]])-1))</f>
        <v>17</v>
      </c>
      <c r="AF247" s="29" t="str">
        <f>RIGHT(MCC_Table[[#This Row],[BUCKET]],1)</f>
        <v>G</v>
      </c>
      <c r="AG247" s="29">
        <f>VLOOKUP(MCC_Table[[#This Row],[START UNIT]],UnitMap[],2,FALSE)</f>
        <v>7</v>
      </c>
      <c r="AH247" s="29">
        <f t="array" ref="AH2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36</v>
      </c>
      <c r="AI247" s="29">
        <f>IF(ISNUMBER(MCC_Table[[#This Row],[SIZE]]), MCC_Table[[#This Row],[SIZE]]/6, 0)</f>
        <v>6</v>
      </c>
      <c r="AJ247" s="29">
        <f>MCC_Table[[#This Row],[START INDEX]]+MCC_Table[[#This Row],[UNITS USED]]-1</f>
        <v>12</v>
      </c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</row>
    <row r="248" spans="1:57" ht="15.75" hidden="1" customHeight="1" thickTop="1" x14ac:dyDescent="0.25">
      <c r="A248" s="39" t="s">
        <v>2490</v>
      </c>
      <c r="B248" s="29" t="s">
        <v>2216</v>
      </c>
      <c r="C248" s="111" t="s">
        <v>2103</v>
      </c>
      <c r="D248" s="28"/>
      <c r="E248" s="112"/>
      <c r="F248" s="8"/>
      <c r="G248" s="8"/>
      <c r="H248" s="82"/>
      <c r="I248" s="8"/>
      <c r="J248" s="80">
        <f>IF(ISNUMBER(MCC_Table[[#This Row],[SIZE]]), MCC_Table[[#This Row],[SIZE]]/12, 0)</f>
        <v>1</v>
      </c>
      <c r="K248" s="82"/>
      <c r="L248" s="82"/>
      <c r="M248" s="82"/>
      <c r="N248" s="82"/>
      <c r="O248" s="77"/>
      <c r="P248" s="110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225"/>
      <c r="AC248" s="225"/>
      <c r="AD248" s="225"/>
      <c r="AE248" s="29">
        <f>_xlfn.NUMBERVALUE(LEFT(MCC_Table[[#This Row],[BUCKET]],LEN(MCC_Table[[#This Row],[BUCKET]])-1))</f>
        <v>18</v>
      </c>
      <c r="AF248" s="29" t="str">
        <f>RIGHT(MCC_Table[[#This Row],[BUCKET]],1)</f>
        <v>A</v>
      </c>
      <c r="AG248" s="29">
        <f>VLOOKUP(MCC_Table[[#This Row],[START UNIT]],UnitMap[],2,FALSE)</f>
        <v>1</v>
      </c>
      <c r="AH248" s="29">
        <f t="array" ref="AH2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48" s="29">
        <f>IF(ISNUMBER(MCC_Table[[#This Row],[SIZE]]), MCC_Table[[#This Row],[SIZE]]/6, 0)</f>
        <v>2</v>
      </c>
      <c r="AJ248" s="29">
        <f>MCC_Table[[#This Row],[START INDEX]]+MCC_Table[[#This Row],[UNITS USED]]-1</f>
        <v>2</v>
      </c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</row>
    <row r="249" spans="1:57" ht="15.75" hidden="1" customHeight="1" thickTop="1" x14ac:dyDescent="0.25">
      <c r="A249" s="39" t="s">
        <v>2490</v>
      </c>
      <c r="B249" s="29" t="s">
        <v>2307</v>
      </c>
      <c r="C249" s="111" t="s">
        <v>2570</v>
      </c>
      <c r="D249" s="28" t="s">
        <v>2571</v>
      </c>
      <c r="E249" s="112" t="s">
        <v>2387</v>
      </c>
      <c r="F249" s="8">
        <v>7.5</v>
      </c>
      <c r="G249" s="8">
        <v>10</v>
      </c>
      <c r="H249" s="82"/>
      <c r="I249" s="8"/>
      <c r="J249" s="80">
        <f>IF(ISNUMBER(MCC_Table[[#This Row],[SIZE]]), MCC_Table[[#This Row],[SIZE]]/12, 0)</f>
        <v>2.5</v>
      </c>
      <c r="K249" s="82">
        <v>30</v>
      </c>
      <c r="L249" s="82">
        <v>125</v>
      </c>
      <c r="M249" s="82">
        <v>25</v>
      </c>
      <c r="N249" s="82" t="s">
        <v>2124</v>
      </c>
      <c r="O249" s="77"/>
      <c r="P249" s="110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225"/>
      <c r="AC249" s="225"/>
      <c r="AD249" s="225"/>
      <c r="AE249" s="29">
        <f>_xlfn.NUMBERVALUE(LEFT(MCC_Table[[#This Row],[BUCKET]],LEN(MCC_Table[[#This Row],[BUCKET]])-1))</f>
        <v>18</v>
      </c>
      <c r="AF249" s="29" t="str">
        <f>RIGHT(MCC_Table[[#This Row],[BUCKET]],1)</f>
        <v>C</v>
      </c>
      <c r="AG249" s="29">
        <f>VLOOKUP(MCC_Table[[#This Row],[START UNIT]],UnitMap[],2,FALSE)</f>
        <v>3</v>
      </c>
      <c r="AH249" s="29">
        <f t="array" ref="AH2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49" s="29">
        <f>IF(ISNUMBER(MCC_Table[[#This Row],[SIZE]]), MCC_Table[[#This Row],[SIZE]]/6, 0)</f>
        <v>5</v>
      </c>
      <c r="AJ249" s="29">
        <f>MCC_Table[[#This Row],[START INDEX]]+MCC_Table[[#This Row],[UNITS USED]]-1</f>
        <v>7</v>
      </c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</row>
    <row r="250" spans="1:57" ht="15.75" hidden="1" customHeight="1" thickTop="1" x14ac:dyDescent="0.25">
      <c r="A250" s="39" t="s">
        <v>2490</v>
      </c>
      <c r="B250" s="29" t="s">
        <v>2481</v>
      </c>
      <c r="C250" s="111" t="s">
        <v>2572</v>
      </c>
      <c r="D250" s="28" t="s">
        <v>2573</v>
      </c>
      <c r="E250" s="112" t="s">
        <v>2387</v>
      </c>
      <c r="F250" s="8">
        <v>7.5</v>
      </c>
      <c r="G250" s="8">
        <v>10</v>
      </c>
      <c r="H250" s="82"/>
      <c r="I250" s="8"/>
      <c r="J250" s="80">
        <f>IF(ISNUMBER(MCC_Table[[#This Row],[SIZE]]), MCC_Table[[#This Row],[SIZE]]/12, 0)</f>
        <v>2.5</v>
      </c>
      <c r="K250" s="82">
        <v>30</v>
      </c>
      <c r="L250" s="82">
        <v>125</v>
      </c>
      <c r="M250" s="82">
        <v>25</v>
      </c>
      <c r="N250" s="82" t="s">
        <v>2124</v>
      </c>
      <c r="O250" s="77"/>
      <c r="P250" s="110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225"/>
      <c r="AC250" s="225"/>
      <c r="AD250" s="225"/>
      <c r="AE250" s="29">
        <f>_xlfn.NUMBERVALUE(LEFT(MCC_Table[[#This Row],[BUCKET]],LEN(MCC_Table[[#This Row],[BUCKET]])-1))</f>
        <v>18</v>
      </c>
      <c r="AF250" s="29" t="str">
        <f>RIGHT(MCC_Table[[#This Row],[BUCKET]],1)</f>
        <v>H</v>
      </c>
      <c r="AG250" s="29">
        <f>VLOOKUP(MCC_Table[[#This Row],[START UNIT]],UnitMap[],2,FALSE)</f>
        <v>8</v>
      </c>
      <c r="AH250" s="29">
        <f t="array" ref="AH2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50" s="29">
        <f>IF(ISNUMBER(MCC_Table[[#This Row],[SIZE]]), MCC_Table[[#This Row],[SIZE]]/6, 0)</f>
        <v>5</v>
      </c>
      <c r="AJ250" s="29">
        <f>MCC_Table[[#This Row],[START INDEX]]+MCC_Table[[#This Row],[UNITS USED]]-1</f>
        <v>12</v>
      </c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</row>
    <row r="251" spans="1:57" ht="15.75" hidden="1" customHeight="1" thickTop="1" x14ac:dyDescent="0.25">
      <c r="A251" s="39"/>
      <c r="B251" s="29"/>
      <c r="C251" s="111"/>
      <c r="D251" s="28"/>
      <c r="E251" s="112"/>
      <c r="F251" s="8"/>
      <c r="G251" s="8"/>
      <c r="H251" s="82"/>
      <c r="I251" s="8"/>
      <c r="J251" s="80">
        <f>IF(ISNUMBER(MCC_Table[[#This Row],[SIZE]]), MCC_Table[[#This Row],[SIZE]]/12, 0)</f>
        <v>0</v>
      </c>
      <c r="K251" s="82"/>
      <c r="L251" s="82"/>
      <c r="M251" s="82"/>
      <c r="N251" s="82"/>
      <c r="O251" s="77"/>
      <c r="P251" s="110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225"/>
      <c r="AC251" s="225"/>
      <c r="AD251" s="225"/>
      <c r="AE251" s="29" t="e">
        <f>_xlfn.NUMBERVALUE(LEFT(MCC_Table[[#This Row],[BUCKET]],LEN(MCC_Table[[#This Row],[BUCKET]])-1))</f>
        <v>#VALUE!</v>
      </c>
      <c r="AF251" s="29" t="str">
        <f>RIGHT(MCC_Table[[#This Row],[BUCKET]],1)</f>
        <v/>
      </c>
      <c r="AG251" s="29" t="e">
        <f>VLOOKUP(MCC_Table[[#This Row],[START UNIT]],UnitMap[],2,FALSE)</f>
        <v>#N/A</v>
      </c>
      <c r="AH251" s="29" t="e">
        <f t="array" ref="AH2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251" s="29">
        <f>IF(ISNUMBER(MCC_Table[[#This Row],[SIZE]]), MCC_Table[[#This Row],[SIZE]]/6, 0)</f>
        <v>0</v>
      </c>
      <c r="AJ251" s="29" t="e">
        <f>MCC_Table[[#This Row],[START INDEX]]+MCC_Table[[#This Row],[UNITS USED]]-1</f>
        <v>#N/A</v>
      </c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</row>
    <row r="252" spans="1:57" ht="15.75" hidden="1" customHeight="1" thickTop="1" x14ac:dyDescent="0.25">
      <c r="A252" s="113"/>
      <c r="B252" s="29"/>
      <c r="C252" s="111"/>
      <c r="D252" s="114"/>
      <c r="E252" s="112"/>
      <c r="F252" s="8"/>
      <c r="G252" s="8"/>
      <c r="H252" s="82"/>
      <c r="I252" s="8"/>
      <c r="J252" s="80">
        <f>IF(ISNUMBER(MCC_Table[[#This Row],[SIZE]]), MCC_Table[[#This Row],[SIZE]]/12, 0)</f>
        <v>0</v>
      </c>
      <c r="K252" s="82"/>
      <c r="L252" s="82"/>
      <c r="M252" s="82"/>
      <c r="N252" s="82"/>
      <c r="O252" s="77"/>
      <c r="P252" s="110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225"/>
      <c r="AC252" s="225"/>
      <c r="AD252" s="225"/>
      <c r="AE252" s="29" t="e">
        <f>_xlfn.NUMBERVALUE(LEFT(MCC_Table[[#This Row],[BUCKET]],LEN(MCC_Table[[#This Row],[BUCKET]])-1))</f>
        <v>#VALUE!</v>
      </c>
      <c r="AF252" s="29" t="str">
        <f>RIGHT(MCC_Table[[#This Row],[BUCKET]],1)</f>
        <v/>
      </c>
      <c r="AG252" s="29" t="e">
        <f>VLOOKUP(MCC_Table[[#This Row],[START UNIT]],UnitMap[],2,FALSE)</f>
        <v>#N/A</v>
      </c>
      <c r="AH252" s="29" t="e">
        <f t="array" ref="AH2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252" s="29">
        <f>IF(ISNUMBER(MCC_Table[[#This Row],[SIZE]]), MCC_Table[[#This Row],[SIZE]]/6, 0)</f>
        <v>0</v>
      </c>
      <c r="AJ252" s="29" t="e">
        <f>MCC_Table[[#This Row],[START INDEX]]+MCC_Table[[#This Row],[UNITS USED]]-1</f>
        <v>#N/A</v>
      </c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</row>
    <row r="253" spans="1:57" ht="15.75" hidden="1" customHeight="1" thickTop="1" x14ac:dyDescent="0.25">
      <c r="A253" s="39"/>
      <c r="B253" s="29"/>
      <c r="C253" s="111"/>
      <c r="D253" s="28"/>
      <c r="E253" s="112"/>
      <c r="F253" s="8"/>
      <c r="G253" s="8"/>
      <c r="H253" s="82"/>
      <c r="I253" s="8"/>
      <c r="J253" s="80">
        <f>IF(ISNUMBER(MCC_Table[[#This Row],[SIZE]]), MCC_Table[[#This Row],[SIZE]]/12, 0)</f>
        <v>0</v>
      </c>
      <c r="K253" s="82"/>
      <c r="L253" s="82"/>
      <c r="M253" s="82"/>
      <c r="N253" s="82"/>
      <c r="O253" s="77"/>
      <c r="P253" s="110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225"/>
      <c r="AC253" s="225"/>
      <c r="AD253" s="225"/>
      <c r="AE253" s="29" t="e">
        <f>_xlfn.NUMBERVALUE(LEFT(MCC_Table[[#This Row],[BUCKET]],LEN(MCC_Table[[#This Row],[BUCKET]])-1))</f>
        <v>#VALUE!</v>
      </c>
      <c r="AF253" s="29" t="str">
        <f>RIGHT(MCC_Table[[#This Row],[BUCKET]],1)</f>
        <v/>
      </c>
      <c r="AG253" s="29" t="e">
        <f>VLOOKUP(MCC_Table[[#This Row],[START UNIT]],UnitMap[],2,FALSE)</f>
        <v>#N/A</v>
      </c>
      <c r="AH253" s="29" t="e">
        <f t="array" ref="AH2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253" s="29">
        <f>IF(ISNUMBER(MCC_Table[[#This Row],[SIZE]]), MCC_Table[[#This Row],[SIZE]]/6, 0)</f>
        <v>0</v>
      </c>
      <c r="AJ253" s="29" t="e">
        <f>MCC_Table[[#This Row],[START INDEX]]+MCC_Table[[#This Row],[UNITS USED]]-1</f>
        <v>#N/A</v>
      </c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</row>
    <row r="254" spans="1:57" ht="15.75" hidden="1" customHeight="1" thickTop="1" x14ac:dyDescent="0.25">
      <c r="A254" s="39"/>
      <c r="B254" s="29"/>
      <c r="C254" s="111"/>
      <c r="D254" s="28"/>
      <c r="E254" s="112"/>
      <c r="F254" s="8"/>
      <c r="G254" s="8"/>
      <c r="H254" s="82"/>
      <c r="I254" s="8"/>
      <c r="J254" s="80">
        <f>IF(ISNUMBER(MCC_Table[[#This Row],[SIZE]]), MCC_Table[[#This Row],[SIZE]]/12, 0)</f>
        <v>0</v>
      </c>
      <c r="K254" s="82"/>
      <c r="L254" s="82"/>
      <c r="M254" s="82"/>
      <c r="N254" s="82"/>
      <c r="O254" s="77"/>
      <c r="P254" s="110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225"/>
      <c r="AC254" s="225"/>
      <c r="AD254" s="225"/>
      <c r="AE254" s="29" t="e">
        <f>_xlfn.NUMBERVALUE(LEFT(MCC_Table[[#This Row],[BUCKET]],LEN(MCC_Table[[#This Row],[BUCKET]])-1))</f>
        <v>#VALUE!</v>
      </c>
      <c r="AF254" s="29" t="str">
        <f>RIGHT(MCC_Table[[#This Row],[BUCKET]],1)</f>
        <v/>
      </c>
      <c r="AG254" s="29" t="e">
        <f>VLOOKUP(MCC_Table[[#This Row],[START UNIT]],UnitMap[],2,FALSE)</f>
        <v>#N/A</v>
      </c>
      <c r="AH254" s="29" t="e">
        <f t="array" ref="AH2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254" s="29">
        <f>IF(ISNUMBER(MCC_Table[[#This Row],[SIZE]]), MCC_Table[[#This Row],[SIZE]]/6, 0)</f>
        <v>0</v>
      </c>
      <c r="AJ254" s="29" t="e">
        <f>MCC_Table[[#This Row],[START INDEX]]+MCC_Table[[#This Row],[UNITS USED]]-1</f>
        <v>#N/A</v>
      </c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</row>
    <row r="255" spans="1:57" ht="15.75" hidden="1" customHeight="1" thickTop="1" x14ac:dyDescent="0.25">
      <c r="A255" s="113"/>
      <c r="B255" s="29"/>
      <c r="C255" s="111"/>
      <c r="D255" s="28"/>
      <c r="E255" s="112"/>
      <c r="F255" s="8"/>
      <c r="G255" s="8"/>
      <c r="H255" s="82"/>
      <c r="I255" s="8"/>
      <c r="J255" s="80">
        <f>IF(ISNUMBER(MCC_Table[[#This Row],[SIZE]]), MCC_Table[[#This Row],[SIZE]]/12, 0)</f>
        <v>0</v>
      </c>
      <c r="K255" s="82"/>
      <c r="L255" s="82"/>
      <c r="M255" s="82"/>
      <c r="N255" s="82"/>
      <c r="O255" s="77"/>
      <c r="P255" s="110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225"/>
      <c r="AC255" s="225"/>
      <c r="AD255" s="225"/>
      <c r="AE255" s="29" t="e">
        <f>_xlfn.NUMBERVALUE(LEFT(MCC_Table[[#This Row],[BUCKET]],LEN(MCC_Table[[#This Row],[BUCKET]])-1))</f>
        <v>#VALUE!</v>
      </c>
      <c r="AF255" s="29" t="str">
        <f>RIGHT(MCC_Table[[#This Row],[BUCKET]],1)</f>
        <v/>
      </c>
      <c r="AG255" s="29" t="e">
        <f>VLOOKUP(MCC_Table[[#This Row],[START UNIT]],UnitMap[],2,FALSE)</f>
        <v>#N/A</v>
      </c>
      <c r="AH255" s="29" t="e">
        <f t="array" ref="AH2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255" s="29">
        <f>IF(ISNUMBER(MCC_Table[[#This Row],[SIZE]]), MCC_Table[[#This Row],[SIZE]]/6, 0)</f>
        <v>0</v>
      </c>
      <c r="AJ255" s="29" t="e">
        <f>MCC_Table[[#This Row],[START INDEX]]+MCC_Table[[#This Row],[UNITS USED]]-1</f>
        <v>#N/A</v>
      </c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</row>
    <row r="256" spans="1:57" ht="15.75" hidden="1" customHeight="1" thickTop="1" x14ac:dyDescent="0.25">
      <c r="A256" s="115" t="s">
        <v>2574</v>
      </c>
      <c r="B256" s="98" t="s">
        <v>2074</v>
      </c>
      <c r="C256" s="99" t="s">
        <v>2075</v>
      </c>
      <c r="D256" s="100" t="s">
        <v>2076</v>
      </c>
      <c r="E256" s="99" t="s">
        <v>2075</v>
      </c>
      <c r="F256" s="10"/>
      <c r="G256" s="10"/>
      <c r="H256" s="76"/>
      <c r="I256" s="10"/>
      <c r="J256" s="101">
        <f>IF(ISNUMBER(MCC_Table[[#This Row],[SIZE]]), MCC_Table[[#This Row],[SIZE]]/12, 0)</f>
        <v>3.5</v>
      </c>
      <c r="K256" s="76">
        <v>1200</v>
      </c>
      <c r="L256" s="76">
        <v>1200</v>
      </c>
      <c r="M256" s="76" t="s">
        <v>1888</v>
      </c>
      <c r="N256" s="76"/>
      <c r="O256" s="84"/>
      <c r="P256" s="110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224"/>
      <c r="AC256" s="224"/>
      <c r="AD256" s="224"/>
      <c r="AE256" s="98">
        <f>_xlfn.NUMBERVALUE(LEFT(MCC_Table[[#This Row],[BUCKET]],LEN(MCC_Table[[#This Row],[BUCKET]])-1))</f>
        <v>1</v>
      </c>
      <c r="AF256" s="98" t="str">
        <f>RIGHT(MCC_Table[[#This Row],[BUCKET]],1)</f>
        <v>A</v>
      </c>
      <c r="AG256" s="98">
        <f>VLOOKUP(MCC_Table[[#This Row],[START UNIT]],UnitMap[],2,FALSE)</f>
        <v>1</v>
      </c>
      <c r="AH256" s="98">
        <f t="array" ref="AH2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56" s="98">
        <f>IF(ISNUMBER(MCC_Table[[#This Row],[SIZE]]), MCC_Table[[#This Row],[SIZE]]/6, 0)</f>
        <v>7</v>
      </c>
      <c r="AJ256" s="98">
        <f>MCC_Table[[#This Row],[START INDEX]]+MCC_Table[[#This Row],[UNITS USED]]-1</f>
        <v>7</v>
      </c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</row>
    <row r="257" spans="1:57" ht="15.75" hidden="1" customHeight="1" thickTop="1" x14ac:dyDescent="0.25">
      <c r="A257" s="113" t="s">
        <v>2574</v>
      </c>
      <c r="B257" s="29" t="s">
        <v>2080</v>
      </c>
      <c r="C257" s="24" t="s">
        <v>2103</v>
      </c>
      <c r="D257" s="62" t="s">
        <v>2104</v>
      </c>
      <c r="E257" s="29" t="s">
        <v>2103</v>
      </c>
      <c r="F257" s="8"/>
      <c r="G257" s="8"/>
      <c r="H257" s="82"/>
      <c r="I257" s="8"/>
      <c r="J257" s="80">
        <f>IF(ISNUMBER(MCC_Table[[#This Row],[SIZE]]), MCC_Table[[#This Row],[SIZE]]/12, 0)</f>
        <v>0.5</v>
      </c>
      <c r="K257" s="82"/>
      <c r="L257" s="82"/>
      <c r="M257" s="82"/>
      <c r="N257" s="82"/>
      <c r="O257" s="77"/>
      <c r="P257" s="110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225"/>
      <c r="AC257" s="225"/>
      <c r="AD257" s="225"/>
      <c r="AE257" s="29">
        <f>_xlfn.NUMBERVALUE(LEFT(MCC_Table[[#This Row],[BUCKET]],LEN(MCC_Table[[#This Row],[BUCKET]])-1))</f>
        <v>1</v>
      </c>
      <c r="AF257" s="29" t="str">
        <f>RIGHT(MCC_Table[[#This Row],[BUCKET]],1)</f>
        <v>H</v>
      </c>
      <c r="AG257" s="29">
        <f>VLOOKUP(MCC_Table[[#This Row],[START UNIT]],UnitMap[],2,FALSE)</f>
        <v>8</v>
      </c>
      <c r="AH257" s="29">
        <f t="array" ref="AH2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57" s="29">
        <f>IF(ISNUMBER(MCC_Table[[#This Row],[SIZE]]), MCC_Table[[#This Row],[SIZE]]/6, 0)</f>
        <v>1</v>
      </c>
      <c r="AJ257" s="29">
        <f>MCC_Table[[#This Row],[START INDEX]]+MCC_Table[[#This Row],[UNITS USED]]-1</f>
        <v>8</v>
      </c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</row>
    <row r="258" spans="1:57" ht="15.75" hidden="1" customHeight="1" thickTop="1" x14ac:dyDescent="0.25">
      <c r="A258" s="113" t="s">
        <v>2574</v>
      </c>
      <c r="B258" s="29" t="s">
        <v>2493</v>
      </c>
      <c r="C258" s="24" t="s">
        <v>2103</v>
      </c>
      <c r="D258" s="62" t="s">
        <v>2143</v>
      </c>
      <c r="E258" s="29" t="s">
        <v>2103</v>
      </c>
      <c r="F258" s="8"/>
      <c r="G258" s="8"/>
      <c r="H258" s="82"/>
      <c r="I258" s="8"/>
      <c r="J258" s="80">
        <f>IF(ISNUMBER(MCC_Table[[#This Row],[SIZE]]), MCC_Table[[#This Row],[SIZE]]/12, 0)</f>
        <v>1</v>
      </c>
      <c r="K258" s="82"/>
      <c r="L258" s="82"/>
      <c r="M258" s="82"/>
      <c r="N258" s="82"/>
      <c r="O258" s="77"/>
      <c r="P258" s="110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225"/>
      <c r="AC258" s="225"/>
      <c r="AD258" s="225"/>
      <c r="AE258" s="29">
        <f>_xlfn.NUMBERVALUE(LEFT(MCC_Table[[#This Row],[BUCKET]],LEN(MCC_Table[[#This Row],[BUCKET]])-1))</f>
        <v>1</v>
      </c>
      <c r="AF258" s="29" t="str">
        <f>RIGHT(MCC_Table[[#This Row],[BUCKET]],1)</f>
        <v>J</v>
      </c>
      <c r="AG258" s="29">
        <f>VLOOKUP(MCC_Table[[#This Row],[START UNIT]],UnitMap[],2,FALSE)</f>
        <v>9</v>
      </c>
      <c r="AH258" s="29">
        <f t="array" ref="AH2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58" s="29">
        <f>IF(ISNUMBER(MCC_Table[[#This Row],[SIZE]]), MCC_Table[[#This Row],[SIZE]]/6, 0)</f>
        <v>2</v>
      </c>
      <c r="AJ258" s="29">
        <f>MCC_Table[[#This Row],[START INDEX]]+MCC_Table[[#This Row],[UNITS USED]]-1</f>
        <v>10</v>
      </c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</row>
    <row r="259" spans="1:57" ht="15.75" hidden="1" customHeight="1" thickTop="1" x14ac:dyDescent="0.25">
      <c r="A259" s="113" t="s">
        <v>2574</v>
      </c>
      <c r="B259" s="29" t="s">
        <v>2084</v>
      </c>
      <c r="C259" s="24" t="s">
        <v>2103</v>
      </c>
      <c r="D259" s="62" t="s">
        <v>2143</v>
      </c>
      <c r="E259" s="29" t="s">
        <v>2103</v>
      </c>
      <c r="F259" s="8"/>
      <c r="G259" s="8"/>
      <c r="H259" s="82"/>
      <c r="I259" s="8"/>
      <c r="J259" s="80">
        <f>IF(ISNUMBER(MCC_Table[[#This Row],[SIZE]]), MCC_Table[[#This Row],[SIZE]]/12, 0)</f>
        <v>1</v>
      </c>
      <c r="K259" s="82"/>
      <c r="L259" s="82"/>
      <c r="M259" s="82"/>
      <c r="N259" s="82"/>
      <c r="O259" s="77"/>
      <c r="P259" s="110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225"/>
      <c r="AC259" s="225"/>
      <c r="AD259" s="225"/>
      <c r="AE259" s="29">
        <f>_xlfn.NUMBERVALUE(LEFT(MCC_Table[[#This Row],[BUCKET]],LEN(MCC_Table[[#This Row],[BUCKET]])-1))</f>
        <v>1</v>
      </c>
      <c r="AF259" s="29" t="str">
        <f>RIGHT(MCC_Table[[#This Row],[BUCKET]],1)</f>
        <v>L</v>
      </c>
      <c r="AG259" s="29">
        <f>VLOOKUP(MCC_Table[[#This Row],[START UNIT]],UnitMap[],2,FALSE)</f>
        <v>11</v>
      </c>
      <c r="AH259" s="29">
        <f t="array" ref="AH2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59" s="29">
        <f>IF(ISNUMBER(MCC_Table[[#This Row],[SIZE]]), MCC_Table[[#This Row],[SIZE]]/6, 0)</f>
        <v>2</v>
      </c>
      <c r="AJ259" s="29">
        <f>MCC_Table[[#This Row],[START INDEX]]+MCC_Table[[#This Row],[UNITS USED]]-1</f>
        <v>12</v>
      </c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</row>
    <row r="260" spans="1:57" ht="15.75" hidden="1" customHeight="1" thickTop="1" x14ac:dyDescent="0.25">
      <c r="A260" s="113" t="s">
        <v>2574</v>
      </c>
      <c r="B260" s="29" t="s">
        <v>2222</v>
      </c>
      <c r="C260" s="24" t="s">
        <v>2103</v>
      </c>
      <c r="D260" s="62" t="s">
        <v>2143</v>
      </c>
      <c r="E260" s="29" t="s">
        <v>2103</v>
      </c>
      <c r="F260" s="8"/>
      <c r="G260" s="8"/>
      <c r="H260" s="82"/>
      <c r="I260" s="8"/>
      <c r="J260" s="80">
        <f>IF(ISNUMBER(MCC_Table[[#This Row],[SIZE]]), MCC_Table[[#This Row],[SIZE]]/12, 0)</f>
        <v>1</v>
      </c>
      <c r="K260" s="82"/>
      <c r="L260" s="82"/>
      <c r="M260" s="82"/>
      <c r="N260" s="82"/>
      <c r="O260" s="77"/>
      <c r="P260" s="110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225"/>
      <c r="AC260" s="225"/>
      <c r="AD260" s="225"/>
      <c r="AE260" s="29">
        <f>_xlfn.NUMBERVALUE(LEFT(MCC_Table[[#This Row],[BUCKET]],LEN(MCC_Table[[#This Row],[BUCKET]])-1))</f>
        <v>2</v>
      </c>
      <c r="AF260" s="29" t="str">
        <f>RIGHT(MCC_Table[[#This Row],[BUCKET]],1)</f>
        <v>A</v>
      </c>
      <c r="AG260" s="29">
        <f>VLOOKUP(MCC_Table[[#This Row],[START UNIT]],UnitMap[],2,FALSE)</f>
        <v>1</v>
      </c>
      <c r="AH260" s="29">
        <f t="array" ref="AH2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60" s="29">
        <f>IF(ISNUMBER(MCC_Table[[#This Row],[SIZE]]), MCC_Table[[#This Row],[SIZE]]/6, 0)</f>
        <v>2</v>
      </c>
      <c r="AJ260" s="29">
        <f>MCC_Table[[#This Row],[START INDEX]]+MCC_Table[[#This Row],[UNITS USED]]-1</f>
        <v>2</v>
      </c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</row>
    <row r="261" spans="1:57" ht="15.75" hidden="1" customHeight="1" thickTop="1" x14ac:dyDescent="0.25">
      <c r="A261" s="113" t="s">
        <v>2574</v>
      </c>
      <c r="B261" s="29" t="s">
        <v>2096</v>
      </c>
      <c r="C261" s="24" t="s">
        <v>2081</v>
      </c>
      <c r="D261" s="62" t="s">
        <v>2082</v>
      </c>
      <c r="E261" s="24" t="s">
        <v>2083</v>
      </c>
      <c r="F261" s="8"/>
      <c r="G261" s="8"/>
      <c r="H261" s="81"/>
      <c r="I261" s="8"/>
      <c r="J261" s="80">
        <f>IF(ISNUMBER(MCC_Table[[#This Row],[SIZE]]), MCC_Table[[#This Row],[SIZE]]/12, 0)</f>
        <v>1.5</v>
      </c>
      <c r="K261" s="81" t="s">
        <v>1888</v>
      </c>
      <c r="L261" s="82" t="s">
        <v>1888</v>
      </c>
      <c r="M261" s="81">
        <v>0.75</v>
      </c>
      <c r="N261" s="81"/>
      <c r="O261" s="77"/>
      <c r="P261" s="110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225"/>
      <c r="AC261" s="225"/>
      <c r="AD261" s="225"/>
      <c r="AE261" s="29">
        <f>_xlfn.NUMBERVALUE(LEFT(MCC_Table[[#This Row],[BUCKET]],LEN(MCC_Table[[#This Row],[BUCKET]])-1))</f>
        <v>2</v>
      </c>
      <c r="AF261" s="29" t="str">
        <f>RIGHT(MCC_Table[[#This Row],[BUCKET]],1)</f>
        <v>C</v>
      </c>
      <c r="AG261" s="29">
        <f>VLOOKUP(MCC_Table[[#This Row],[START UNIT]],UnitMap[],2,FALSE)</f>
        <v>3</v>
      </c>
      <c r="AH261" s="29">
        <f t="array" ref="AH2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61" s="29">
        <f>IF(ISNUMBER(MCC_Table[[#This Row],[SIZE]]), MCC_Table[[#This Row],[SIZE]]/6, 0)</f>
        <v>3</v>
      </c>
      <c r="AJ261" s="29">
        <f>MCC_Table[[#This Row],[START INDEX]]+MCC_Table[[#This Row],[UNITS USED]]-1</f>
        <v>5</v>
      </c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</row>
    <row r="262" spans="1:57" ht="15.75" hidden="1" customHeight="1" thickTop="1" x14ac:dyDescent="0.25">
      <c r="A262" s="113" t="s">
        <v>2574</v>
      </c>
      <c r="B262" s="29" t="s">
        <v>2107</v>
      </c>
      <c r="C262" s="24" t="s">
        <v>2575</v>
      </c>
      <c r="D262" s="28" t="s">
        <v>2576</v>
      </c>
      <c r="E262" s="29" t="s">
        <v>2387</v>
      </c>
      <c r="F262" s="8">
        <v>30</v>
      </c>
      <c r="G262" s="8">
        <v>30</v>
      </c>
      <c r="H262" s="82"/>
      <c r="I262" s="8"/>
      <c r="J262" s="80">
        <f>IF(ISNUMBER(MCC_Table[[#This Row],[SIZE]]), MCC_Table[[#This Row],[SIZE]]/12, 0)</f>
        <v>3.5</v>
      </c>
      <c r="K262" s="82">
        <v>100</v>
      </c>
      <c r="L262" s="82">
        <v>125</v>
      </c>
      <c r="M262" s="82" t="s">
        <v>1888</v>
      </c>
      <c r="N262" s="82" t="s">
        <v>2284</v>
      </c>
      <c r="O262" s="77"/>
      <c r="P262" s="110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225"/>
      <c r="AC262" s="225"/>
      <c r="AD262" s="225"/>
      <c r="AE262" s="29">
        <f>_xlfn.NUMBERVALUE(LEFT(MCC_Table[[#This Row],[BUCKET]],LEN(MCC_Table[[#This Row],[BUCKET]])-1))</f>
        <v>2</v>
      </c>
      <c r="AF262" s="29" t="str">
        <f>RIGHT(MCC_Table[[#This Row],[BUCKET]],1)</f>
        <v>F</v>
      </c>
      <c r="AG262" s="29">
        <f>VLOOKUP(MCC_Table[[#This Row],[START UNIT]],UnitMap[],2,FALSE)</f>
        <v>6</v>
      </c>
      <c r="AH262" s="29">
        <f t="array" ref="AH2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62" s="29">
        <f>IF(ISNUMBER(MCC_Table[[#This Row],[SIZE]]), MCC_Table[[#This Row],[SIZE]]/6, 0)</f>
        <v>7</v>
      </c>
      <c r="AJ262" s="29">
        <f>MCC_Table[[#This Row],[START INDEX]]+MCC_Table[[#This Row],[UNITS USED]]-1</f>
        <v>12</v>
      </c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</row>
    <row r="263" spans="1:57" ht="15.75" hidden="1" customHeight="1" thickTop="1" x14ac:dyDescent="0.25">
      <c r="A263" s="113" t="s">
        <v>2574</v>
      </c>
      <c r="B263" s="29" t="s">
        <v>2113</v>
      </c>
      <c r="C263" s="24" t="s">
        <v>2577</v>
      </c>
      <c r="D263" s="28" t="s">
        <v>2578</v>
      </c>
      <c r="E263" s="29" t="s">
        <v>2387</v>
      </c>
      <c r="F263" s="8">
        <v>15</v>
      </c>
      <c r="G263" s="8">
        <v>15</v>
      </c>
      <c r="H263" s="82"/>
      <c r="I263" s="8"/>
      <c r="J263" s="80">
        <f>IF(ISNUMBER(MCC_Table[[#This Row],[SIZE]]), MCC_Table[[#This Row],[SIZE]]/12, 0)</f>
        <v>2.5</v>
      </c>
      <c r="K263" s="82">
        <v>60</v>
      </c>
      <c r="L263" s="82">
        <v>125</v>
      </c>
      <c r="M263" s="82">
        <v>40</v>
      </c>
      <c r="N263" s="82" t="s">
        <v>2198</v>
      </c>
      <c r="O263" s="77"/>
      <c r="P263" s="110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225"/>
      <c r="AC263" s="225"/>
      <c r="AD263" s="225"/>
      <c r="AE263" s="29">
        <f>_xlfn.NUMBERVALUE(LEFT(MCC_Table[[#This Row],[BUCKET]],LEN(MCC_Table[[#This Row],[BUCKET]])-1))</f>
        <v>3</v>
      </c>
      <c r="AF263" s="29" t="str">
        <f>RIGHT(MCC_Table[[#This Row],[BUCKET]],1)</f>
        <v>A</v>
      </c>
      <c r="AG263" s="29">
        <f>VLOOKUP(MCC_Table[[#This Row],[START UNIT]],UnitMap[],2,FALSE)</f>
        <v>1</v>
      </c>
      <c r="AH263" s="29">
        <f t="array" ref="AH2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63" s="29">
        <f>IF(ISNUMBER(MCC_Table[[#This Row],[SIZE]]), MCC_Table[[#This Row],[SIZE]]/6, 0)</f>
        <v>5</v>
      </c>
      <c r="AJ263" s="29">
        <f>MCC_Table[[#This Row],[START INDEX]]+MCC_Table[[#This Row],[UNITS USED]]-1</f>
        <v>5</v>
      </c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</row>
    <row r="264" spans="1:57" ht="15.75" hidden="1" customHeight="1" thickTop="1" x14ac:dyDescent="0.25">
      <c r="A264" s="113" t="s">
        <v>2574</v>
      </c>
      <c r="B264" s="29" t="s">
        <v>2579</v>
      </c>
      <c r="C264" s="24" t="s">
        <v>2580</v>
      </c>
      <c r="D264" s="28" t="s">
        <v>2581</v>
      </c>
      <c r="E264" s="29" t="s">
        <v>2387</v>
      </c>
      <c r="F264" s="8">
        <v>30</v>
      </c>
      <c r="G264" s="8">
        <v>30</v>
      </c>
      <c r="H264" s="82"/>
      <c r="I264" s="8"/>
      <c r="J264" s="80">
        <f>IF(ISNUMBER(MCC_Table[[#This Row],[SIZE]]), MCC_Table[[#This Row],[SIZE]]/12, 0)</f>
        <v>3.5</v>
      </c>
      <c r="K264" s="82">
        <v>100</v>
      </c>
      <c r="L264" s="82">
        <v>125</v>
      </c>
      <c r="M264" s="82" t="s">
        <v>1888</v>
      </c>
      <c r="N264" s="82" t="s">
        <v>2284</v>
      </c>
      <c r="O264" s="77"/>
      <c r="P264" s="110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225"/>
      <c r="AC264" s="225"/>
      <c r="AD264" s="225"/>
      <c r="AE264" s="29">
        <f>_xlfn.NUMBERVALUE(LEFT(MCC_Table[[#This Row],[BUCKET]],LEN(MCC_Table[[#This Row],[BUCKET]])-1))</f>
        <v>3</v>
      </c>
      <c r="AF264" s="29" t="str">
        <f>RIGHT(MCC_Table[[#This Row],[BUCKET]],1)</f>
        <v>F</v>
      </c>
      <c r="AG264" s="29">
        <f>VLOOKUP(MCC_Table[[#This Row],[START UNIT]],UnitMap[],2,FALSE)</f>
        <v>6</v>
      </c>
      <c r="AH264" s="29">
        <f t="array" ref="AH2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64" s="29">
        <f>IF(ISNUMBER(MCC_Table[[#This Row],[SIZE]]), MCC_Table[[#This Row],[SIZE]]/6, 0)</f>
        <v>7</v>
      </c>
      <c r="AJ264" s="29">
        <f>MCC_Table[[#This Row],[START INDEX]]+MCC_Table[[#This Row],[UNITS USED]]-1</f>
        <v>12</v>
      </c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</row>
    <row r="265" spans="1:57" ht="15.75" hidden="1" customHeight="1" thickTop="1" x14ac:dyDescent="0.25">
      <c r="A265" s="113" t="s">
        <v>2574</v>
      </c>
      <c r="B265" s="29" t="s">
        <v>2115</v>
      </c>
      <c r="C265" s="24" t="s">
        <v>2582</v>
      </c>
      <c r="D265" s="28" t="s">
        <v>2583</v>
      </c>
      <c r="E265" s="29" t="s">
        <v>2387</v>
      </c>
      <c r="F265" s="8">
        <v>15</v>
      </c>
      <c r="G265" s="8">
        <v>15</v>
      </c>
      <c r="H265" s="82"/>
      <c r="I265" s="8"/>
      <c r="J265" s="80">
        <f>IF(ISNUMBER(MCC_Table[[#This Row],[SIZE]]), MCC_Table[[#This Row],[SIZE]]/12, 0)</f>
        <v>2.5</v>
      </c>
      <c r="K265" s="82">
        <v>60</v>
      </c>
      <c r="L265" s="82">
        <v>125</v>
      </c>
      <c r="M265" s="82">
        <v>40</v>
      </c>
      <c r="N265" s="82" t="s">
        <v>2198</v>
      </c>
      <c r="O265" s="77"/>
      <c r="P265" s="110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225"/>
      <c r="AC265" s="225"/>
      <c r="AD265" s="225"/>
      <c r="AE265" s="29">
        <f>_xlfn.NUMBERVALUE(LEFT(MCC_Table[[#This Row],[BUCKET]],LEN(MCC_Table[[#This Row],[BUCKET]])-1))</f>
        <v>4</v>
      </c>
      <c r="AF265" s="29" t="str">
        <f>RIGHT(MCC_Table[[#This Row],[BUCKET]],1)</f>
        <v>A</v>
      </c>
      <c r="AG265" s="29">
        <f>VLOOKUP(MCC_Table[[#This Row],[START UNIT]],UnitMap[],2,FALSE)</f>
        <v>1</v>
      </c>
      <c r="AH265" s="29">
        <f t="array" ref="AH2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65" s="29">
        <f>IF(ISNUMBER(MCC_Table[[#This Row],[SIZE]]), MCC_Table[[#This Row],[SIZE]]/6, 0)</f>
        <v>5</v>
      </c>
      <c r="AJ265" s="29">
        <f>MCC_Table[[#This Row],[START INDEX]]+MCC_Table[[#This Row],[UNITS USED]]-1</f>
        <v>5</v>
      </c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</row>
    <row r="266" spans="1:57" ht="15.75" hidden="1" customHeight="1" thickTop="1" x14ac:dyDescent="0.25">
      <c r="A266" s="113" t="s">
        <v>2574</v>
      </c>
      <c r="B266" s="29" t="s">
        <v>2336</v>
      </c>
      <c r="C266" s="24" t="s">
        <v>2584</v>
      </c>
      <c r="D266" s="28" t="s">
        <v>2585</v>
      </c>
      <c r="E266" s="29" t="s">
        <v>2387</v>
      </c>
      <c r="F266" s="8">
        <v>30</v>
      </c>
      <c r="G266" s="8">
        <v>30</v>
      </c>
      <c r="H266" s="82"/>
      <c r="I266" s="8"/>
      <c r="J266" s="80">
        <f>IF(ISNUMBER(MCC_Table[[#This Row],[SIZE]]), MCC_Table[[#This Row],[SIZE]]/12, 0)</f>
        <v>3.5</v>
      </c>
      <c r="K266" s="82">
        <v>100</v>
      </c>
      <c r="L266" s="82">
        <v>125</v>
      </c>
      <c r="M266" s="82" t="s">
        <v>1888</v>
      </c>
      <c r="N266" s="82" t="s">
        <v>2284</v>
      </c>
      <c r="O266" s="77"/>
      <c r="P266" s="110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225"/>
      <c r="AC266" s="225"/>
      <c r="AD266" s="225"/>
      <c r="AE266" s="29">
        <f>_xlfn.NUMBERVALUE(LEFT(MCC_Table[[#This Row],[BUCKET]],LEN(MCC_Table[[#This Row],[BUCKET]])-1))</f>
        <v>4</v>
      </c>
      <c r="AF266" s="29" t="str">
        <f>RIGHT(MCC_Table[[#This Row],[BUCKET]],1)</f>
        <v>F</v>
      </c>
      <c r="AG266" s="29">
        <f>VLOOKUP(MCC_Table[[#This Row],[START UNIT]],UnitMap[],2,FALSE)</f>
        <v>6</v>
      </c>
      <c r="AH266" s="29">
        <f t="array" ref="AH2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66" s="29">
        <f>IF(ISNUMBER(MCC_Table[[#This Row],[SIZE]]), MCC_Table[[#This Row],[SIZE]]/6, 0)</f>
        <v>7</v>
      </c>
      <c r="AJ266" s="29">
        <f>MCC_Table[[#This Row],[START INDEX]]+MCC_Table[[#This Row],[UNITS USED]]-1</f>
        <v>12</v>
      </c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</row>
    <row r="267" spans="1:57" ht="15.75" hidden="1" customHeight="1" thickTop="1" x14ac:dyDescent="0.25">
      <c r="A267" s="113" t="s">
        <v>2574</v>
      </c>
      <c r="B267" s="29" t="s">
        <v>2118</v>
      </c>
      <c r="C267" s="24" t="s">
        <v>2586</v>
      </c>
      <c r="D267" s="62" t="s">
        <v>2224</v>
      </c>
      <c r="E267" s="24" t="s">
        <v>2225</v>
      </c>
      <c r="F267" s="8"/>
      <c r="G267" s="8"/>
      <c r="H267" s="87"/>
      <c r="I267" s="8"/>
      <c r="J267" s="80">
        <f>IF(ISNUMBER(MCC_Table[[#This Row],[SIZE]]), MCC_Table[[#This Row],[SIZE]]/12, 0)</f>
        <v>1</v>
      </c>
      <c r="K267" s="87"/>
      <c r="L267" s="82"/>
      <c r="M267" s="87"/>
      <c r="N267" s="87"/>
      <c r="O267" s="77"/>
      <c r="P267" s="105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225"/>
      <c r="AC267" s="225"/>
      <c r="AD267" s="225"/>
      <c r="AE267" s="29">
        <f>_xlfn.NUMBERVALUE(LEFT(MCC_Table[[#This Row],[BUCKET]],LEN(MCC_Table[[#This Row],[BUCKET]])-1))</f>
        <v>5</v>
      </c>
      <c r="AF267" s="29" t="str">
        <f>RIGHT(MCC_Table[[#This Row],[BUCKET]],1)</f>
        <v>A</v>
      </c>
      <c r="AG267" s="29">
        <f>VLOOKUP(MCC_Table[[#This Row],[START UNIT]],UnitMap[],2,FALSE)</f>
        <v>1</v>
      </c>
      <c r="AH267" s="29">
        <f t="array" ref="AH2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67" s="29">
        <f>IF(ISNUMBER(MCC_Table[[#This Row],[SIZE]]), MCC_Table[[#This Row],[SIZE]]/6, 0)</f>
        <v>2</v>
      </c>
      <c r="AJ267" s="29">
        <f>MCC_Table[[#This Row],[START INDEX]]+MCC_Table[[#This Row],[UNITS USED]]-1</f>
        <v>2</v>
      </c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</row>
    <row r="268" spans="1:57" ht="15.75" hidden="1" customHeight="1" thickTop="1" x14ac:dyDescent="0.25">
      <c r="A268" s="113" t="s">
        <v>2574</v>
      </c>
      <c r="B268" s="29" t="s">
        <v>2340</v>
      </c>
      <c r="C268" s="24" t="s">
        <v>2103</v>
      </c>
      <c r="D268" s="62" t="s">
        <v>2143</v>
      </c>
      <c r="E268" s="29" t="s">
        <v>2103</v>
      </c>
      <c r="F268" s="8"/>
      <c r="G268" s="8"/>
      <c r="H268" s="82"/>
      <c r="I268" s="8"/>
      <c r="J268" s="80">
        <f>IF(ISNUMBER(MCC_Table[[#This Row],[SIZE]]), MCC_Table[[#This Row],[SIZE]]/12, 0)</f>
        <v>1</v>
      </c>
      <c r="K268" s="82"/>
      <c r="L268" s="82"/>
      <c r="M268" s="82"/>
      <c r="N268" s="82"/>
      <c r="O268" s="77"/>
      <c r="P268" s="110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225"/>
      <c r="AC268" s="225"/>
      <c r="AD268" s="225"/>
      <c r="AE268" s="29">
        <f>_xlfn.NUMBERVALUE(LEFT(MCC_Table[[#This Row],[BUCKET]],LEN(MCC_Table[[#This Row],[BUCKET]])-1))</f>
        <v>5</v>
      </c>
      <c r="AF268" s="29" t="str">
        <f>RIGHT(MCC_Table[[#This Row],[BUCKET]],1)</f>
        <v>C</v>
      </c>
      <c r="AG268" s="29">
        <f>VLOOKUP(MCC_Table[[#This Row],[START UNIT]],UnitMap[],2,FALSE)</f>
        <v>3</v>
      </c>
      <c r="AH268" s="29">
        <f t="array" ref="AH2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68" s="29">
        <f>IF(ISNUMBER(MCC_Table[[#This Row],[SIZE]]), MCC_Table[[#This Row],[SIZE]]/6, 0)</f>
        <v>2</v>
      </c>
      <c r="AJ268" s="29">
        <f>MCC_Table[[#This Row],[START INDEX]]+MCC_Table[[#This Row],[UNITS USED]]-1</f>
        <v>4</v>
      </c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</row>
    <row r="269" spans="1:57" ht="15.75" hidden="1" customHeight="1" thickTop="1" x14ac:dyDescent="0.25">
      <c r="A269" s="113" t="s">
        <v>2574</v>
      </c>
      <c r="B269" s="29" t="s">
        <v>2404</v>
      </c>
      <c r="C269" s="24" t="s">
        <v>2103</v>
      </c>
      <c r="D269" s="62" t="s">
        <v>2143</v>
      </c>
      <c r="E269" s="29" t="s">
        <v>2103</v>
      </c>
      <c r="F269" s="8"/>
      <c r="G269" s="8"/>
      <c r="H269" s="82"/>
      <c r="I269" s="8"/>
      <c r="J269" s="80">
        <f>IF(ISNUMBER(MCC_Table[[#This Row],[SIZE]]), MCC_Table[[#This Row],[SIZE]]/12, 0)</f>
        <v>1</v>
      </c>
      <c r="K269" s="82"/>
      <c r="L269" s="82"/>
      <c r="M269" s="82"/>
      <c r="N269" s="82"/>
      <c r="O269" s="77"/>
      <c r="P269" s="110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225"/>
      <c r="AC269" s="225"/>
      <c r="AD269" s="225"/>
      <c r="AE269" s="29">
        <f>_xlfn.NUMBERVALUE(LEFT(MCC_Table[[#This Row],[BUCKET]],LEN(MCC_Table[[#This Row],[BUCKET]])-1))</f>
        <v>5</v>
      </c>
      <c r="AF269" s="29" t="str">
        <f>RIGHT(MCC_Table[[#This Row],[BUCKET]],1)</f>
        <v>E</v>
      </c>
      <c r="AG269" s="29">
        <f>VLOOKUP(MCC_Table[[#This Row],[START UNIT]],UnitMap[],2,FALSE)</f>
        <v>5</v>
      </c>
      <c r="AH269" s="29">
        <f t="array" ref="AH2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69" s="29">
        <f>IF(ISNUMBER(MCC_Table[[#This Row],[SIZE]]), MCC_Table[[#This Row],[SIZE]]/6, 0)</f>
        <v>2</v>
      </c>
      <c r="AJ269" s="29">
        <f>MCC_Table[[#This Row],[START INDEX]]+MCC_Table[[#This Row],[UNITS USED]]-1</f>
        <v>6</v>
      </c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</row>
    <row r="270" spans="1:57" ht="15.75" hidden="1" customHeight="1" thickTop="1" x14ac:dyDescent="0.25">
      <c r="A270" s="113" t="s">
        <v>2574</v>
      </c>
      <c r="B270" s="29" t="s">
        <v>2514</v>
      </c>
      <c r="C270" s="24" t="s">
        <v>2103</v>
      </c>
      <c r="D270" s="62" t="s">
        <v>2143</v>
      </c>
      <c r="E270" s="29" t="s">
        <v>2103</v>
      </c>
      <c r="F270" s="8"/>
      <c r="G270" s="8"/>
      <c r="H270" s="82"/>
      <c r="I270" s="8"/>
      <c r="J270" s="80">
        <f>IF(ISNUMBER(MCC_Table[[#This Row],[SIZE]]), MCC_Table[[#This Row],[SIZE]]/12, 0)</f>
        <v>1</v>
      </c>
      <c r="K270" s="82"/>
      <c r="L270" s="82"/>
      <c r="M270" s="82"/>
      <c r="N270" s="82"/>
      <c r="O270" s="77"/>
      <c r="P270" s="110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225"/>
      <c r="AC270" s="225"/>
      <c r="AD270" s="225"/>
      <c r="AE270" s="29">
        <f>_xlfn.NUMBERVALUE(LEFT(MCC_Table[[#This Row],[BUCKET]],LEN(MCC_Table[[#This Row],[BUCKET]])-1))</f>
        <v>5</v>
      </c>
      <c r="AF270" s="29" t="str">
        <f>RIGHT(MCC_Table[[#This Row],[BUCKET]],1)</f>
        <v>G</v>
      </c>
      <c r="AG270" s="29">
        <f>VLOOKUP(MCC_Table[[#This Row],[START UNIT]],UnitMap[],2,FALSE)</f>
        <v>7</v>
      </c>
      <c r="AH270" s="29">
        <f t="array" ref="AH2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70" s="29">
        <f>IF(ISNUMBER(MCC_Table[[#This Row],[SIZE]]), MCC_Table[[#This Row],[SIZE]]/6, 0)</f>
        <v>2</v>
      </c>
      <c r="AJ270" s="29">
        <f>MCC_Table[[#This Row],[START INDEX]]+MCC_Table[[#This Row],[UNITS USED]]-1</f>
        <v>8</v>
      </c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</row>
    <row r="271" spans="1:57" ht="15.75" hidden="1" customHeight="1" thickTop="1" x14ac:dyDescent="0.25">
      <c r="A271" s="113" t="s">
        <v>2574</v>
      </c>
      <c r="B271" s="29" t="s">
        <v>2407</v>
      </c>
      <c r="C271" s="24" t="s">
        <v>2103</v>
      </c>
      <c r="D271" s="62" t="s">
        <v>2143</v>
      </c>
      <c r="E271" s="29" t="s">
        <v>2103</v>
      </c>
      <c r="F271" s="8"/>
      <c r="G271" s="8"/>
      <c r="H271" s="82"/>
      <c r="I271" s="8"/>
      <c r="J271" s="80">
        <f>IF(ISNUMBER(MCC_Table[[#This Row],[SIZE]]), MCC_Table[[#This Row],[SIZE]]/12, 0)</f>
        <v>1</v>
      </c>
      <c r="K271" s="82"/>
      <c r="L271" s="82"/>
      <c r="M271" s="82"/>
      <c r="N271" s="82"/>
      <c r="O271" s="77"/>
      <c r="P271" s="110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225"/>
      <c r="AC271" s="225"/>
      <c r="AD271" s="225"/>
      <c r="AE271" s="29">
        <f>_xlfn.NUMBERVALUE(LEFT(MCC_Table[[#This Row],[BUCKET]],LEN(MCC_Table[[#This Row],[BUCKET]])-1))</f>
        <v>5</v>
      </c>
      <c r="AF271" s="29" t="str">
        <f>RIGHT(MCC_Table[[#This Row],[BUCKET]],1)</f>
        <v>J</v>
      </c>
      <c r="AG271" s="29">
        <f>VLOOKUP(MCC_Table[[#This Row],[START UNIT]],UnitMap[],2,FALSE)</f>
        <v>9</v>
      </c>
      <c r="AH271" s="29">
        <f t="array" ref="AH2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71" s="29">
        <f>IF(ISNUMBER(MCC_Table[[#This Row],[SIZE]]), MCC_Table[[#This Row],[SIZE]]/6, 0)</f>
        <v>2</v>
      </c>
      <c r="AJ271" s="29">
        <f>MCC_Table[[#This Row],[START INDEX]]+MCC_Table[[#This Row],[UNITS USED]]-1</f>
        <v>10</v>
      </c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</row>
    <row r="272" spans="1:57" ht="15.75" hidden="1" customHeight="1" thickTop="1" x14ac:dyDescent="0.25">
      <c r="A272" s="113" t="s">
        <v>2574</v>
      </c>
      <c r="B272" s="29" t="s">
        <v>2587</v>
      </c>
      <c r="C272" s="24" t="s">
        <v>2588</v>
      </c>
      <c r="D272" s="62" t="s">
        <v>2098</v>
      </c>
      <c r="E272" s="24" t="s">
        <v>2099</v>
      </c>
      <c r="F272" s="8"/>
      <c r="G272" s="8"/>
      <c r="H272" s="82"/>
      <c r="I272" s="8"/>
      <c r="J272" s="80">
        <f>IF(ISNUMBER(MCC_Table[[#This Row],[SIZE]]), MCC_Table[[#This Row],[SIZE]]/12, 0)</f>
        <v>1</v>
      </c>
      <c r="K272" s="82"/>
      <c r="L272" s="82"/>
      <c r="M272" s="82"/>
      <c r="N272" s="82"/>
      <c r="O272" s="77"/>
      <c r="P272" s="78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225"/>
      <c r="AC272" s="225"/>
      <c r="AD272" s="225"/>
      <c r="AE272" s="29">
        <f>_xlfn.NUMBERVALUE(LEFT(MCC_Table[[#This Row],[BUCKET]],LEN(MCC_Table[[#This Row],[BUCKET]])-1))</f>
        <v>5</v>
      </c>
      <c r="AF272" s="29" t="str">
        <f>RIGHT(MCC_Table[[#This Row],[BUCKET]],1)</f>
        <v>L</v>
      </c>
      <c r="AG272" s="29">
        <f>VLOOKUP(MCC_Table[[#This Row],[START UNIT]],UnitMap[],2,FALSE)</f>
        <v>11</v>
      </c>
      <c r="AH272" s="29">
        <f t="array" ref="AH2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72" s="29">
        <f>IF(ISNUMBER(MCC_Table[[#This Row],[SIZE]]), MCC_Table[[#This Row],[SIZE]]/6, 0)</f>
        <v>2</v>
      </c>
      <c r="AJ272" s="29">
        <f>MCC_Table[[#This Row],[START INDEX]]+MCC_Table[[#This Row],[UNITS USED]]-1</f>
        <v>12</v>
      </c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</row>
    <row r="273" spans="1:57" ht="15.75" hidden="1" customHeight="1" thickTop="1" x14ac:dyDescent="0.25">
      <c r="A273" s="113" t="s">
        <v>2574</v>
      </c>
      <c r="B273" s="29" t="s">
        <v>2121</v>
      </c>
      <c r="C273" s="24" t="s">
        <v>2589</v>
      </c>
      <c r="D273" s="28" t="s">
        <v>2590</v>
      </c>
      <c r="E273" s="29" t="s">
        <v>2387</v>
      </c>
      <c r="F273" s="8">
        <v>15</v>
      </c>
      <c r="G273" s="8">
        <v>15</v>
      </c>
      <c r="H273" s="82"/>
      <c r="I273" s="8"/>
      <c r="J273" s="80">
        <f>IF(ISNUMBER(MCC_Table[[#This Row],[SIZE]]), MCC_Table[[#This Row],[SIZE]]/12, 0)</f>
        <v>2.5</v>
      </c>
      <c r="K273" s="82">
        <v>60</v>
      </c>
      <c r="L273" s="82">
        <v>125</v>
      </c>
      <c r="M273" s="82">
        <v>40</v>
      </c>
      <c r="N273" s="82" t="s">
        <v>2198</v>
      </c>
      <c r="O273" s="77"/>
      <c r="P273" s="110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225"/>
      <c r="AC273" s="225"/>
      <c r="AD273" s="225"/>
      <c r="AE273" s="29">
        <f>_xlfn.NUMBERVALUE(LEFT(MCC_Table[[#This Row],[BUCKET]],LEN(MCC_Table[[#This Row],[BUCKET]])-1))</f>
        <v>6</v>
      </c>
      <c r="AF273" s="29" t="str">
        <f>RIGHT(MCC_Table[[#This Row],[BUCKET]],1)</f>
        <v>A</v>
      </c>
      <c r="AG273" s="29">
        <f>VLOOKUP(MCC_Table[[#This Row],[START UNIT]],UnitMap[],2,FALSE)</f>
        <v>1</v>
      </c>
      <c r="AH273" s="29">
        <f t="array" ref="AH2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73" s="29">
        <f>IF(ISNUMBER(MCC_Table[[#This Row],[SIZE]]), MCC_Table[[#This Row],[SIZE]]/6, 0)</f>
        <v>5</v>
      </c>
      <c r="AJ273" s="29">
        <f>MCC_Table[[#This Row],[START INDEX]]+MCC_Table[[#This Row],[UNITS USED]]-1</f>
        <v>5</v>
      </c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</row>
    <row r="274" spans="1:57" ht="15.75" hidden="1" customHeight="1" thickTop="1" x14ac:dyDescent="0.25">
      <c r="A274" s="113" t="s">
        <v>2574</v>
      </c>
      <c r="B274" s="29" t="s">
        <v>2591</v>
      </c>
      <c r="C274" s="24" t="s">
        <v>2592</v>
      </c>
      <c r="D274" s="28" t="s">
        <v>2593</v>
      </c>
      <c r="E274" s="29" t="s">
        <v>2387</v>
      </c>
      <c r="F274" s="8">
        <v>30</v>
      </c>
      <c r="G274" s="8">
        <v>30</v>
      </c>
      <c r="H274" s="82"/>
      <c r="I274" s="8"/>
      <c r="J274" s="80">
        <f>IF(ISNUMBER(MCC_Table[[#This Row],[SIZE]]), MCC_Table[[#This Row],[SIZE]]/12, 0)</f>
        <v>3.5</v>
      </c>
      <c r="K274" s="82">
        <v>100</v>
      </c>
      <c r="L274" s="82">
        <v>125</v>
      </c>
      <c r="M274" s="82" t="s">
        <v>1888</v>
      </c>
      <c r="N274" s="82" t="s">
        <v>2284</v>
      </c>
      <c r="O274" s="77"/>
      <c r="P274" s="110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225"/>
      <c r="AC274" s="225"/>
      <c r="AD274" s="225"/>
      <c r="AE274" s="29">
        <f>_xlfn.NUMBERVALUE(LEFT(MCC_Table[[#This Row],[BUCKET]],LEN(MCC_Table[[#This Row],[BUCKET]])-1))</f>
        <v>6</v>
      </c>
      <c r="AF274" s="29" t="str">
        <f>RIGHT(MCC_Table[[#This Row],[BUCKET]],1)</f>
        <v>F</v>
      </c>
      <c r="AG274" s="29">
        <f>VLOOKUP(MCC_Table[[#This Row],[START UNIT]],UnitMap[],2,FALSE)</f>
        <v>6</v>
      </c>
      <c r="AH274" s="29">
        <f t="array" ref="AH2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74" s="29">
        <f>IF(ISNUMBER(MCC_Table[[#This Row],[SIZE]]), MCC_Table[[#This Row],[SIZE]]/6, 0)</f>
        <v>7</v>
      </c>
      <c r="AJ274" s="29">
        <f>MCC_Table[[#This Row],[START INDEX]]+MCC_Table[[#This Row],[UNITS USED]]-1</f>
        <v>12</v>
      </c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</row>
    <row r="275" spans="1:57" ht="15.75" hidden="1" customHeight="1" thickTop="1" x14ac:dyDescent="0.25">
      <c r="A275" s="113" t="s">
        <v>2574</v>
      </c>
      <c r="B275" s="29" t="s">
        <v>2131</v>
      </c>
      <c r="C275" s="24" t="s">
        <v>2594</v>
      </c>
      <c r="D275" s="28" t="s">
        <v>2595</v>
      </c>
      <c r="E275" s="29" t="s">
        <v>2387</v>
      </c>
      <c r="F275" s="8">
        <v>15</v>
      </c>
      <c r="G275" s="8">
        <v>15</v>
      </c>
      <c r="H275" s="82"/>
      <c r="I275" s="8"/>
      <c r="J275" s="80">
        <f>IF(ISNUMBER(MCC_Table[[#This Row],[SIZE]]), MCC_Table[[#This Row],[SIZE]]/12, 0)</f>
        <v>2.5</v>
      </c>
      <c r="K275" s="82">
        <v>60</v>
      </c>
      <c r="L275" s="82">
        <v>125</v>
      </c>
      <c r="M275" s="82">
        <v>40</v>
      </c>
      <c r="N275" s="82" t="s">
        <v>2198</v>
      </c>
      <c r="O275" s="77"/>
      <c r="P275" s="110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225"/>
      <c r="AC275" s="225"/>
      <c r="AD275" s="225"/>
      <c r="AE275" s="29">
        <f>_xlfn.NUMBERVALUE(LEFT(MCC_Table[[#This Row],[BUCKET]],LEN(MCC_Table[[#This Row],[BUCKET]])-1))</f>
        <v>7</v>
      </c>
      <c r="AF275" s="29" t="str">
        <f>RIGHT(MCC_Table[[#This Row],[BUCKET]],1)</f>
        <v>A</v>
      </c>
      <c r="AG275" s="29">
        <f>VLOOKUP(MCC_Table[[#This Row],[START UNIT]],UnitMap[],2,FALSE)</f>
        <v>1</v>
      </c>
      <c r="AH275" s="29">
        <f t="array" ref="AH2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275" s="29">
        <f>IF(ISNUMBER(MCC_Table[[#This Row],[SIZE]]), MCC_Table[[#This Row],[SIZE]]/6, 0)</f>
        <v>5</v>
      </c>
      <c r="AJ275" s="29">
        <f>MCC_Table[[#This Row],[START INDEX]]+MCC_Table[[#This Row],[UNITS USED]]-1</f>
        <v>5</v>
      </c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</row>
    <row r="276" spans="1:57" ht="15.75" hidden="1" customHeight="1" thickTop="1" x14ac:dyDescent="0.25">
      <c r="A276" s="113" t="s">
        <v>2574</v>
      </c>
      <c r="B276" s="29" t="s">
        <v>2353</v>
      </c>
      <c r="C276" s="24" t="s">
        <v>2596</v>
      </c>
      <c r="D276" s="28" t="s">
        <v>2597</v>
      </c>
      <c r="E276" s="29" t="s">
        <v>2387</v>
      </c>
      <c r="F276" s="8">
        <v>30</v>
      </c>
      <c r="G276" s="8">
        <v>30</v>
      </c>
      <c r="H276" s="82"/>
      <c r="I276" s="8"/>
      <c r="J276" s="80">
        <f>IF(ISNUMBER(MCC_Table[[#This Row],[SIZE]]), MCC_Table[[#This Row],[SIZE]]/12, 0)</f>
        <v>3.5</v>
      </c>
      <c r="K276" s="82">
        <v>100</v>
      </c>
      <c r="L276" s="82">
        <v>125</v>
      </c>
      <c r="M276" s="82" t="s">
        <v>1888</v>
      </c>
      <c r="N276" s="82" t="s">
        <v>2284</v>
      </c>
      <c r="O276" s="77"/>
      <c r="P276" s="110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225"/>
      <c r="AC276" s="225"/>
      <c r="AD276" s="225"/>
      <c r="AE276" s="29">
        <f>_xlfn.NUMBERVALUE(LEFT(MCC_Table[[#This Row],[BUCKET]],LEN(MCC_Table[[#This Row],[BUCKET]])-1))</f>
        <v>7</v>
      </c>
      <c r="AF276" s="29" t="str">
        <f>RIGHT(MCC_Table[[#This Row],[BUCKET]],1)</f>
        <v>F</v>
      </c>
      <c r="AG276" s="29">
        <f>VLOOKUP(MCC_Table[[#This Row],[START UNIT]],UnitMap[],2,FALSE)</f>
        <v>6</v>
      </c>
      <c r="AH276" s="29">
        <f t="array" ref="AH2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76" s="29">
        <f>IF(ISNUMBER(MCC_Table[[#This Row],[SIZE]]), MCC_Table[[#This Row],[SIZE]]/6, 0)</f>
        <v>7</v>
      </c>
      <c r="AJ276" s="29">
        <f>MCC_Table[[#This Row],[START INDEX]]+MCC_Table[[#This Row],[UNITS USED]]-1</f>
        <v>12</v>
      </c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</row>
    <row r="277" spans="1:57" ht="15.75" hidden="1" customHeight="1" thickTop="1" x14ac:dyDescent="0.25">
      <c r="A277" s="113" t="s">
        <v>2574</v>
      </c>
      <c r="B277" s="29" t="s">
        <v>2139</v>
      </c>
      <c r="C277" s="24" t="s">
        <v>2103</v>
      </c>
      <c r="D277" s="62" t="s">
        <v>2104</v>
      </c>
      <c r="E277" s="29" t="s">
        <v>2103</v>
      </c>
      <c r="F277" s="8"/>
      <c r="G277" s="8"/>
      <c r="H277" s="82"/>
      <c r="I277" s="8"/>
      <c r="J277" s="80">
        <f>IF(ISNUMBER(MCC_Table[[#This Row],[SIZE]]), MCC_Table[[#This Row],[SIZE]]/12, 0)</f>
        <v>0.5</v>
      </c>
      <c r="K277" s="82"/>
      <c r="L277" s="82"/>
      <c r="M277" s="82"/>
      <c r="N277" s="82"/>
      <c r="O277" s="77"/>
      <c r="P277" s="110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225"/>
      <c r="AC277" s="225"/>
      <c r="AD277" s="225"/>
      <c r="AE277" s="29">
        <f>_xlfn.NUMBERVALUE(LEFT(MCC_Table[[#This Row],[BUCKET]],LEN(MCC_Table[[#This Row],[BUCKET]])-1))</f>
        <v>8</v>
      </c>
      <c r="AF277" s="29" t="str">
        <f>RIGHT(MCC_Table[[#This Row],[BUCKET]],1)</f>
        <v>A</v>
      </c>
      <c r="AG277" s="29">
        <f>VLOOKUP(MCC_Table[[#This Row],[START UNIT]],UnitMap[],2,FALSE)</f>
        <v>1</v>
      </c>
      <c r="AH277" s="29">
        <f t="array" ref="AH2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77" s="29">
        <f>IF(ISNUMBER(MCC_Table[[#This Row],[SIZE]]), MCC_Table[[#This Row],[SIZE]]/6, 0)</f>
        <v>1</v>
      </c>
      <c r="AJ277" s="29">
        <f>MCC_Table[[#This Row],[START INDEX]]+MCC_Table[[#This Row],[UNITS USED]]-1</f>
        <v>1</v>
      </c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</row>
    <row r="278" spans="1:57" ht="15.75" hidden="1" customHeight="1" thickTop="1" x14ac:dyDescent="0.25">
      <c r="A278" s="113" t="s">
        <v>2574</v>
      </c>
      <c r="B278" s="8" t="s">
        <v>2598</v>
      </c>
      <c r="C278" s="24" t="s">
        <v>1933</v>
      </c>
      <c r="D278" s="28" t="s">
        <v>2110</v>
      </c>
      <c r="E278" s="29" t="s">
        <v>2387</v>
      </c>
      <c r="F278" s="29"/>
      <c r="G278" s="8">
        <v>10</v>
      </c>
      <c r="H278" s="82"/>
      <c r="I278" s="8"/>
      <c r="J278" s="83">
        <f>IF(ISNUMBER(MCC_Table[[#This Row],[SIZE]]), MCC_Table[[#This Row],[SIZE]]/12, 0)</f>
        <v>2</v>
      </c>
      <c r="K278" s="82">
        <v>30</v>
      </c>
      <c r="L278" s="82">
        <v>125</v>
      </c>
      <c r="M278" s="82">
        <v>25</v>
      </c>
      <c r="N278" s="82"/>
      <c r="O278" s="77"/>
      <c r="P278" s="85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225"/>
      <c r="AC278" s="225"/>
      <c r="AD278" s="225"/>
      <c r="AE278" s="8">
        <f>_xlfn.NUMBERVALUE(LEFT(MCC_Table[[#This Row],[BUCKET]],LEN(MCC_Table[[#This Row],[BUCKET]])-1))</f>
        <v>8</v>
      </c>
      <c r="AF278" s="8" t="str">
        <f>RIGHT(MCC_Table[[#This Row],[BUCKET]],1)</f>
        <v>B</v>
      </c>
      <c r="AG278" s="8">
        <f>VLOOKUP(MCC_Table[[#This Row],[START UNIT]],UnitMap[],2,FALSE)</f>
        <v>2</v>
      </c>
      <c r="AH278" s="8">
        <f t="array" ref="AH2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78" s="8">
        <f>IF(ISNUMBER(MCC_Table[[#This Row],[SIZE]]), MCC_Table[[#This Row],[SIZE]]/6, 0)</f>
        <v>4</v>
      </c>
      <c r="AJ278" s="8">
        <f>MCC_Table[[#This Row],[START INDEX]]+MCC_Table[[#This Row],[UNITS USED]]-1</f>
        <v>5</v>
      </c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</row>
    <row r="279" spans="1:57" ht="15.75" hidden="1" customHeight="1" thickTop="1" x14ac:dyDescent="0.25">
      <c r="A279" s="113" t="s">
        <v>2574</v>
      </c>
      <c r="B279" s="29" t="s">
        <v>2142</v>
      </c>
      <c r="C279" s="24" t="s">
        <v>2599</v>
      </c>
      <c r="D279" s="28" t="s">
        <v>2600</v>
      </c>
      <c r="E279" s="29" t="s">
        <v>2387</v>
      </c>
      <c r="F279" s="8">
        <v>30</v>
      </c>
      <c r="G279" s="8">
        <v>30</v>
      </c>
      <c r="H279" s="82"/>
      <c r="I279" s="8"/>
      <c r="J279" s="80">
        <f>IF(ISNUMBER(MCC_Table[[#This Row],[SIZE]]), MCC_Table[[#This Row],[SIZE]]/12, 0)</f>
        <v>3.5</v>
      </c>
      <c r="K279" s="82">
        <v>100</v>
      </c>
      <c r="L279" s="82">
        <v>125</v>
      </c>
      <c r="M279" s="82" t="s">
        <v>1888</v>
      </c>
      <c r="N279" s="82" t="s">
        <v>2284</v>
      </c>
      <c r="O279" s="77"/>
      <c r="P279" s="110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225"/>
      <c r="AC279" s="225"/>
      <c r="AD279" s="225"/>
      <c r="AE279" s="29">
        <f>_xlfn.NUMBERVALUE(LEFT(MCC_Table[[#This Row],[BUCKET]],LEN(MCC_Table[[#This Row],[BUCKET]])-1))</f>
        <v>8</v>
      </c>
      <c r="AF279" s="29" t="str">
        <f>RIGHT(MCC_Table[[#This Row],[BUCKET]],1)</f>
        <v>F</v>
      </c>
      <c r="AG279" s="29">
        <f>VLOOKUP(MCC_Table[[#This Row],[START UNIT]],UnitMap[],2,FALSE)</f>
        <v>6</v>
      </c>
      <c r="AH279" s="29">
        <f t="array" ref="AH2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79" s="29">
        <f>IF(ISNUMBER(MCC_Table[[#This Row],[SIZE]]), MCC_Table[[#This Row],[SIZE]]/6, 0)</f>
        <v>7</v>
      </c>
      <c r="AJ279" s="29">
        <f>MCC_Table[[#This Row],[START INDEX]]+MCC_Table[[#This Row],[UNITS USED]]-1</f>
        <v>12</v>
      </c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</row>
    <row r="280" spans="1:57" ht="15.75" hidden="1" customHeight="1" thickTop="1" x14ac:dyDescent="0.25">
      <c r="A280" s="113" t="s">
        <v>2574</v>
      </c>
      <c r="B280" s="29" t="s">
        <v>2147</v>
      </c>
      <c r="C280" s="24" t="s">
        <v>2103</v>
      </c>
      <c r="D280" s="62" t="s">
        <v>2104</v>
      </c>
      <c r="E280" s="29" t="s">
        <v>2103</v>
      </c>
      <c r="F280" s="8"/>
      <c r="G280" s="8"/>
      <c r="H280" s="82"/>
      <c r="I280" s="8"/>
      <c r="J280" s="80">
        <f>IF(ISNUMBER(MCC_Table[[#This Row],[SIZE]]), MCC_Table[[#This Row],[SIZE]]/12, 0)</f>
        <v>0.5</v>
      </c>
      <c r="K280" s="82"/>
      <c r="L280" s="82"/>
      <c r="M280" s="82"/>
      <c r="N280" s="82"/>
      <c r="O280" s="77"/>
      <c r="P280" s="110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225"/>
      <c r="AC280" s="225"/>
      <c r="AD280" s="225"/>
      <c r="AE280" s="29">
        <f>_xlfn.NUMBERVALUE(LEFT(MCC_Table[[#This Row],[BUCKET]],LEN(MCC_Table[[#This Row],[BUCKET]])-1))</f>
        <v>9</v>
      </c>
      <c r="AF280" s="29" t="str">
        <f>RIGHT(MCC_Table[[#This Row],[BUCKET]],1)</f>
        <v>A</v>
      </c>
      <c r="AG280" s="29">
        <f>VLOOKUP(MCC_Table[[#This Row],[START UNIT]],UnitMap[],2,FALSE)</f>
        <v>1</v>
      </c>
      <c r="AH280" s="29">
        <f t="array" ref="AH2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80" s="29">
        <f>IF(ISNUMBER(MCC_Table[[#This Row],[SIZE]]), MCC_Table[[#This Row],[SIZE]]/6, 0)</f>
        <v>1</v>
      </c>
      <c r="AJ280" s="29">
        <f>MCC_Table[[#This Row],[START INDEX]]+MCC_Table[[#This Row],[UNITS USED]]-1</f>
        <v>1</v>
      </c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</row>
    <row r="281" spans="1:57" ht="15.75" hidden="1" customHeight="1" thickTop="1" x14ac:dyDescent="0.25">
      <c r="A281" s="113" t="s">
        <v>2574</v>
      </c>
      <c r="B281" s="29" t="s">
        <v>2601</v>
      </c>
      <c r="C281" s="24" t="s">
        <v>2602</v>
      </c>
      <c r="D281" s="28" t="s">
        <v>2603</v>
      </c>
      <c r="E281" s="29" t="s">
        <v>2387</v>
      </c>
      <c r="F281" s="8">
        <v>7.5</v>
      </c>
      <c r="G281" s="8">
        <v>7.5</v>
      </c>
      <c r="H281" s="82"/>
      <c r="I281" s="8"/>
      <c r="J281" s="80">
        <f>IF(ISNUMBER(MCC_Table[[#This Row],[SIZE]]), MCC_Table[[#This Row],[SIZE]]/12, 0)</f>
        <v>2</v>
      </c>
      <c r="K281" s="82">
        <v>30</v>
      </c>
      <c r="L281" s="82">
        <v>125</v>
      </c>
      <c r="M281" s="82">
        <v>25</v>
      </c>
      <c r="N281" s="82" t="s">
        <v>2124</v>
      </c>
      <c r="O281" s="77"/>
      <c r="P281" s="110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225"/>
      <c r="AC281" s="225"/>
      <c r="AD281" s="225"/>
      <c r="AE281" s="29">
        <f>_xlfn.NUMBERVALUE(LEFT(MCC_Table[[#This Row],[BUCKET]],LEN(MCC_Table[[#This Row],[BUCKET]])-1))</f>
        <v>9</v>
      </c>
      <c r="AF281" s="29" t="str">
        <f>RIGHT(MCC_Table[[#This Row],[BUCKET]],1)</f>
        <v>B</v>
      </c>
      <c r="AG281" s="29">
        <f>VLOOKUP(MCC_Table[[#This Row],[START UNIT]],UnitMap[],2,FALSE)</f>
        <v>2</v>
      </c>
      <c r="AH281" s="29">
        <f t="array" ref="AH2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81" s="29">
        <f>IF(ISNUMBER(MCC_Table[[#This Row],[SIZE]]), MCC_Table[[#This Row],[SIZE]]/6, 0)</f>
        <v>4</v>
      </c>
      <c r="AJ281" s="29">
        <f>MCC_Table[[#This Row],[START INDEX]]+MCC_Table[[#This Row],[UNITS USED]]-1</f>
        <v>5</v>
      </c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</row>
    <row r="282" spans="1:57" ht="15.75" hidden="1" customHeight="1" thickTop="1" x14ac:dyDescent="0.25">
      <c r="A282" s="113" t="s">
        <v>2574</v>
      </c>
      <c r="B282" s="29" t="s">
        <v>2150</v>
      </c>
      <c r="C282" s="24" t="s">
        <v>2604</v>
      </c>
      <c r="D282" s="28" t="s">
        <v>2605</v>
      </c>
      <c r="E282" s="29" t="s">
        <v>2387</v>
      </c>
      <c r="F282" s="8">
        <v>30</v>
      </c>
      <c r="G282" s="8">
        <v>30</v>
      </c>
      <c r="H282" s="82"/>
      <c r="I282" s="8"/>
      <c r="J282" s="80">
        <f>IF(ISNUMBER(MCC_Table[[#This Row],[SIZE]]), MCC_Table[[#This Row],[SIZE]]/12, 0)</f>
        <v>3.5</v>
      </c>
      <c r="K282" s="82">
        <v>100</v>
      </c>
      <c r="L282" s="82">
        <v>125</v>
      </c>
      <c r="M282" s="82" t="s">
        <v>1888</v>
      </c>
      <c r="N282" s="82" t="s">
        <v>2284</v>
      </c>
      <c r="O282" s="77"/>
      <c r="P282" s="110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225"/>
      <c r="AC282" s="225"/>
      <c r="AD282" s="225"/>
      <c r="AE282" s="29">
        <f>_xlfn.NUMBERVALUE(LEFT(MCC_Table[[#This Row],[BUCKET]],LEN(MCC_Table[[#This Row],[BUCKET]])-1))</f>
        <v>9</v>
      </c>
      <c r="AF282" s="29" t="str">
        <f>RIGHT(MCC_Table[[#This Row],[BUCKET]],1)</f>
        <v>F</v>
      </c>
      <c r="AG282" s="29">
        <f>VLOOKUP(MCC_Table[[#This Row],[START UNIT]],UnitMap[],2,FALSE)</f>
        <v>6</v>
      </c>
      <c r="AH282" s="29">
        <f t="array" ref="AH2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82" s="29">
        <f>IF(ISNUMBER(MCC_Table[[#This Row],[SIZE]]), MCC_Table[[#This Row],[SIZE]]/6, 0)</f>
        <v>7</v>
      </c>
      <c r="AJ282" s="29">
        <f>MCC_Table[[#This Row],[START INDEX]]+MCC_Table[[#This Row],[UNITS USED]]-1</f>
        <v>12</v>
      </c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</row>
    <row r="283" spans="1:57" ht="15.75" hidden="1" customHeight="1" thickTop="1" x14ac:dyDescent="0.25">
      <c r="A283" s="113" t="s">
        <v>2574</v>
      </c>
      <c r="B283" s="29" t="s">
        <v>2154</v>
      </c>
      <c r="C283" s="24" t="s">
        <v>2103</v>
      </c>
      <c r="D283" s="62" t="s">
        <v>2104</v>
      </c>
      <c r="E283" s="29" t="s">
        <v>2103</v>
      </c>
      <c r="F283" s="8"/>
      <c r="G283" s="8"/>
      <c r="H283" s="82"/>
      <c r="I283" s="8"/>
      <c r="J283" s="80">
        <f>IF(ISNUMBER(MCC_Table[[#This Row],[SIZE]]), MCC_Table[[#This Row],[SIZE]]/12, 0)</f>
        <v>0.5</v>
      </c>
      <c r="K283" s="82"/>
      <c r="L283" s="82"/>
      <c r="M283" s="82"/>
      <c r="N283" s="82"/>
      <c r="O283" s="77"/>
      <c r="P283" s="110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225"/>
      <c r="AC283" s="225"/>
      <c r="AD283" s="225"/>
      <c r="AE283" s="29">
        <f>_xlfn.NUMBERVALUE(LEFT(MCC_Table[[#This Row],[BUCKET]],LEN(MCC_Table[[#This Row],[BUCKET]])-1))</f>
        <v>10</v>
      </c>
      <c r="AF283" s="29" t="str">
        <f>RIGHT(MCC_Table[[#This Row],[BUCKET]],1)</f>
        <v>A</v>
      </c>
      <c r="AG283" s="29">
        <f>VLOOKUP(MCC_Table[[#This Row],[START UNIT]],UnitMap[],2,FALSE)</f>
        <v>1</v>
      </c>
      <c r="AH283" s="29">
        <f t="array" ref="AH2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83" s="29">
        <f>IF(ISNUMBER(MCC_Table[[#This Row],[SIZE]]), MCC_Table[[#This Row],[SIZE]]/6, 0)</f>
        <v>1</v>
      </c>
      <c r="AJ283" s="29">
        <f>MCC_Table[[#This Row],[START INDEX]]+MCC_Table[[#This Row],[UNITS USED]]-1</f>
        <v>1</v>
      </c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</row>
    <row r="284" spans="1:57" ht="15.75" hidden="1" customHeight="1" thickTop="1" x14ac:dyDescent="0.25">
      <c r="A284" s="113" t="s">
        <v>2574</v>
      </c>
      <c r="B284" s="29" t="s">
        <v>2606</v>
      </c>
      <c r="C284" s="24" t="s">
        <v>2607</v>
      </c>
      <c r="D284" s="28" t="s">
        <v>2608</v>
      </c>
      <c r="E284" s="29" t="s">
        <v>2387</v>
      </c>
      <c r="F284" s="8"/>
      <c r="G284" s="8"/>
      <c r="H284" s="82"/>
      <c r="I284" s="8"/>
      <c r="J284" s="80">
        <f>IF(ISNUMBER(MCC_Table[[#This Row],[SIZE]]), MCC_Table[[#This Row],[SIZE]]/12, 0)</f>
        <v>2</v>
      </c>
      <c r="K284" s="82"/>
      <c r="L284" s="82"/>
      <c r="M284" s="82"/>
      <c r="N284" s="82"/>
      <c r="O284" s="77"/>
      <c r="P284" s="110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225"/>
      <c r="AC284" s="225"/>
      <c r="AD284" s="225"/>
      <c r="AE284" s="29">
        <f>_xlfn.NUMBERVALUE(LEFT(MCC_Table[[#This Row],[BUCKET]],LEN(MCC_Table[[#This Row],[BUCKET]])-1))</f>
        <v>10</v>
      </c>
      <c r="AF284" s="29" t="str">
        <f>RIGHT(MCC_Table[[#This Row],[BUCKET]],1)</f>
        <v>B</v>
      </c>
      <c r="AG284" s="29">
        <f>VLOOKUP(MCC_Table[[#This Row],[START UNIT]],UnitMap[],2,FALSE)</f>
        <v>2</v>
      </c>
      <c r="AH284" s="29">
        <f t="array" ref="AH2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84" s="29">
        <f>IF(ISNUMBER(MCC_Table[[#This Row],[SIZE]]), MCC_Table[[#This Row],[SIZE]]/6, 0)</f>
        <v>4</v>
      </c>
      <c r="AJ284" s="29">
        <f>MCC_Table[[#This Row],[START INDEX]]+MCC_Table[[#This Row],[UNITS USED]]-1</f>
        <v>5</v>
      </c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</row>
    <row r="285" spans="1:57" ht="15.75" hidden="1" customHeight="1" thickTop="1" x14ac:dyDescent="0.25">
      <c r="A285" s="113" t="s">
        <v>2574</v>
      </c>
      <c r="B285" s="29" t="s">
        <v>2157</v>
      </c>
      <c r="C285" s="24" t="s">
        <v>2609</v>
      </c>
      <c r="D285" s="28" t="s">
        <v>2610</v>
      </c>
      <c r="E285" s="29" t="s">
        <v>2387</v>
      </c>
      <c r="F285" s="8">
        <v>30</v>
      </c>
      <c r="G285" s="8">
        <v>30</v>
      </c>
      <c r="H285" s="82"/>
      <c r="I285" s="8"/>
      <c r="J285" s="80">
        <f>IF(ISNUMBER(MCC_Table[[#This Row],[SIZE]]), MCC_Table[[#This Row],[SIZE]]/12, 0)</f>
        <v>3.5</v>
      </c>
      <c r="K285" s="82">
        <v>100</v>
      </c>
      <c r="L285" s="82">
        <v>125</v>
      </c>
      <c r="M285" s="82" t="s">
        <v>1888</v>
      </c>
      <c r="N285" s="82" t="s">
        <v>2284</v>
      </c>
      <c r="O285" s="77"/>
      <c r="P285" s="110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225"/>
      <c r="AC285" s="225"/>
      <c r="AD285" s="225"/>
      <c r="AE285" s="29">
        <f>_xlfn.NUMBERVALUE(LEFT(MCC_Table[[#This Row],[BUCKET]],LEN(MCC_Table[[#This Row],[BUCKET]])-1))</f>
        <v>10</v>
      </c>
      <c r="AF285" s="29" t="str">
        <f>RIGHT(MCC_Table[[#This Row],[BUCKET]],1)</f>
        <v>F</v>
      </c>
      <c r="AG285" s="29">
        <f>VLOOKUP(MCC_Table[[#This Row],[START UNIT]],UnitMap[],2,FALSE)</f>
        <v>6</v>
      </c>
      <c r="AH285" s="29">
        <f t="array" ref="AH2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85" s="29">
        <f>IF(ISNUMBER(MCC_Table[[#This Row],[SIZE]]), MCC_Table[[#This Row],[SIZE]]/6, 0)</f>
        <v>7</v>
      </c>
      <c r="AJ285" s="29">
        <f>MCC_Table[[#This Row],[START INDEX]]+MCC_Table[[#This Row],[UNITS USED]]-1</f>
        <v>12</v>
      </c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</row>
    <row r="286" spans="1:57" ht="15.75" hidden="1" customHeight="1" thickTop="1" x14ac:dyDescent="0.25">
      <c r="A286" s="113" t="s">
        <v>2574</v>
      </c>
      <c r="B286" s="29" t="s">
        <v>2161</v>
      </c>
      <c r="C286" s="24" t="s">
        <v>2103</v>
      </c>
      <c r="D286" s="62" t="s">
        <v>2143</v>
      </c>
      <c r="E286" s="29" t="s">
        <v>2103</v>
      </c>
      <c r="F286" s="8"/>
      <c r="G286" s="8"/>
      <c r="H286" s="82"/>
      <c r="I286" s="8"/>
      <c r="J286" s="80">
        <f>IF(ISNUMBER(MCC_Table[[#This Row],[SIZE]]), MCC_Table[[#This Row],[SIZE]]/12, 0)</f>
        <v>1</v>
      </c>
      <c r="K286" s="82"/>
      <c r="L286" s="82"/>
      <c r="M286" s="82"/>
      <c r="N286" s="82"/>
      <c r="O286" s="77"/>
      <c r="P286" s="110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225"/>
      <c r="AC286" s="225"/>
      <c r="AD286" s="225"/>
      <c r="AE286" s="29">
        <f>_xlfn.NUMBERVALUE(LEFT(MCC_Table[[#This Row],[BUCKET]],LEN(MCC_Table[[#This Row],[BUCKET]])-1))</f>
        <v>11</v>
      </c>
      <c r="AF286" s="29" t="str">
        <f>RIGHT(MCC_Table[[#This Row],[BUCKET]],1)</f>
        <v>A</v>
      </c>
      <c r="AG286" s="29">
        <f>VLOOKUP(MCC_Table[[#This Row],[START UNIT]],UnitMap[],2,FALSE)</f>
        <v>1</v>
      </c>
      <c r="AH286" s="29">
        <f t="array" ref="AH2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86" s="29">
        <f>IF(ISNUMBER(MCC_Table[[#This Row],[SIZE]]), MCC_Table[[#This Row],[SIZE]]/6, 0)</f>
        <v>2</v>
      </c>
      <c r="AJ286" s="29">
        <f>MCC_Table[[#This Row],[START INDEX]]+MCC_Table[[#This Row],[UNITS USED]]-1</f>
        <v>2</v>
      </c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</row>
    <row r="287" spans="1:57" ht="15.75" hidden="1" customHeight="1" thickTop="1" x14ac:dyDescent="0.25">
      <c r="A287" s="113" t="s">
        <v>2574</v>
      </c>
      <c r="B287" s="8" t="s">
        <v>2611</v>
      </c>
      <c r="C287" s="24" t="s">
        <v>2612</v>
      </c>
      <c r="D287" s="28" t="s">
        <v>2613</v>
      </c>
      <c r="E287" s="29" t="s">
        <v>2387</v>
      </c>
      <c r="F287" s="29">
        <v>5</v>
      </c>
      <c r="G287" s="8">
        <v>5</v>
      </c>
      <c r="H287" s="82"/>
      <c r="I287" s="8"/>
      <c r="J287" s="83">
        <f>IF(ISNUMBER(MCC_Table[[#This Row],[SIZE]]), MCC_Table[[#This Row],[SIZE]]/12, 0)</f>
        <v>1.5</v>
      </c>
      <c r="K287" s="82">
        <v>20</v>
      </c>
      <c r="L287" s="82">
        <v>125</v>
      </c>
      <c r="M287" s="82">
        <v>12</v>
      </c>
      <c r="N287" s="82" t="s">
        <v>2124</v>
      </c>
      <c r="O287" s="77"/>
      <c r="P287" s="85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225"/>
      <c r="AC287" s="225"/>
      <c r="AD287" s="225"/>
      <c r="AE287" s="8">
        <f>_xlfn.NUMBERVALUE(LEFT(MCC_Table[[#This Row],[BUCKET]],LEN(MCC_Table[[#This Row],[BUCKET]])-1))</f>
        <v>11</v>
      </c>
      <c r="AF287" s="8" t="str">
        <f>RIGHT(MCC_Table[[#This Row],[BUCKET]],1)</f>
        <v>C</v>
      </c>
      <c r="AG287" s="8">
        <f>VLOOKUP(MCC_Table[[#This Row],[START UNIT]],UnitMap[],2,FALSE)</f>
        <v>3</v>
      </c>
      <c r="AH287" s="8">
        <f t="array" ref="AH2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87" s="8">
        <f>IF(ISNUMBER(MCC_Table[[#This Row],[SIZE]]), MCC_Table[[#This Row],[SIZE]]/6, 0)</f>
        <v>3</v>
      </c>
      <c r="AJ287" s="8">
        <f>MCC_Table[[#This Row],[START INDEX]]+MCC_Table[[#This Row],[UNITS USED]]-1</f>
        <v>5</v>
      </c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</row>
    <row r="288" spans="1:57" ht="15.75" hidden="1" customHeight="1" thickTop="1" x14ac:dyDescent="0.25">
      <c r="A288" s="113" t="s">
        <v>2574</v>
      </c>
      <c r="B288" s="29" t="s">
        <v>2164</v>
      </c>
      <c r="C288" s="24" t="s">
        <v>2614</v>
      </c>
      <c r="D288" s="28" t="s">
        <v>2615</v>
      </c>
      <c r="E288" s="29" t="s">
        <v>2387</v>
      </c>
      <c r="F288" s="8">
        <v>30</v>
      </c>
      <c r="G288" s="8">
        <v>30</v>
      </c>
      <c r="H288" s="82"/>
      <c r="I288" s="8"/>
      <c r="J288" s="80">
        <f>IF(ISNUMBER(MCC_Table[[#This Row],[SIZE]]), MCC_Table[[#This Row],[SIZE]]/12, 0)</f>
        <v>3.5</v>
      </c>
      <c r="K288" s="82">
        <v>100</v>
      </c>
      <c r="L288" s="82">
        <v>125</v>
      </c>
      <c r="M288" s="82" t="s">
        <v>1888</v>
      </c>
      <c r="N288" s="82" t="s">
        <v>2284</v>
      </c>
      <c r="O288" s="77"/>
      <c r="P288" s="110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225"/>
      <c r="AC288" s="225"/>
      <c r="AD288" s="225"/>
      <c r="AE288" s="29">
        <f>_xlfn.NUMBERVALUE(LEFT(MCC_Table[[#This Row],[BUCKET]],LEN(MCC_Table[[#This Row],[BUCKET]])-1))</f>
        <v>11</v>
      </c>
      <c r="AF288" s="29" t="str">
        <f>RIGHT(MCC_Table[[#This Row],[BUCKET]],1)</f>
        <v>F</v>
      </c>
      <c r="AG288" s="29">
        <f>VLOOKUP(MCC_Table[[#This Row],[START UNIT]],UnitMap[],2,FALSE)</f>
        <v>6</v>
      </c>
      <c r="AH288" s="29">
        <f t="array" ref="AH2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88" s="29">
        <f>IF(ISNUMBER(MCC_Table[[#This Row],[SIZE]]), MCC_Table[[#This Row],[SIZE]]/6, 0)</f>
        <v>7</v>
      </c>
      <c r="AJ288" s="29">
        <f>MCC_Table[[#This Row],[START INDEX]]+MCC_Table[[#This Row],[UNITS USED]]-1</f>
        <v>12</v>
      </c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</row>
    <row r="289" spans="1:57" ht="15.75" hidden="1" customHeight="1" thickTop="1" x14ac:dyDescent="0.25">
      <c r="A289" s="113" t="s">
        <v>2574</v>
      </c>
      <c r="B289" s="29" t="s">
        <v>2168</v>
      </c>
      <c r="C289" s="24" t="s">
        <v>2103</v>
      </c>
      <c r="D289" s="62" t="s">
        <v>2143</v>
      </c>
      <c r="E289" s="29" t="s">
        <v>2103</v>
      </c>
      <c r="F289" s="8"/>
      <c r="G289" s="8"/>
      <c r="H289" s="82"/>
      <c r="I289" s="8"/>
      <c r="J289" s="80">
        <f>IF(ISNUMBER(MCC_Table[[#This Row],[SIZE]]), MCC_Table[[#This Row],[SIZE]]/12, 0)</f>
        <v>1</v>
      </c>
      <c r="K289" s="82"/>
      <c r="L289" s="82"/>
      <c r="M289" s="82"/>
      <c r="N289" s="82"/>
      <c r="O289" s="77"/>
      <c r="P289" s="110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225"/>
      <c r="AC289" s="225"/>
      <c r="AD289" s="225"/>
      <c r="AE289" s="29">
        <f>_xlfn.NUMBERVALUE(LEFT(MCC_Table[[#This Row],[BUCKET]],LEN(MCC_Table[[#This Row],[BUCKET]])-1))</f>
        <v>12</v>
      </c>
      <c r="AF289" s="29" t="str">
        <f>RIGHT(MCC_Table[[#This Row],[BUCKET]],1)</f>
        <v>A</v>
      </c>
      <c r="AG289" s="29">
        <f>VLOOKUP(MCC_Table[[#This Row],[START UNIT]],UnitMap[],2,FALSE)</f>
        <v>1</v>
      </c>
      <c r="AH289" s="29">
        <f t="array" ref="AH2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89" s="29">
        <f>IF(ISNUMBER(MCC_Table[[#This Row],[SIZE]]), MCC_Table[[#This Row],[SIZE]]/6, 0)</f>
        <v>2</v>
      </c>
      <c r="AJ289" s="29">
        <f>MCC_Table[[#This Row],[START INDEX]]+MCC_Table[[#This Row],[UNITS USED]]-1</f>
        <v>2</v>
      </c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</row>
    <row r="290" spans="1:57" ht="15.75" hidden="1" customHeight="1" thickTop="1" x14ac:dyDescent="0.25">
      <c r="A290" s="113" t="s">
        <v>2574</v>
      </c>
      <c r="B290" s="8" t="s">
        <v>2274</v>
      </c>
      <c r="C290" s="24" t="s">
        <v>1933</v>
      </c>
      <c r="D290" s="28" t="s">
        <v>2300</v>
      </c>
      <c r="E290" s="29" t="s">
        <v>2387</v>
      </c>
      <c r="F290" s="29"/>
      <c r="G290" s="8">
        <v>5</v>
      </c>
      <c r="H290" s="82"/>
      <c r="I290" s="8"/>
      <c r="J290" s="83">
        <f>IF(ISNUMBER(MCC_Table[[#This Row],[SIZE]]), MCC_Table[[#This Row],[SIZE]]/12, 0)</f>
        <v>1.5</v>
      </c>
      <c r="K290" s="82">
        <v>20</v>
      </c>
      <c r="L290" s="82">
        <v>125</v>
      </c>
      <c r="M290" s="82">
        <v>12</v>
      </c>
      <c r="N290" s="82"/>
      <c r="O290" s="77"/>
      <c r="P290" s="85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225"/>
      <c r="AC290" s="225"/>
      <c r="AD290" s="225"/>
      <c r="AE290" s="8">
        <f>_xlfn.NUMBERVALUE(LEFT(MCC_Table[[#This Row],[BUCKET]],LEN(MCC_Table[[#This Row],[BUCKET]])-1))</f>
        <v>12</v>
      </c>
      <c r="AF290" s="8" t="str">
        <f>RIGHT(MCC_Table[[#This Row],[BUCKET]],1)</f>
        <v>C</v>
      </c>
      <c r="AG290" s="8">
        <f>VLOOKUP(MCC_Table[[#This Row],[START UNIT]],UnitMap[],2,FALSE)</f>
        <v>3</v>
      </c>
      <c r="AH290" s="8">
        <f t="array" ref="AH2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90" s="8">
        <f>IF(ISNUMBER(MCC_Table[[#This Row],[SIZE]]), MCC_Table[[#This Row],[SIZE]]/6, 0)</f>
        <v>3</v>
      </c>
      <c r="AJ290" s="8">
        <f>MCC_Table[[#This Row],[START INDEX]]+MCC_Table[[#This Row],[UNITS USED]]-1</f>
        <v>5</v>
      </c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</row>
    <row r="291" spans="1:57" ht="15.75" hidden="1" customHeight="1" thickTop="1" x14ac:dyDescent="0.25">
      <c r="A291" s="113" t="s">
        <v>2574</v>
      </c>
      <c r="B291" s="29" t="s">
        <v>2172</v>
      </c>
      <c r="C291" s="24" t="s">
        <v>2616</v>
      </c>
      <c r="D291" s="28" t="s">
        <v>2617</v>
      </c>
      <c r="E291" s="29" t="s">
        <v>2387</v>
      </c>
      <c r="F291" s="8">
        <v>30</v>
      </c>
      <c r="G291" s="8">
        <v>30</v>
      </c>
      <c r="H291" s="82"/>
      <c r="I291" s="8"/>
      <c r="J291" s="80">
        <f>IF(ISNUMBER(MCC_Table[[#This Row],[SIZE]]), MCC_Table[[#This Row],[SIZE]]/12, 0)</f>
        <v>3.5</v>
      </c>
      <c r="K291" s="82">
        <v>100</v>
      </c>
      <c r="L291" s="82">
        <v>125</v>
      </c>
      <c r="M291" s="82" t="s">
        <v>1888</v>
      </c>
      <c r="N291" s="82" t="s">
        <v>2284</v>
      </c>
      <c r="O291" s="77"/>
      <c r="P291" s="110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225"/>
      <c r="AC291" s="225"/>
      <c r="AD291" s="225"/>
      <c r="AE291" s="29">
        <f>_xlfn.NUMBERVALUE(LEFT(MCC_Table[[#This Row],[BUCKET]],LEN(MCC_Table[[#This Row],[BUCKET]])-1))</f>
        <v>12</v>
      </c>
      <c r="AF291" s="29" t="str">
        <f>RIGHT(MCC_Table[[#This Row],[BUCKET]],1)</f>
        <v>F</v>
      </c>
      <c r="AG291" s="29">
        <f>VLOOKUP(MCC_Table[[#This Row],[START UNIT]],UnitMap[],2,FALSE)</f>
        <v>6</v>
      </c>
      <c r="AH291" s="29">
        <f t="array" ref="AH2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291" s="29">
        <f>IF(ISNUMBER(MCC_Table[[#This Row],[SIZE]]), MCC_Table[[#This Row],[SIZE]]/6, 0)</f>
        <v>7</v>
      </c>
      <c r="AJ291" s="29">
        <f>MCC_Table[[#This Row],[START INDEX]]+MCC_Table[[#This Row],[UNITS USED]]-1</f>
        <v>12</v>
      </c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</row>
    <row r="292" spans="1:57" ht="30.75" hidden="1" customHeight="1" thickTop="1" x14ac:dyDescent="0.25">
      <c r="A292" s="113" t="s">
        <v>2574</v>
      </c>
      <c r="B292" s="29" t="s">
        <v>2176</v>
      </c>
      <c r="C292" s="24" t="s">
        <v>2618</v>
      </c>
      <c r="D292" s="62" t="s">
        <v>2098</v>
      </c>
      <c r="E292" s="24" t="s">
        <v>2099</v>
      </c>
      <c r="F292" s="8"/>
      <c r="G292" s="8"/>
      <c r="H292" s="82"/>
      <c r="I292" s="8"/>
      <c r="J292" s="80">
        <f>IF(ISNUMBER(MCC_Table[[#This Row],[SIZE]]), MCC_Table[[#This Row],[SIZE]]/12, 0)</f>
        <v>1</v>
      </c>
      <c r="K292" s="82"/>
      <c r="L292" s="82"/>
      <c r="M292" s="82"/>
      <c r="N292" s="82"/>
      <c r="O292" s="77"/>
      <c r="P292" s="78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225"/>
      <c r="AC292" s="225"/>
      <c r="AD292" s="225"/>
      <c r="AE292" s="29">
        <f>_xlfn.NUMBERVALUE(LEFT(MCC_Table[[#This Row],[BUCKET]],LEN(MCC_Table[[#This Row],[BUCKET]])-1))</f>
        <v>13</v>
      </c>
      <c r="AF292" s="29" t="str">
        <f>RIGHT(MCC_Table[[#This Row],[BUCKET]],1)</f>
        <v>A</v>
      </c>
      <c r="AG292" s="29">
        <f>VLOOKUP(MCC_Table[[#This Row],[START UNIT]],UnitMap[],2,FALSE)</f>
        <v>1</v>
      </c>
      <c r="AH292" s="29">
        <f t="array" ref="AH2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92" s="29">
        <f>IF(ISNUMBER(MCC_Table[[#This Row],[SIZE]]), MCC_Table[[#This Row],[SIZE]]/6, 0)</f>
        <v>2</v>
      </c>
      <c r="AJ292" s="29">
        <f>MCC_Table[[#This Row],[START INDEX]]+MCC_Table[[#This Row],[UNITS USED]]-1</f>
        <v>2</v>
      </c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</row>
    <row r="293" spans="1:57" ht="15.75" hidden="1" customHeight="1" thickTop="1" x14ac:dyDescent="0.25">
      <c r="A293" s="113" t="s">
        <v>2574</v>
      </c>
      <c r="B293" s="29" t="s">
        <v>2179</v>
      </c>
      <c r="C293" s="24" t="s">
        <v>2103</v>
      </c>
      <c r="D293" s="62" t="s">
        <v>2143</v>
      </c>
      <c r="E293" s="29" t="s">
        <v>2103</v>
      </c>
      <c r="F293" s="8"/>
      <c r="G293" s="8"/>
      <c r="H293" s="82"/>
      <c r="I293" s="8"/>
      <c r="J293" s="80">
        <f>IF(ISNUMBER(MCC_Table[[#This Row],[SIZE]]), MCC_Table[[#This Row],[SIZE]]/12, 0)</f>
        <v>1</v>
      </c>
      <c r="K293" s="82"/>
      <c r="L293" s="82"/>
      <c r="M293" s="82"/>
      <c r="N293" s="82"/>
      <c r="O293" s="77"/>
      <c r="P293" s="110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225"/>
      <c r="AC293" s="225"/>
      <c r="AD293" s="225"/>
      <c r="AE293" s="29">
        <f>_xlfn.NUMBERVALUE(LEFT(MCC_Table[[#This Row],[BUCKET]],LEN(MCC_Table[[#This Row],[BUCKET]])-1))</f>
        <v>13</v>
      </c>
      <c r="AF293" s="29" t="str">
        <f>RIGHT(MCC_Table[[#This Row],[BUCKET]],1)</f>
        <v>C</v>
      </c>
      <c r="AG293" s="29">
        <f>VLOOKUP(MCC_Table[[#This Row],[START UNIT]],UnitMap[],2,FALSE)</f>
        <v>3</v>
      </c>
      <c r="AH293" s="29">
        <f t="array" ref="AH2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293" s="29">
        <f>IF(ISNUMBER(MCC_Table[[#This Row],[SIZE]]), MCC_Table[[#This Row],[SIZE]]/6, 0)</f>
        <v>2</v>
      </c>
      <c r="AJ293" s="29">
        <f>MCC_Table[[#This Row],[START INDEX]]+MCC_Table[[#This Row],[UNITS USED]]-1</f>
        <v>4</v>
      </c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</row>
    <row r="294" spans="1:57" ht="15.75" hidden="1" customHeight="1" thickTop="1" x14ac:dyDescent="0.25">
      <c r="A294" s="113" t="s">
        <v>2574</v>
      </c>
      <c r="B294" s="29" t="s">
        <v>2367</v>
      </c>
      <c r="C294" s="24" t="s">
        <v>2103</v>
      </c>
      <c r="D294" s="62" t="s">
        <v>2104</v>
      </c>
      <c r="E294" s="29" t="s">
        <v>2103</v>
      </c>
      <c r="F294" s="8"/>
      <c r="G294" s="8"/>
      <c r="H294" s="82"/>
      <c r="I294" s="8"/>
      <c r="J294" s="80">
        <f>IF(ISNUMBER(MCC_Table[[#This Row],[SIZE]]), MCC_Table[[#This Row],[SIZE]]/12, 0)</f>
        <v>0.5</v>
      </c>
      <c r="K294" s="82"/>
      <c r="L294" s="82"/>
      <c r="M294" s="82"/>
      <c r="N294" s="82"/>
      <c r="O294" s="77"/>
      <c r="P294" s="110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225"/>
      <c r="AC294" s="225"/>
      <c r="AD294" s="225"/>
      <c r="AE294" s="29">
        <f>_xlfn.NUMBERVALUE(LEFT(MCC_Table[[#This Row],[BUCKET]],LEN(MCC_Table[[#This Row],[BUCKET]])-1))</f>
        <v>13</v>
      </c>
      <c r="AF294" s="29" t="str">
        <f>RIGHT(MCC_Table[[#This Row],[BUCKET]],1)</f>
        <v>E</v>
      </c>
      <c r="AG294" s="29">
        <f>VLOOKUP(MCC_Table[[#This Row],[START UNIT]],UnitMap[],2,FALSE)</f>
        <v>5</v>
      </c>
      <c r="AH294" s="29">
        <f t="array" ref="AH2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294" s="29">
        <f>IF(ISNUMBER(MCC_Table[[#This Row],[SIZE]]), MCC_Table[[#This Row],[SIZE]]/6, 0)</f>
        <v>1</v>
      </c>
      <c r="AJ294" s="29">
        <f>MCC_Table[[#This Row],[START INDEX]]+MCC_Table[[#This Row],[UNITS USED]]-1</f>
        <v>5</v>
      </c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</row>
    <row r="295" spans="1:57" ht="15.75" hidden="1" customHeight="1" thickTop="1" x14ac:dyDescent="0.25">
      <c r="A295" s="113" t="s">
        <v>2574</v>
      </c>
      <c r="B295" s="8" t="s">
        <v>2453</v>
      </c>
      <c r="C295" s="24" t="s">
        <v>2619</v>
      </c>
      <c r="D295" s="28" t="s">
        <v>2620</v>
      </c>
      <c r="E295" s="29" t="s">
        <v>2387</v>
      </c>
      <c r="F295" s="29">
        <v>5</v>
      </c>
      <c r="G295" s="8">
        <v>5</v>
      </c>
      <c r="H295" s="82"/>
      <c r="I295" s="8"/>
      <c r="J295" s="83">
        <f>IF(ISNUMBER(MCC_Table[[#This Row],[SIZE]]), MCC_Table[[#This Row],[SIZE]]/12, 0)</f>
        <v>2</v>
      </c>
      <c r="K295" s="82">
        <v>20</v>
      </c>
      <c r="L295" s="82">
        <v>125</v>
      </c>
      <c r="M295" s="82">
        <v>12</v>
      </c>
      <c r="N295" s="82" t="s">
        <v>2124</v>
      </c>
      <c r="O295" s="77"/>
      <c r="P295" s="85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225"/>
      <c r="AC295" s="225"/>
      <c r="AD295" s="225"/>
      <c r="AE295" s="8">
        <f>_xlfn.NUMBERVALUE(LEFT(MCC_Table[[#This Row],[BUCKET]],LEN(MCC_Table[[#This Row],[BUCKET]])-1))</f>
        <v>13</v>
      </c>
      <c r="AF295" s="8" t="str">
        <f>RIGHT(MCC_Table[[#This Row],[BUCKET]],1)</f>
        <v>F</v>
      </c>
      <c r="AG295" s="8">
        <f>VLOOKUP(MCC_Table[[#This Row],[START UNIT]],UnitMap[],2,FALSE)</f>
        <v>6</v>
      </c>
      <c r="AH295" s="8">
        <f t="array" ref="AH2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295" s="8">
        <f>IF(ISNUMBER(MCC_Table[[#This Row],[SIZE]]), MCC_Table[[#This Row],[SIZE]]/6, 0)</f>
        <v>4</v>
      </c>
      <c r="AJ295" s="8">
        <f>MCC_Table[[#This Row],[START INDEX]]+MCC_Table[[#This Row],[UNITS USED]]-1</f>
        <v>9</v>
      </c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</row>
    <row r="296" spans="1:57" ht="15.75" hidden="1" customHeight="1" thickTop="1" x14ac:dyDescent="0.25">
      <c r="A296" s="113" t="s">
        <v>2574</v>
      </c>
      <c r="B296" s="8" t="s">
        <v>2621</v>
      </c>
      <c r="C296" s="8" t="s">
        <v>2589</v>
      </c>
      <c r="D296" s="103" t="s">
        <v>2622</v>
      </c>
      <c r="E296" s="29" t="s">
        <v>2387</v>
      </c>
      <c r="F296" s="8">
        <v>1</v>
      </c>
      <c r="G296" s="8">
        <v>2</v>
      </c>
      <c r="H296" s="82"/>
      <c r="I296" s="8"/>
      <c r="J296" s="83">
        <f>IF(ISNUMBER(MCC_Table[[#This Row],[SIZE]]), MCC_Table[[#This Row],[SIZE]]/12, 0)</f>
        <v>1.5</v>
      </c>
      <c r="K296" s="82">
        <v>15</v>
      </c>
      <c r="L296" s="82">
        <v>125</v>
      </c>
      <c r="M296" s="82">
        <v>6</v>
      </c>
      <c r="N296" s="82" t="s">
        <v>2124</v>
      </c>
      <c r="O296" s="77"/>
      <c r="P296" s="85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225"/>
      <c r="AC296" s="225"/>
      <c r="AD296" s="225"/>
      <c r="AE296" s="8">
        <f>_xlfn.NUMBERVALUE(LEFT(MCC_Table[[#This Row],[BUCKET]],LEN(MCC_Table[[#This Row],[BUCKET]])-1))</f>
        <v>13</v>
      </c>
      <c r="AF296" s="8" t="str">
        <f>RIGHT(MCC_Table[[#This Row],[BUCKET]],1)</f>
        <v>K</v>
      </c>
      <c r="AG296" s="8">
        <f>VLOOKUP(MCC_Table[[#This Row],[START UNIT]],UnitMap[],2,FALSE)</f>
        <v>10</v>
      </c>
      <c r="AH296" s="8">
        <f t="array" ref="AH2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96" s="8">
        <f>IF(ISNUMBER(MCC_Table[[#This Row],[SIZE]]), MCC_Table[[#This Row],[SIZE]]/6, 0)</f>
        <v>3</v>
      </c>
      <c r="AJ296" s="8">
        <f>MCC_Table[[#This Row],[START INDEX]]+MCC_Table[[#This Row],[UNITS USED]]-1</f>
        <v>12</v>
      </c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</row>
    <row r="297" spans="1:57" ht="15.75" hidden="1" customHeight="1" thickTop="1" x14ac:dyDescent="0.25">
      <c r="A297" s="113" t="s">
        <v>2574</v>
      </c>
      <c r="B297" s="8" t="s">
        <v>2186</v>
      </c>
      <c r="C297" s="8" t="s">
        <v>1933</v>
      </c>
      <c r="D297" s="28" t="s">
        <v>2135</v>
      </c>
      <c r="E297" s="29" t="s">
        <v>2387</v>
      </c>
      <c r="F297" s="8"/>
      <c r="G297" s="8">
        <v>2</v>
      </c>
      <c r="H297" s="82"/>
      <c r="I297" s="8"/>
      <c r="J297" s="83">
        <f>IF(ISNUMBER(MCC_Table[[#This Row],[SIZE]]), MCC_Table[[#This Row],[SIZE]]/12, 0)</f>
        <v>1.5</v>
      </c>
      <c r="K297" s="82">
        <v>15</v>
      </c>
      <c r="L297" s="82">
        <v>125</v>
      </c>
      <c r="M297" s="82">
        <v>6</v>
      </c>
      <c r="N297" s="82"/>
      <c r="O297" s="77"/>
      <c r="P297" s="85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225"/>
      <c r="AC297" s="225"/>
      <c r="AD297" s="225"/>
      <c r="AE297" s="8">
        <f>_xlfn.NUMBERVALUE(LEFT(MCC_Table[[#This Row],[BUCKET]],LEN(MCC_Table[[#This Row],[BUCKET]])-1))</f>
        <v>14</v>
      </c>
      <c r="AF297" s="8" t="str">
        <f>RIGHT(MCC_Table[[#This Row],[BUCKET]],1)</f>
        <v>A</v>
      </c>
      <c r="AG297" s="8">
        <f>VLOOKUP(MCC_Table[[#This Row],[START UNIT]],UnitMap[],2,FALSE)</f>
        <v>1</v>
      </c>
      <c r="AH297" s="8">
        <f t="array" ref="AH2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97" s="8">
        <f>IF(ISNUMBER(MCC_Table[[#This Row],[SIZE]]), MCC_Table[[#This Row],[SIZE]]/6, 0)</f>
        <v>3</v>
      </c>
      <c r="AJ297" s="8">
        <f>MCC_Table[[#This Row],[START INDEX]]+MCC_Table[[#This Row],[UNITS USED]]-1</f>
        <v>3</v>
      </c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</row>
    <row r="298" spans="1:57" ht="15.75" hidden="1" customHeight="1" thickTop="1" x14ac:dyDescent="0.25">
      <c r="A298" s="113" t="s">
        <v>2574</v>
      </c>
      <c r="B298" s="8" t="s">
        <v>2623</v>
      </c>
      <c r="C298" s="8" t="s">
        <v>1933</v>
      </c>
      <c r="D298" s="28" t="s">
        <v>2135</v>
      </c>
      <c r="E298" s="29" t="s">
        <v>2387</v>
      </c>
      <c r="F298" s="8"/>
      <c r="G298" s="8">
        <v>2</v>
      </c>
      <c r="H298" s="82"/>
      <c r="I298" s="8"/>
      <c r="J298" s="83">
        <f>IF(ISNUMBER(MCC_Table[[#This Row],[SIZE]]), MCC_Table[[#This Row],[SIZE]]/12, 0)</f>
        <v>1.5</v>
      </c>
      <c r="K298" s="82">
        <v>15</v>
      </c>
      <c r="L298" s="82">
        <v>125</v>
      </c>
      <c r="M298" s="82">
        <v>6</v>
      </c>
      <c r="N298" s="82"/>
      <c r="O298" s="77"/>
      <c r="P298" s="85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225"/>
      <c r="AC298" s="225"/>
      <c r="AD298" s="225"/>
      <c r="AE298" s="8">
        <f>_xlfn.NUMBERVALUE(LEFT(MCC_Table[[#This Row],[BUCKET]],LEN(MCC_Table[[#This Row],[BUCKET]])-1))</f>
        <v>14</v>
      </c>
      <c r="AF298" s="8" t="str">
        <f>RIGHT(MCC_Table[[#This Row],[BUCKET]],1)</f>
        <v>D</v>
      </c>
      <c r="AG298" s="8">
        <f>VLOOKUP(MCC_Table[[#This Row],[START UNIT]],UnitMap[],2,FALSE)</f>
        <v>4</v>
      </c>
      <c r="AH298" s="8">
        <f t="array" ref="AH2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98" s="8">
        <f>IF(ISNUMBER(MCC_Table[[#This Row],[SIZE]]), MCC_Table[[#This Row],[SIZE]]/6, 0)</f>
        <v>3</v>
      </c>
      <c r="AJ298" s="8">
        <f>MCC_Table[[#This Row],[START INDEX]]+MCC_Table[[#This Row],[UNITS USED]]-1</f>
        <v>6</v>
      </c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</row>
    <row r="299" spans="1:57" ht="15.75" hidden="1" customHeight="1" thickTop="1" x14ac:dyDescent="0.25">
      <c r="A299" s="113" t="s">
        <v>2574</v>
      </c>
      <c r="B299" s="8" t="s">
        <v>2457</v>
      </c>
      <c r="C299" s="24" t="s">
        <v>1933</v>
      </c>
      <c r="D299" s="28" t="s">
        <v>2300</v>
      </c>
      <c r="E299" s="29" t="s">
        <v>2387</v>
      </c>
      <c r="F299" s="29"/>
      <c r="G299" s="8">
        <v>5</v>
      </c>
      <c r="H299" s="82"/>
      <c r="I299" s="8"/>
      <c r="J299" s="83">
        <f>IF(ISNUMBER(MCC_Table[[#This Row],[SIZE]]), MCC_Table[[#This Row],[SIZE]]/12, 0)</f>
        <v>1.5</v>
      </c>
      <c r="K299" s="82">
        <v>20</v>
      </c>
      <c r="L299" s="82">
        <v>125</v>
      </c>
      <c r="M299" s="82">
        <v>12</v>
      </c>
      <c r="N299" s="82"/>
      <c r="O299" s="77"/>
      <c r="P299" s="85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225"/>
      <c r="AC299" s="225"/>
      <c r="AD299" s="225"/>
      <c r="AE299" s="8">
        <f>_xlfn.NUMBERVALUE(LEFT(MCC_Table[[#This Row],[BUCKET]],LEN(MCC_Table[[#This Row],[BUCKET]])-1))</f>
        <v>14</v>
      </c>
      <c r="AF299" s="8" t="str">
        <f>RIGHT(MCC_Table[[#This Row],[BUCKET]],1)</f>
        <v>G</v>
      </c>
      <c r="AG299" s="8">
        <f>VLOOKUP(MCC_Table[[#This Row],[START UNIT]],UnitMap[],2,FALSE)</f>
        <v>7</v>
      </c>
      <c r="AH299" s="8">
        <f t="array" ref="AH2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299" s="8">
        <f>IF(ISNUMBER(MCC_Table[[#This Row],[SIZE]]), MCC_Table[[#This Row],[SIZE]]/6, 0)</f>
        <v>3</v>
      </c>
      <c r="AJ299" s="8">
        <f>MCC_Table[[#This Row],[START INDEX]]+MCC_Table[[#This Row],[UNITS USED]]-1</f>
        <v>9</v>
      </c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</row>
    <row r="300" spans="1:57" ht="15.75" hidden="1" customHeight="1" thickTop="1" x14ac:dyDescent="0.25">
      <c r="A300" s="113" t="s">
        <v>2574</v>
      </c>
      <c r="B300" s="8" t="s">
        <v>2624</v>
      </c>
      <c r="C300" s="24" t="s">
        <v>1933</v>
      </c>
      <c r="D300" s="28" t="s">
        <v>2300</v>
      </c>
      <c r="E300" s="29" t="s">
        <v>2387</v>
      </c>
      <c r="F300" s="29"/>
      <c r="G300" s="8">
        <v>5</v>
      </c>
      <c r="H300" s="82"/>
      <c r="I300" s="8"/>
      <c r="J300" s="83">
        <f>IF(ISNUMBER(MCC_Table[[#This Row],[SIZE]]), MCC_Table[[#This Row],[SIZE]]/12, 0)</f>
        <v>1.5</v>
      </c>
      <c r="K300" s="82">
        <v>20</v>
      </c>
      <c r="L300" s="82">
        <v>125</v>
      </c>
      <c r="M300" s="82">
        <v>12</v>
      </c>
      <c r="N300" s="82"/>
      <c r="O300" s="77"/>
      <c r="P300" s="85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225"/>
      <c r="AC300" s="225"/>
      <c r="AD300" s="225"/>
      <c r="AE300" s="8">
        <f>_xlfn.NUMBERVALUE(LEFT(MCC_Table[[#This Row],[BUCKET]],LEN(MCC_Table[[#This Row],[BUCKET]])-1))</f>
        <v>14</v>
      </c>
      <c r="AF300" s="8" t="str">
        <f>RIGHT(MCC_Table[[#This Row],[BUCKET]],1)</f>
        <v>K</v>
      </c>
      <c r="AG300" s="8">
        <f>VLOOKUP(MCC_Table[[#This Row],[START UNIT]],UnitMap[],2,FALSE)</f>
        <v>10</v>
      </c>
      <c r="AH300" s="8">
        <f t="array" ref="AH3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00" s="8">
        <f>IF(ISNUMBER(MCC_Table[[#This Row],[SIZE]]), MCC_Table[[#This Row],[SIZE]]/6, 0)</f>
        <v>3</v>
      </c>
      <c r="AJ300" s="8">
        <f>MCC_Table[[#This Row],[START INDEX]]+MCC_Table[[#This Row],[UNITS USED]]-1</f>
        <v>12</v>
      </c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</row>
    <row r="301" spans="1:57" ht="15.75" hidden="1" customHeight="1" thickTop="1" x14ac:dyDescent="0.25">
      <c r="A301" s="113" t="s">
        <v>2574</v>
      </c>
      <c r="B301" s="8" t="s">
        <v>2195</v>
      </c>
      <c r="C301" s="8" t="s">
        <v>1933</v>
      </c>
      <c r="D301" s="28" t="s">
        <v>2135</v>
      </c>
      <c r="E301" s="29" t="s">
        <v>2387</v>
      </c>
      <c r="F301" s="8"/>
      <c r="G301" s="8">
        <v>2</v>
      </c>
      <c r="H301" s="82"/>
      <c r="I301" s="8"/>
      <c r="J301" s="83">
        <f>IF(ISNUMBER(MCC_Table[[#This Row],[SIZE]]), MCC_Table[[#This Row],[SIZE]]/12, 0)</f>
        <v>1.5</v>
      </c>
      <c r="K301" s="82">
        <v>15</v>
      </c>
      <c r="L301" s="82">
        <v>125</v>
      </c>
      <c r="M301" s="82">
        <v>6</v>
      </c>
      <c r="N301" s="82"/>
      <c r="O301" s="77"/>
      <c r="P301" s="85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225"/>
      <c r="AC301" s="225"/>
      <c r="AD301" s="225"/>
      <c r="AE301" s="8">
        <f>_xlfn.NUMBERVALUE(LEFT(MCC_Table[[#This Row],[BUCKET]],LEN(MCC_Table[[#This Row],[BUCKET]])-1))</f>
        <v>15</v>
      </c>
      <c r="AF301" s="8" t="str">
        <f>RIGHT(MCC_Table[[#This Row],[BUCKET]],1)</f>
        <v>A</v>
      </c>
      <c r="AG301" s="8">
        <f>VLOOKUP(MCC_Table[[#This Row],[START UNIT]],UnitMap[],2,FALSE)</f>
        <v>1</v>
      </c>
      <c r="AH301" s="8">
        <f t="array" ref="AH3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01" s="8">
        <f>IF(ISNUMBER(MCC_Table[[#This Row],[SIZE]]), MCC_Table[[#This Row],[SIZE]]/6, 0)</f>
        <v>3</v>
      </c>
      <c r="AJ301" s="8">
        <f>MCC_Table[[#This Row],[START INDEX]]+MCC_Table[[#This Row],[UNITS USED]]-1</f>
        <v>3</v>
      </c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</row>
    <row r="302" spans="1:57" ht="15.75" hidden="1" customHeight="1" thickTop="1" x14ac:dyDescent="0.25">
      <c r="A302" s="113" t="s">
        <v>2574</v>
      </c>
      <c r="B302" s="8" t="s">
        <v>2625</v>
      </c>
      <c r="C302" s="8" t="s">
        <v>1933</v>
      </c>
      <c r="D302" s="28" t="s">
        <v>2135</v>
      </c>
      <c r="E302" s="29" t="s">
        <v>2387</v>
      </c>
      <c r="F302" s="8"/>
      <c r="G302" s="8">
        <v>2</v>
      </c>
      <c r="H302" s="82"/>
      <c r="I302" s="8"/>
      <c r="J302" s="83">
        <f>IF(ISNUMBER(MCC_Table[[#This Row],[SIZE]]), MCC_Table[[#This Row],[SIZE]]/12, 0)</f>
        <v>1.5</v>
      </c>
      <c r="K302" s="82">
        <v>15</v>
      </c>
      <c r="L302" s="82">
        <v>125</v>
      </c>
      <c r="M302" s="82">
        <v>6</v>
      </c>
      <c r="N302" s="82"/>
      <c r="O302" s="77"/>
      <c r="P302" s="85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225"/>
      <c r="AC302" s="225"/>
      <c r="AD302" s="225"/>
      <c r="AE302" s="8">
        <f>_xlfn.NUMBERVALUE(LEFT(MCC_Table[[#This Row],[BUCKET]],LEN(MCC_Table[[#This Row],[BUCKET]])-1))</f>
        <v>15</v>
      </c>
      <c r="AF302" s="8" t="str">
        <f>RIGHT(MCC_Table[[#This Row],[BUCKET]],1)</f>
        <v>D</v>
      </c>
      <c r="AG302" s="8">
        <f>VLOOKUP(MCC_Table[[#This Row],[START UNIT]],UnitMap[],2,FALSE)</f>
        <v>4</v>
      </c>
      <c r="AH302" s="8">
        <f t="array" ref="AH3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02" s="8">
        <f>IF(ISNUMBER(MCC_Table[[#This Row],[SIZE]]), MCC_Table[[#This Row],[SIZE]]/6, 0)</f>
        <v>3</v>
      </c>
      <c r="AJ302" s="8">
        <f>MCC_Table[[#This Row],[START INDEX]]+MCC_Table[[#This Row],[UNITS USED]]-1</f>
        <v>6</v>
      </c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</row>
    <row r="303" spans="1:57" ht="15.75" hidden="1" customHeight="1" thickTop="1" x14ac:dyDescent="0.25">
      <c r="A303" s="113" t="s">
        <v>2574</v>
      </c>
      <c r="B303" s="8" t="s">
        <v>2199</v>
      </c>
      <c r="C303" s="8" t="s">
        <v>2626</v>
      </c>
      <c r="D303" s="28" t="s">
        <v>2627</v>
      </c>
      <c r="E303" s="29" t="s">
        <v>2387</v>
      </c>
      <c r="F303" s="8">
        <v>1</v>
      </c>
      <c r="G303" s="8">
        <v>2</v>
      </c>
      <c r="H303" s="82"/>
      <c r="I303" s="8"/>
      <c r="J303" s="83">
        <f>IF(ISNUMBER(MCC_Table[[#This Row],[SIZE]]), MCC_Table[[#This Row],[SIZE]]/12, 0)</f>
        <v>1.5</v>
      </c>
      <c r="K303" s="82">
        <v>15</v>
      </c>
      <c r="L303" s="82">
        <v>125</v>
      </c>
      <c r="M303" s="82">
        <v>6</v>
      </c>
      <c r="N303" s="82" t="s">
        <v>2124</v>
      </c>
      <c r="O303" s="77"/>
      <c r="P303" s="85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225"/>
      <c r="AC303" s="225"/>
      <c r="AD303" s="225"/>
      <c r="AE303" s="8">
        <f>_xlfn.NUMBERVALUE(LEFT(MCC_Table[[#This Row],[BUCKET]],LEN(MCC_Table[[#This Row],[BUCKET]])-1))</f>
        <v>15</v>
      </c>
      <c r="AF303" s="8" t="str">
        <f>RIGHT(MCC_Table[[#This Row],[BUCKET]],1)</f>
        <v>G</v>
      </c>
      <c r="AG303" s="8">
        <f>VLOOKUP(MCC_Table[[#This Row],[START UNIT]],UnitMap[],2,FALSE)</f>
        <v>7</v>
      </c>
      <c r="AH303" s="8">
        <f t="array" ref="AH3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03" s="8">
        <f>IF(ISNUMBER(MCC_Table[[#This Row],[SIZE]]), MCC_Table[[#This Row],[SIZE]]/6, 0)</f>
        <v>3</v>
      </c>
      <c r="AJ303" s="8">
        <f>MCC_Table[[#This Row],[START INDEX]]+MCC_Table[[#This Row],[UNITS USED]]-1</f>
        <v>9</v>
      </c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</row>
    <row r="304" spans="1:57" ht="15.75" hidden="1" customHeight="1" thickTop="1" x14ac:dyDescent="0.25">
      <c r="A304" s="113" t="s">
        <v>2574</v>
      </c>
      <c r="B304" s="8" t="s">
        <v>2628</v>
      </c>
      <c r="C304" s="24" t="s">
        <v>1933</v>
      </c>
      <c r="D304" s="28" t="s">
        <v>2300</v>
      </c>
      <c r="E304" s="29" t="s">
        <v>2387</v>
      </c>
      <c r="F304" s="29"/>
      <c r="G304" s="8">
        <v>5</v>
      </c>
      <c r="H304" s="82"/>
      <c r="I304" s="8"/>
      <c r="J304" s="83">
        <f>IF(ISNUMBER(MCC_Table[[#This Row],[SIZE]]), MCC_Table[[#This Row],[SIZE]]/12, 0)</f>
        <v>1.5</v>
      </c>
      <c r="K304" s="82">
        <v>20</v>
      </c>
      <c r="L304" s="82">
        <v>125</v>
      </c>
      <c r="M304" s="82">
        <v>12</v>
      </c>
      <c r="N304" s="82"/>
      <c r="O304" s="77"/>
      <c r="P304" s="85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225"/>
      <c r="AC304" s="225"/>
      <c r="AD304" s="225"/>
      <c r="AE304" s="8">
        <f>_xlfn.NUMBERVALUE(LEFT(MCC_Table[[#This Row],[BUCKET]],LEN(MCC_Table[[#This Row],[BUCKET]])-1))</f>
        <v>15</v>
      </c>
      <c r="AF304" s="8" t="str">
        <f>RIGHT(MCC_Table[[#This Row],[BUCKET]],1)</f>
        <v>K</v>
      </c>
      <c r="AG304" s="8">
        <f>VLOOKUP(MCC_Table[[#This Row],[START UNIT]],UnitMap[],2,FALSE)</f>
        <v>10</v>
      </c>
      <c r="AH304" s="8">
        <f t="array" ref="AH3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04" s="8">
        <f>IF(ISNUMBER(MCC_Table[[#This Row],[SIZE]]), MCC_Table[[#This Row],[SIZE]]/6, 0)</f>
        <v>3</v>
      </c>
      <c r="AJ304" s="8">
        <f>MCC_Table[[#This Row],[START INDEX]]+MCC_Table[[#This Row],[UNITS USED]]-1</f>
        <v>12</v>
      </c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</row>
    <row r="305" spans="1:57" ht="15.75" hidden="1" customHeight="1" thickTop="1" x14ac:dyDescent="0.25">
      <c r="A305" s="113" t="s">
        <v>2574</v>
      </c>
      <c r="B305" s="29" t="s">
        <v>2202</v>
      </c>
      <c r="C305" s="24" t="s">
        <v>2103</v>
      </c>
      <c r="D305" s="62" t="s">
        <v>2104</v>
      </c>
      <c r="E305" s="29" t="s">
        <v>2103</v>
      </c>
      <c r="F305" s="8"/>
      <c r="G305" s="8"/>
      <c r="H305" s="82"/>
      <c r="I305" s="8"/>
      <c r="J305" s="80">
        <f>IF(ISNUMBER(MCC_Table[[#This Row],[SIZE]]), MCC_Table[[#This Row],[SIZE]]/12, 0)</f>
        <v>0.5</v>
      </c>
      <c r="K305" s="82"/>
      <c r="L305" s="82"/>
      <c r="M305" s="82"/>
      <c r="N305" s="82"/>
      <c r="O305" s="77"/>
      <c r="P305" s="110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225"/>
      <c r="AC305" s="225"/>
      <c r="AD305" s="225"/>
      <c r="AE305" s="29">
        <f>_xlfn.NUMBERVALUE(LEFT(MCC_Table[[#This Row],[BUCKET]],LEN(MCC_Table[[#This Row],[BUCKET]])-1))</f>
        <v>16</v>
      </c>
      <c r="AF305" s="29" t="str">
        <f>RIGHT(MCC_Table[[#This Row],[BUCKET]],1)</f>
        <v>A</v>
      </c>
      <c r="AG305" s="29">
        <f>VLOOKUP(MCC_Table[[#This Row],[START UNIT]],UnitMap[],2,FALSE)</f>
        <v>1</v>
      </c>
      <c r="AH305" s="29">
        <f t="array" ref="AH3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305" s="29">
        <f>IF(ISNUMBER(MCC_Table[[#This Row],[SIZE]]), MCC_Table[[#This Row],[SIZE]]/6, 0)</f>
        <v>1</v>
      </c>
      <c r="AJ305" s="29">
        <f>MCC_Table[[#This Row],[START INDEX]]+MCC_Table[[#This Row],[UNITS USED]]-1</f>
        <v>1</v>
      </c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</row>
    <row r="306" spans="1:57" ht="15.75" hidden="1" customHeight="1" thickTop="1" x14ac:dyDescent="0.25">
      <c r="A306" s="113" t="s">
        <v>2574</v>
      </c>
      <c r="B306" s="8" t="s">
        <v>2629</v>
      </c>
      <c r="C306" s="24" t="s">
        <v>2630</v>
      </c>
      <c r="D306" s="28" t="s">
        <v>2631</v>
      </c>
      <c r="E306" s="29" t="s">
        <v>2387</v>
      </c>
      <c r="F306" s="29">
        <v>5</v>
      </c>
      <c r="G306" s="8">
        <v>5</v>
      </c>
      <c r="H306" s="82"/>
      <c r="I306" s="8"/>
      <c r="J306" s="83">
        <f>IF(ISNUMBER(MCC_Table[[#This Row],[SIZE]]), MCC_Table[[#This Row],[SIZE]]/12, 0)</f>
        <v>2</v>
      </c>
      <c r="K306" s="82">
        <v>20</v>
      </c>
      <c r="L306" s="82">
        <v>125</v>
      </c>
      <c r="M306" s="82">
        <v>12</v>
      </c>
      <c r="N306" s="82" t="s">
        <v>2124</v>
      </c>
      <c r="O306" s="77"/>
      <c r="P306" s="85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225"/>
      <c r="AC306" s="225"/>
      <c r="AD306" s="225"/>
      <c r="AE306" s="8">
        <f>_xlfn.NUMBERVALUE(LEFT(MCC_Table[[#This Row],[BUCKET]],LEN(MCC_Table[[#This Row],[BUCKET]])-1))</f>
        <v>16</v>
      </c>
      <c r="AF306" s="8" t="str">
        <f>RIGHT(MCC_Table[[#This Row],[BUCKET]],1)</f>
        <v>B</v>
      </c>
      <c r="AG306" s="8">
        <f>VLOOKUP(MCC_Table[[#This Row],[START UNIT]],UnitMap[],2,FALSE)</f>
        <v>2</v>
      </c>
      <c r="AH306" s="8">
        <f t="array" ref="AH3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06" s="8">
        <f>IF(ISNUMBER(MCC_Table[[#This Row],[SIZE]]), MCC_Table[[#This Row],[SIZE]]/6, 0)</f>
        <v>4</v>
      </c>
      <c r="AJ306" s="8">
        <f>MCC_Table[[#This Row],[START INDEX]]+MCC_Table[[#This Row],[UNITS USED]]-1</f>
        <v>5</v>
      </c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</row>
    <row r="307" spans="1:57" ht="15.75" hidden="1" customHeight="1" thickTop="1" x14ac:dyDescent="0.25">
      <c r="A307" s="113" t="s">
        <v>2574</v>
      </c>
      <c r="B307" s="29" t="s">
        <v>2632</v>
      </c>
      <c r="C307" s="24" t="s">
        <v>1933</v>
      </c>
      <c r="D307" s="28" t="s">
        <v>2633</v>
      </c>
      <c r="E307" s="29" t="s">
        <v>2387</v>
      </c>
      <c r="F307" s="8"/>
      <c r="G307" s="8">
        <v>30</v>
      </c>
      <c r="H307" s="82"/>
      <c r="I307" s="8"/>
      <c r="J307" s="80">
        <f>IF(ISNUMBER(MCC_Table[[#This Row],[SIZE]]), MCC_Table[[#This Row],[SIZE]]/12, 0)</f>
        <v>3.5</v>
      </c>
      <c r="K307" s="82">
        <v>100</v>
      </c>
      <c r="L307" s="82">
        <v>125</v>
      </c>
      <c r="M307" s="82" t="s">
        <v>1888</v>
      </c>
      <c r="N307" s="82"/>
      <c r="O307" s="77"/>
      <c r="P307" s="110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225"/>
      <c r="AC307" s="225"/>
      <c r="AD307" s="225"/>
      <c r="AE307" s="29">
        <f>_xlfn.NUMBERVALUE(LEFT(MCC_Table[[#This Row],[BUCKET]],LEN(MCC_Table[[#This Row],[BUCKET]])-1))</f>
        <v>16</v>
      </c>
      <c r="AF307" s="29" t="str">
        <f>RIGHT(MCC_Table[[#This Row],[BUCKET]],1)</f>
        <v>F</v>
      </c>
      <c r="AG307" s="29">
        <f>VLOOKUP(MCC_Table[[#This Row],[START UNIT]],UnitMap[],2,FALSE)</f>
        <v>6</v>
      </c>
      <c r="AH307" s="29">
        <f t="array" ref="AH3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07" s="29">
        <f>IF(ISNUMBER(MCC_Table[[#This Row],[SIZE]]), MCC_Table[[#This Row],[SIZE]]/6, 0)</f>
        <v>7</v>
      </c>
      <c r="AJ307" s="29">
        <f>MCC_Table[[#This Row],[START INDEX]]+MCC_Table[[#This Row],[UNITS USED]]-1</f>
        <v>12</v>
      </c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</row>
    <row r="308" spans="1:57" ht="15.75" hidden="1" customHeight="1" thickTop="1" x14ac:dyDescent="0.25">
      <c r="A308" s="113" t="s">
        <v>2574</v>
      </c>
      <c r="B308" s="29" t="s">
        <v>2212</v>
      </c>
      <c r="C308" s="24" t="s">
        <v>2586</v>
      </c>
      <c r="D308" s="62" t="s">
        <v>2224</v>
      </c>
      <c r="E308" s="24" t="s">
        <v>2225</v>
      </c>
      <c r="F308" s="8"/>
      <c r="G308" s="8"/>
      <c r="H308" s="87"/>
      <c r="I308" s="8"/>
      <c r="J308" s="80">
        <f>IF(ISNUMBER(MCC_Table[[#This Row],[SIZE]]), MCC_Table[[#This Row],[SIZE]]/12, 0)</f>
        <v>1</v>
      </c>
      <c r="K308" s="87"/>
      <c r="L308" s="82"/>
      <c r="M308" s="87"/>
      <c r="N308" s="87"/>
      <c r="O308" s="77"/>
      <c r="P308" s="105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225"/>
      <c r="AC308" s="225"/>
      <c r="AD308" s="225"/>
      <c r="AE308" s="29">
        <f>_xlfn.NUMBERVALUE(LEFT(MCC_Table[[#This Row],[BUCKET]],LEN(MCC_Table[[#This Row],[BUCKET]])-1))</f>
        <v>17</v>
      </c>
      <c r="AF308" s="29" t="str">
        <f>RIGHT(MCC_Table[[#This Row],[BUCKET]],1)</f>
        <v>A</v>
      </c>
      <c r="AG308" s="29">
        <f>VLOOKUP(MCC_Table[[#This Row],[START UNIT]],UnitMap[],2,FALSE)</f>
        <v>1</v>
      </c>
      <c r="AH308" s="29">
        <f t="array" ref="AH3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08" s="29">
        <f>IF(ISNUMBER(MCC_Table[[#This Row],[SIZE]]), MCC_Table[[#This Row],[SIZE]]/6, 0)</f>
        <v>2</v>
      </c>
      <c r="AJ308" s="29">
        <f>MCC_Table[[#This Row],[START INDEX]]+MCC_Table[[#This Row],[UNITS USED]]-1</f>
        <v>2</v>
      </c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</row>
    <row r="309" spans="1:57" ht="15.75" hidden="1" customHeight="1" thickTop="1" x14ac:dyDescent="0.25">
      <c r="A309" s="113" t="s">
        <v>2574</v>
      </c>
      <c r="B309" s="29" t="s">
        <v>2303</v>
      </c>
      <c r="C309" s="24" t="s">
        <v>2103</v>
      </c>
      <c r="D309" s="62" t="s">
        <v>2104</v>
      </c>
      <c r="E309" s="29" t="s">
        <v>2103</v>
      </c>
      <c r="F309" s="8"/>
      <c r="G309" s="8"/>
      <c r="H309" s="82"/>
      <c r="I309" s="8"/>
      <c r="J309" s="80">
        <f>IF(ISNUMBER(MCC_Table[[#This Row],[SIZE]]), MCC_Table[[#This Row],[SIZE]]/12, 0)</f>
        <v>0.5</v>
      </c>
      <c r="K309" s="82"/>
      <c r="L309" s="82"/>
      <c r="M309" s="82"/>
      <c r="N309" s="82"/>
      <c r="O309" s="77"/>
      <c r="P309" s="110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225"/>
      <c r="AC309" s="225"/>
      <c r="AD309" s="225"/>
      <c r="AE309" s="29">
        <f>_xlfn.NUMBERVALUE(LEFT(MCC_Table[[#This Row],[BUCKET]],LEN(MCC_Table[[#This Row],[BUCKET]])-1))</f>
        <v>17</v>
      </c>
      <c r="AF309" s="29" t="str">
        <f>RIGHT(MCC_Table[[#This Row],[BUCKET]],1)</f>
        <v>C</v>
      </c>
      <c r="AG309" s="29">
        <f>VLOOKUP(MCC_Table[[#This Row],[START UNIT]],UnitMap[],2,FALSE)</f>
        <v>3</v>
      </c>
      <c r="AH309" s="29">
        <f t="array" ref="AH3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309" s="29">
        <f>IF(ISNUMBER(MCC_Table[[#This Row],[SIZE]]), MCC_Table[[#This Row],[SIZE]]/6, 0)</f>
        <v>1</v>
      </c>
      <c r="AJ309" s="29">
        <f>MCC_Table[[#This Row],[START INDEX]]+MCC_Table[[#This Row],[UNITS USED]]-1</f>
        <v>3</v>
      </c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</row>
    <row r="310" spans="1:57" ht="15.75" hidden="1" customHeight="1" thickTop="1" x14ac:dyDescent="0.25">
      <c r="A310" s="113" t="s">
        <v>2574</v>
      </c>
      <c r="B310" s="8" t="s">
        <v>2634</v>
      </c>
      <c r="C310" s="24" t="s">
        <v>1933</v>
      </c>
      <c r="D310" s="28" t="s">
        <v>2300</v>
      </c>
      <c r="E310" s="29" t="s">
        <v>2387</v>
      </c>
      <c r="F310" s="29"/>
      <c r="G310" s="8">
        <v>5</v>
      </c>
      <c r="H310" s="82"/>
      <c r="I310" s="8"/>
      <c r="J310" s="83">
        <f>IF(ISNUMBER(MCC_Table[[#This Row],[SIZE]]), MCC_Table[[#This Row],[SIZE]]/12, 0)</f>
        <v>1.5</v>
      </c>
      <c r="K310" s="82">
        <v>20</v>
      </c>
      <c r="L310" s="82">
        <v>125</v>
      </c>
      <c r="M310" s="82">
        <v>12</v>
      </c>
      <c r="N310" s="82"/>
      <c r="O310" s="77"/>
      <c r="P310" s="85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225"/>
      <c r="AC310" s="225"/>
      <c r="AD310" s="225"/>
      <c r="AE310" s="8">
        <f>_xlfn.NUMBERVALUE(LEFT(MCC_Table[[#This Row],[BUCKET]],LEN(MCC_Table[[#This Row],[BUCKET]])-1))</f>
        <v>17</v>
      </c>
      <c r="AF310" s="8" t="str">
        <f>RIGHT(MCC_Table[[#This Row],[BUCKET]],1)</f>
        <v>D</v>
      </c>
      <c r="AG310" s="8">
        <f>VLOOKUP(MCC_Table[[#This Row],[START UNIT]],UnitMap[],2,FALSE)</f>
        <v>4</v>
      </c>
      <c r="AH310" s="8">
        <f t="array" ref="AH3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10" s="8">
        <f>IF(ISNUMBER(MCC_Table[[#This Row],[SIZE]]), MCC_Table[[#This Row],[SIZE]]/6, 0)</f>
        <v>3</v>
      </c>
      <c r="AJ310" s="8">
        <f>MCC_Table[[#This Row],[START INDEX]]+MCC_Table[[#This Row],[UNITS USED]]-1</f>
        <v>6</v>
      </c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</row>
    <row r="311" spans="1:57" ht="15.75" hidden="1" customHeight="1" thickTop="1" x14ac:dyDescent="0.25">
      <c r="A311" s="113" t="s">
        <v>2574</v>
      </c>
      <c r="B311" s="8" t="s">
        <v>2304</v>
      </c>
      <c r="C311" s="24" t="s">
        <v>1933</v>
      </c>
      <c r="D311" s="28" t="s">
        <v>2300</v>
      </c>
      <c r="E311" s="29" t="s">
        <v>2387</v>
      </c>
      <c r="F311" s="29"/>
      <c r="G311" s="8">
        <v>5</v>
      </c>
      <c r="H311" s="82"/>
      <c r="I311" s="8"/>
      <c r="J311" s="83">
        <f>IF(ISNUMBER(MCC_Table[[#This Row],[SIZE]]), MCC_Table[[#This Row],[SIZE]]/12, 0)</f>
        <v>1.5</v>
      </c>
      <c r="K311" s="82">
        <v>20</v>
      </c>
      <c r="L311" s="82">
        <v>125</v>
      </c>
      <c r="M311" s="82">
        <v>12</v>
      </c>
      <c r="N311" s="82"/>
      <c r="O311" s="77"/>
      <c r="P311" s="85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225"/>
      <c r="AC311" s="225"/>
      <c r="AD311" s="225"/>
      <c r="AE311" s="8">
        <f>_xlfn.NUMBERVALUE(LEFT(MCC_Table[[#This Row],[BUCKET]],LEN(MCC_Table[[#This Row],[BUCKET]])-1))</f>
        <v>17</v>
      </c>
      <c r="AF311" s="8" t="str">
        <f>RIGHT(MCC_Table[[#This Row],[BUCKET]],1)</f>
        <v>G</v>
      </c>
      <c r="AG311" s="8">
        <f>VLOOKUP(MCC_Table[[#This Row],[START UNIT]],UnitMap[],2,FALSE)</f>
        <v>7</v>
      </c>
      <c r="AH311" s="8">
        <f t="array" ref="AH3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11" s="8">
        <f>IF(ISNUMBER(MCC_Table[[#This Row],[SIZE]]), MCC_Table[[#This Row],[SIZE]]/6, 0)</f>
        <v>3</v>
      </c>
      <c r="AJ311" s="8">
        <f>MCC_Table[[#This Row],[START INDEX]]+MCC_Table[[#This Row],[UNITS USED]]-1</f>
        <v>9</v>
      </c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</row>
    <row r="312" spans="1:57" ht="15.75" hidden="1" customHeight="1" thickTop="1" x14ac:dyDescent="0.25">
      <c r="A312" s="113" t="s">
        <v>2574</v>
      </c>
      <c r="B312" s="29" t="s">
        <v>2635</v>
      </c>
      <c r="C312" s="111" t="s">
        <v>2636</v>
      </c>
      <c r="D312" s="28" t="s">
        <v>2637</v>
      </c>
      <c r="E312" s="112" t="s">
        <v>2387</v>
      </c>
      <c r="F312" s="29">
        <v>5</v>
      </c>
      <c r="G312" s="8">
        <v>5</v>
      </c>
      <c r="H312" s="82"/>
      <c r="I312" s="8"/>
      <c r="J312" s="80">
        <f>IF(ISNUMBER(MCC_Table[[#This Row],[SIZE]]), MCC_Table[[#This Row],[SIZE]]/12, 0)</f>
        <v>1.5</v>
      </c>
      <c r="K312" s="82">
        <v>20</v>
      </c>
      <c r="L312" s="82">
        <v>125</v>
      </c>
      <c r="M312" s="82">
        <v>12</v>
      </c>
      <c r="N312" s="82" t="s">
        <v>2124</v>
      </c>
      <c r="O312" s="77"/>
      <c r="P312" s="110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225"/>
      <c r="AC312" s="225"/>
      <c r="AD312" s="225"/>
      <c r="AE312" s="29">
        <f>_xlfn.NUMBERVALUE(LEFT(MCC_Table[[#This Row],[BUCKET]],LEN(MCC_Table[[#This Row],[BUCKET]])-1))</f>
        <v>17</v>
      </c>
      <c r="AF312" s="29" t="str">
        <f>RIGHT(MCC_Table[[#This Row],[BUCKET]],1)</f>
        <v>K</v>
      </c>
      <c r="AG312" s="29">
        <f>VLOOKUP(MCC_Table[[#This Row],[START UNIT]],UnitMap[],2,FALSE)</f>
        <v>10</v>
      </c>
      <c r="AH312" s="29">
        <f t="array" ref="AH3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12" s="29">
        <f>IF(ISNUMBER(MCC_Table[[#This Row],[SIZE]]), MCC_Table[[#This Row],[SIZE]]/6, 0)</f>
        <v>3</v>
      </c>
      <c r="AJ312" s="29">
        <f>MCC_Table[[#This Row],[START INDEX]]+MCC_Table[[#This Row],[UNITS USED]]-1</f>
        <v>12</v>
      </c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</row>
    <row r="313" spans="1:57" ht="15.75" hidden="1" customHeight="1" thickTop="1" x14ac:dyDescent="0.25">
      <c r="A313" s="113" t="s">
        <v>2574</v>
      </c>
      <c r="B313" s="29" t="s">
        <v>2216</v>
      </c>
      <c r="C313" s="24" t="s">
        <v>2103</v>
      </c>
      <c r="D313" s="62" t="s">
        <v>2143</v>
      </c>
      <c r="E313" s="29" t="s">
        <v>2103</v>
      </c>
      <c r="F313" s="8"/>
      <c r="G313" s="8"/>
      <c r="H313" s="82"/>
      <c r="I313" s="8"/>
      <c r="J313" s="80">
        <f>IF(ISNUMBER(MCC_Table[[#This Row],[SIZE]]), MCC_Table[[#This Row],[SIZE]]/12, 0)</f>
        <v>1</v>
      </c>
      <c r="K313" s="82"/>
      <c r="L313" s="82"/>
      <c r="M313" s="82"/>
      <c r="N313" s="82"/>
      <c r="O313" s="77"/>
      <c r="P313" s="110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225"/>
      <c r="AC313" s="225"/>
      <c r="AD313" s="225"/>
      <c r="AE313" s="29">
        <f>_xlfn.NUMBERVALUE(LEFT(MCC_Table[[#This Row],[BUCKET]],LEN(MCC_Table[[#This Row],[BUCKET]])-1))</f>
        <v>18</v>
      </c>
      <c r="AF313" s="29" t="str">
        <f>RIGHT(MCC_Table[[#This Row],[BUCKET]],1)</f>
        <v>A</v>
      </c>
      <c r="AG313" s="29">
        <f>VLOOKUP(MCC_Table[[#This Row],[START UNIT]],UnitMap[],2,FALSE)</f>
        <v>1</v>
      </c>
      <c r="AH313" s="29">
        <f t="array" ref="AH3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3" s="29">
        <f>IF(ISNUMBER(MCC_Table[[#This Row],[SIZE]]), MCC_Table[[#This Row],[SIZE]]/6, 0)</f>
        <v>2</v>
      </c>
      <c r="AJ313" s="29">
        <f>MCC_Table[[#This Row],[START INDEX]]+MCC_Table[[#This Row],[UNITS USED]]-1</f>
        <v>2</v>
      </c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</row>
    <row r="314" spans="1:57" ht="15.75" hidden="1" customHeight="1" thickTop="1" x14ac:dyDescent="0.25">
      <c r="A314" s="113" t="s">
        <v>2574</v>
      </c>
      <c r="B314" s="29" t="s">
        <v>2307</v>
      </c>
      <c r="C314" s="24" t="s">
        <v>2103</v>
      </c>
      <c r="D314" s="62" t="s">
        <v>2143</v>
      </c>
      <c r="E314" s="29" t="s">
        <v>2103</v>
      </c>
      <c r="F314" s="8"/>
      <c r="G314" s="8"/>
      <c r="H314" s="82"/>
      <c r="I314" s="8"/>
      <c r="J314" s="80">
        <f>IF(ISNUMBER(MCC_Table[[#This Row],[SIZE]]), MCC_Table[[#This Row],[SIZE]]/12, 0)</f>
        <v>1</v>
      </c>
      <c r="K314" s="82"/>
      <c r="L314" s="82"/>
      <c r="M314" s="82"/>
      <c r="N314" s="82"/>
      <c r="O314" s="77"/>
      <c r="P314" s="110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225"/>
      <c r="AC314" s="225"/>
      <c r="AD314" s="225"/>
      <c r="AE314" s="29">
        <f>_xlfn.NUMBERVALUE(LEFT(MCC_Table[[#This Row],[BUCKET]],LEN(MCC_Table[[#This Row],[BUCKET]])-1))</f>
        <v>18</v>
      </c>
      <c r="AF314" s="29" t="str">
        <f>RIGHT(MCC_Table[[#This Row],[BUCKET]],1)</f>
        <v>C</v>
      </c>
      <c r="AG314" s="29">
        <f>VLOOKUP(MCC_Table[[#This Row],[START UNIT]],UnitMap[],2,FALSE)</f>
        <v>3</v>
      </c>
      <c r="AH314" s="29">
        <f t="array" ref="AH3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4" s="29">
        <f>IF(ISNUMBER(MCC_Table[[#This Row],[SIZE]]), MCC_Table[[#This Row],[SIZE]]/6, 0)</f>
        <v>2</v>
      </c>
      <c r="AJ314" s="29">
        <f>MCC_Table[[#This Row],[START INDEX]]+MCC_Table[[#This Row],[UNITS USED]]-1</f>
        <v>4</v>
      </c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</row>
    <row r="315" spans="1:57" ht="15.75" hidden="1" customHeight="1" thickTop="1" x14ac:dyDescent="0.25">
      <c r="A315" s="113" t="s">
        <v>2574</v>
      </c>
      <c r="B315" s="29" t="s">
        <v>2478</v>
      </c>
      <c r="C315" s="24" t="s">
        <v>2103</v>
      </c>
      <c r="D315" s="62" t="s">
        <v>2143</v>
      </c>
      <c r="E315" s="29" t="s">
        <v>2103</v>
      </c>
      <c r="F315" s="8"/>
      <c r="G315" s="8"/>
      <c r="H315" s="82"/>
      <c r="I315" s="8"/>
      <c r="J315" s="80">
        <f>IF(ISNUMBER(MCC_Table[[#This Row],[SIZE]]), MCC_Table[[#This Row],[SIZE]]/12, 0)</f>
        <v>1</v>
      </c>
      <c r="K315" s="82"/>
      <c r="L315" s="82"/>
      <c r="M315" s="82"/>
      <c r="N315" s="82"/>
      <c r="O315" s="77"/>
      <c r="P315" s="110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225"/>
      <c r="AC315" s="225"/>
      <c r="AD315" s="225"/>
      <c r="AE315" s="29">
        <f>_xlfn.NUMBERVALUE(LEFT(MCC_Table[[#This Row],[BUCKET]],LEN(MCC_Table[[#This Row],[BUCKET]])-1))</f>
        <v>18</v>
      </c>
      <c r="AF315" s="29" t="str">
        <f>RIGHT(MCC_Table[[#This Row],[BUCKET]],1)</f>
        <v>E</v>
      </c>
      <c r="AG315" s="29">
        <f>VLOOKUP(MCC_Table[[#This Row],[START UNIT]],UnitMap[],2,FALSE)</f>
        <v>5</v>
      </c>
      <c r="AH315" s="29">
        <f t="array" ref="AH3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5" s="29">
        <f>IF(ISNUMBER(MCC_Table[[#This Row],[SIZE]]), MCC_Table[[#This Row],[SIZE]]/6, 0)</f>
        <v>2</v>
      </c>
      <c r="AJ315" s="29">
        <f>MCC_Table[[#This Row],[START INDEX]]+MCC_Table[[#This Row],[UNITS USED]]-1</f>
        <v>6</v>
      </c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</row>
    <row r="316" spans="1:57" ht="15.75" hidden="1" customHeight="1" thickTop="1" x14ac:dyDescent="0.25">
      <c r="A316" s="113" t="s">
        <v>2574</v>
      </c>
      <c r="B316" s="29" t="s">
        <v>2310</v>
      </c>
      <c r="C316" s="24" t="s">
        <v>2103</v>
      </c>
      <c r="D316" s="62" t="s">
        <v>2143</v>
      </c>
      <c r="E316" s="29" t="s">
        <v>2103</v>
      </c>
      <c r="F316" s="8"/>
      <c r="G316" s="8"/>
      <c r="H316" s="82"/>
      <c r="I316" s="8"/>
      <c r="J316" s="80">
        <f>IF(ISNUMBER(MCC_Table[[#This Row],[SIZE]]), MCC_Table[[#This Row],[SIZE]]/12, 0)</f>
        <v>1</v>
      </c>
      <c r="K316" s="82"/>
      <c r="L316" s="82"/>
      <c r="M316" s="82"/>
      <c r="N316" s="82"/>
      <c r="O316" s="77"/>
      <c r="P316" s="110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225"/>
      <c r="AC316" s="225"/>
      <c r="AD316" s="225"/>
      <c r="AE316" s="29">
        <f>_xlfn.NUMBERVALUE(LEFT(MCC_Table[[#This Row],[BUCKET]],LEN(MCC_Table[[#This Row],[BUCKET]])-1))</f>
        <v>18</v>
      </c>
      <c r="AF316" s="29" t="str">
        <f>RIGHT(MCC_Table[[#This Row],[BUCKET]],1)</f>
        <v>G</v>
      </c>
      <c r="AG316" s="29">
        <f>VLOOKUP(MCC_Table[[#This Row],[START UNIT]],UnitMap[],2,FALSE)</f>
        <v>7</v>
      </c>
      <c r="AH316" s="29">
        <f t="array" ref="AH3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6" s="29">
        <f>IF(ISNUMBER(MCC_Table[[#This Row],[SIZE]]), MCC_Table[[#This Row],[SIZE]]/6, 0)</f>
        <v>2</v>
      </c>
      <c r="AJ316" s="29">
        <f>MCC_Table[[#This Row],[START INDEX]]+MCC_Table[[#This Row],[UNITS USED]]-1</f>
        <v>8</v>
      </c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</row>
    <row r="317" spans="1:57" ht="15.75" hidden="1" customHeight="1" thickTop="1" x14ac:dyDescent="0.25">
      <c r="A317" s="113" t="s">
        <v>2574</v>
      </c>
      <c r="B317" s="29" t="s">
        <v>2638</v>
      </c>
      <c r="C317" s="24" t="s">
        <v>2103</v>
      </c>
      <c r="D317" s="62" t="s">
        <v>2143</v>
      </c>
      <c r="E317" s="29" t="s">
        <v>2103</v>
      </c>
      <c r="F317" s="8"/>
      <c r="G317" s="8"/>
      <c r="H317" s="82"/>
      <c r="I317" s="8"/>
      <c r="J317" s="80">
        <f>IF(ISNUMBER(MCC_Table[[#This Row],[SIZE]]), MCC_Table[[#This Row],[SIZE]]/12, 0)</f>
        <v>1</v>
      </c>
      <c r="K317" s="82"/>
      <c r="L317" s="82"/>
      <c r="M317" s="82"/>
      <c r="N317" s="82"/>
      <c r="O317" s="77"/>
      <c r="P317" s="110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225"/>
      <c r="AC317" s="225"/>
      <c r="AD317" s="225"/>
      <c r="AE317" s="29">
        <f>_xlfn.NUMBERVALUE(LEFT(MCC_Table[[#This Row],[BUCKET]],LEN(MCC_Table[[#This Row],[BUCKET]])-1))</f>
        <v>18</v>
      </c>
      <c r="AF317" s="29" t="str">
        <f>RIGHT(MCC_Table[[#This Row],[BUCKET]],1)</f>
        <v>J</v>
      </c>
      <c r="AG317" s="29">
        <f>VLOOKUP(MCC_Table[[#This Row],[START UNIT]],UnitMap[],2,FALSE)</f>
        <v>9</v>
      </c>
      <c r="AH317" s="29">
        <f t="array" ref="AH3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7" s="29">
        <f>IF(ISNUMBER(MCC_Table[[#This Row],[SIZE]]), MCC_Table[[#This Row],[SIZE]]/6, 0)</f>
        <v>2</v>
      </c>
      <c r="AJ317" s="29">
        <f>MCC_Table[[#This Row],[START INDEX]]+MCC_Table[[#This Row],[UNITS USED]]-1</f>
        <v>10</v>
      </c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</row>
    <row r="318" spans="1:57" ht="16.5" hidden="1" customHeight="1" thickTop="1" thickBot="1" x14ac:dyDescent="0.3">
      <c r="A318" s="108" t="s">
        <v>2574</v>
      </c>
      <c r="B318" s="94" t="s">
        <v>2639</v>
      </c>
      <c r="C318" s="92" t="s">
        <v>2103</v>
      </c>
      <c r="D318" s="116" t="s">
        <v>2143</v>
      </c>
      <c r="E318" s="94" t="s">
        <v>2103</v>
      </c>
      <c r="F318" s="91"/>
      <c r="G318" s="91"/>
      <c r="H318" s="97"/>
      <c r="I318" s="91"/>
      <c r="J318" s="109">
        <f>IF(ISNUMBER(MCC_Table[[#This Row],[SIZE]]), MCC_Table[[#This Row],[SIZE]]/12, 0)</f>
        <v>1</v>
      </c>
      <c r="K318" s="97"/>
      <c r="L318" s="97"/>
      <c r="M318" s="97"/>
      <c r="N318" s="97"/>
      <c r="O318" s="117"/>
      <c r="P318" s="110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226"/>
      <c r="AC318" s="226"/>
      <c r="AD318" s="226"/>
      <c r="AE318" s="94">
        <f>_xlfn.NUMBERVALUE(LEFT(MCC_Table[[#This Row],[BUCKET]],LEN(MCC_Table[[#This Row],[BUCKET]])-1))</f>
        <v>18</v>
      </c>
      <c r="AF318" s="94" t="str">
        <f>RIGHT(MCC_Table[[#This Row],[BUCKET]],1)</f>
        <v>L</v>
      </c>
      <c r="AG318" s="94">
        <f>VLOOKUP(MCC_Table[[#This Row],[START UNIT]],UnitMap[],2,FALSE)</f>
        <v>11</v>
      </c>
      <c r="AH318" s="94">
        <f t="array" ref="AH3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18" s="94">
        <f>IF(ISNUMBER(MCC_Table[[#This Row],[SIZE]]), MCC_Table[[#This Row],[SIZE]]/6, 0)</f>
        <v>2</v>
      </c>
      <c r="AJ318" s="94">
        <f>MCC_Table[[#This Row],[START INDEX]]+MCC_Table[[#This Row],[UNITS USED]]-1</f>
        <v>12</v>
      </c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</row>
    <row r="319" spans="1:57" ht="15.75" hidden="1" customHeight="1" thickTop="1" x14ac:dyDescent="0.25">
      <c r="A319" s="115" t="s">
        <v>2640</v>
      </c>
      <c r="B319" s="98" t="s">
        <v>2074</v>
      </c>
      <c r="C319" s="99" t="s">
        <v>2075</v>
      </c>
      <c r="D319" s="100" t="s">
        <v>2076</v>
      </c>
      <c r="E319" s="99" t="s">
        <v>2075</v>
      </c>
      <c r="F319" s="10"/>
      <c r="G319" s="10"/>
      <c r="H319" s="76"/>
      <c r="I319" s="10"/>
      <c r="J319" s="101">
        <f>IF(ISNUMBER(MCC_Table[[#This Row],[SIZE]]), MCC_Table[[#This Row],[SIZE]]/12, 0)</f>
        <v>3.5</v>
      </c>
      <c r="K319" s="76">
        <v>1200</v>
      </c>
      <c r="L319" s="76">
        <v>1200</v>
      </c>
      <c r="M319" s="76" t="s">
        <v>1888</v>
      </c>
      <c r="N319" s="76"/>
      <c r="O319" s="84"/>
      <c r="P319" s="110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224"/>
      <c r="AC319" s="224"/>
      <c r="AD319" s="224"/>
      <c r="AE319" s="98">
        <f>_xlfn.NUMBERVALUE(LEFT(MCC_Table[[#This Row],[BUCKET]],LEN(MCC_Table[[#This Row],[BUCKET]])-1))</f>
        <v>1</v>
      </c>
      <c r="AF319" s="98" t="str">
        <f>RIGHT(MCC_Table[[#This Row],[BUCKET]],1)</f>
        <v>A</v>
      </c>
      <c r="AG319" s="98">
        <f>VLOOKUP(MCC_Table[[#This Row],[START UNIT]],UnitMap[],2,FALSE)</f>
        <v>1</v>
      </c>
      <c r="AH319" s="98">
        <f t="array" ref="AH3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19" s="98">
        <f>IF(ISNUMBER(MCC_Table[[#This Row],[SIZE]]), MCC_Table[[#This Row],[SIZE]]/6, 0)</f>
        <v>7</v>
      </c>
      <c r="AJ319" s="98">
        <f>MCC_Table[[#This Row],[START INDEX]]+MCC_Table[[#This Row],[UNITS USED]]-1</f>
        <v>7</v>
      </c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</row>
    <row r="320" spans="1:57" ht="15.75" hidden="1" customHeight="1" thickTop="1" x14ac:dyDescent="0.25">
      <c r="A320" s="113" t="s">
        <v>2640</v>
      </c>
      <c r="B320" s="29" t="s">
        <v>2080</v>
      </c>
      <c r="C320" s="24" t="s">
        <v>2081</v>
      </c>
      <c r="D320" s="62" t="s">
        <v>2082</v>
      </c>
      <c r="E320" s="24" t="s">
        <v>2083</v>
      </c>
      <c r="F320" s="8"/>
      <c r="G320" s="8"/>
      <c r="H320" s="81"/>
      <c r="I320" s="8"/>
      <c r="J320" s="80">
        <f>IF(ISNUMBER(MCC_Table[[#This Row],[SIZE]]), MCC_Table[[#This Row],[SIZE]]/12, 0)</f>
        <v>1.5</v>
      </c>
      <c r="K320" s="81" t="s">
        <v>1888</v>
      </c>
      <c r="L320" s="82" t="s">
        <v>1888</v>
      </c>
      <c r="M320" s="81">
        <v>0.75</v>
      </c>
      <c r="N320" s="81"/>
      <c r="O320" s="77"/>
      <c r="P320" s="110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225"/>
      <c r="AC320" s="225"/>
      <c r="AD320" s="225"/>
      <c r="AE320" s="29">
        <f>_xlfn.NUMBERVALUE(LEFT(MCC_Table[[#This Row],[BUCKET]],LEN(MCC_Table[[#This Row],[BUCKET]])-1))</f>
        <v>1</v>
      </c>
      <c r="AF320" s="29" t="str">
        <f>RIGHT(MCC_Table[[#This Row],[BUCKET]],1)</f>
        <v>H</v>
      </c>
      <c r="AG320" s="29">
        <f>VLOOKUP(MCC_Table[[#This Row],[START UNIT]],UnitMap[],2,FALSE)</f>
        <v>8</v>
      </c>
      <c r="AH320" s="29">
        <f t="array" ref="AH3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20" s="29">
        <f>IF(ISNUMBER(MCC_Table[[#This Row],[SIZE]]), MCC_Table[[#This Row],[SIZE]]/6, 0)</f>
        <v>3</v>
      </c>
      <c r="AJ320" s="29">
        <f>MCC_Table[[#This Row],[START INDEX]]+MCC_Table[[#This Row],[UNITS USED]]-1</f>
        <v>10</v>
      </c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</row>
    <row r="321" spans="1:57" ht="15.75" hidden="1" customHeight="1" thickTop="1" x14ac:dyDescent="0.25">
      <c r="A321" s="113" t="s">
        <v>2640</v>
      </c>
      <c r="B321" s="29" t="s">
        <v>2084</v>
      </c>
      <c r="C321" s="24" t="s">
        <v>2103</v>
      </c>
      <c r="D321" s="62" t="s">
        <v>2143</v>
      </c>
      <c r="E321" s="29" t="s">
        <v>2103</v>
      </c>
      <c r="F321" s="8"/>
      <c r="G321" s="8"/>
      <c r="H321" s="82"/>
      <c r="I321" s="8"/>
      <c r="J321" s="80">
        <f>IF(ISNUMBER(MCC_Table[[#This Row],[SIZE]]), MCC_Table[[#This Row],[SIZE]]/12, 0)</f>
        <v>1</v>
      </c>
      <c r="K321" s="82"/>
      <c r="L321" s="82"/>
      <c r="M321" s="82"/>
      <c r="N321" s="82"/>
      <c r="O321" s="77"/>
      <c r="P321" s="110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225"/>
      <c r="AC321" s="225"/>
      <c r="AD321" s="225"/>
      <c r="AE321" s="29">
        <f>_xlfn.NUMBERVALUE(LEFT(MCC_Table[[#This Row],[BUCKET]],LEN(MCC_Table[[#This Row],[BUCKET]])-1))</f>
        <v>1</v>
      </c>
      <c r="AF321" s="29" t="str">
        <f>RIGHT(MCC_Table[[#This Row],[BUCKET]],1)</f>
        <v>L</v>
      </c>
      <c r="AG321" s="29">
        <f>VLOOKUP(MCC_Table[[#This Row],[START UNIT]],UnitMap[],2,FALSE)</f>
        <v>11</v>
      </c>
      <c r="AH321" s="29">
        <f t="array" ref="AH3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21" s="29">
        <f>IF(ISNUMBER(MCC_Table[[#This Row],[SIZE]]), MCC_Table[[#This Row],[SIZE]]/6, 0)</f>
        <v>2</v>
      </c>
      <c r="AJ321" s="29">
        <f>MCC_Table[[#This Row],[START INDEX]]+MCC_Table[[#This Row],[UNITS USED]]-1</f>
        <v>12</v>
      </c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</row>
    <row r="322" spans="1:57" ht="15.75" hidden="1" customHeight="1" thickTop="1" x14ac:dyDescent="0.25">
      <c r="A322" s="113" t="s">
        <v>2640</v>
      </c>
      <c r="B322" s="29" t="s">
        <v>2222</v>
      </c>
      <c r="C322" s="24" t="s">
        <v>2103</v>
      </c>
      <c r="D322" s="62" t="s">
        <v>2143</v>
      </c>
      <c r="E322" s="29" t="s">
        <v>2103</v>
      </c>
      <c r="F322" s="8"/>
      <c r="G322" s="8"/>
      <c r="H322" s="82"/>
      <c r="I322" s="8"/>
      <c r="J322" s="80">
        <f>IF(ISNUMBER(MCC_Table[[#This Row],[SIZE]]), MCC_Table[[#This Row],[SIZE]]/12, 0)</f>
        <v>1</v>
      </c>
      <c r="K322" s="82"/>
      <c r="L322" s="82"/>
      <c r="M322" s="82"/>
      <c r="N322" s="82"/>
      <c r="O322" s="77"/>
      <c r="P322" s="110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225"/>
      <c r="AC322" s="225"/>
      <c r="AD322" s="225"/>
      <c r="AE322" s="29">
        <f>_xlfn.NUMBERVALUE(LEFT(MCC_Table[[#This Row],[BUCKET]],LEN(MCC_Table[[#This Row],[BUCKET]])-1))</f>
        <v>2</v>
      </c>
      <c r="AF322" s="29" t="str">
        <f>RIGHT(MCC_Table[[#This Row],[BUCKET]],1)</f>
        <v>A</v>
      </c>
      <c r="AG322" s="29">
        <f>VLOOKUP(MCC_Table[[#This Row],[START UNIT]],UnitMap[],2,FALSE)</f>
        <v>1</v>
      </c>
      <c r="AH322" s="29">
        <f t="array" ref="AH3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22" s="29">
        <f>IF(ISNUMBER(MCC_Table[[#This Row],[SIZE]]), MCC_Table[[#This Row],[SIZE]]/6, 0)</f>
        <v>2</v>
      </c>
      <c r="AJ322" s="29">
        <f>MCC_Table[[#This Row],[START INDEX]]+MCC_Table[[#This Row],[UNITS USED]]-1</f>
        <v>2</v>
      </c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</row>
    <row r="323" spans="1:57" ht="15.75" hidden="1" customHeight="1" thickTop="1" x14ac:dyDescent="0.25">
      <c r="A323" s="113" t="s">
        <v>2640</v>
      </c>
      <c r="B323" s="8" t="s">
        <v>2096</v>
      </c>
      <c r="C323" s="24" t="s">
        <v>2641</v>
      </c>
      <c r="D323" s="28" t="s">
        <v>2642</v>
      </c>
      <c r="E323" s="29" t="s">
        <v>2387</v>
      </c>
      <c r="F323" s="8" t="s">
        <v>2643</v>
      </c>
      <c r="G323" s="8">
        <v>50</v>
      </c>
      <c r="H323" s="87"/>
      <c r="I323" s="8"/>
      <c r="J323" s="83">
        <f>IF(ISNUMBER(MCC_Table[[#This Row],[SIZE]]), MCC_Table[[#This Row],[SIZE]]/12, 0)</f>
        <v>5</v>
      </c>
      <c r="K323" s="87">
        <v>125</v>
      </c>
      <c r="L323" s="82">
        <v>125</v>
      </c>
      <c r="M323" s="87">
        <v>100</v>
      </c>
      <c r="N323" s="82" t="s">
        <v>2198</v>
      </c>
      <c r="O323" s="77"/>
      <c r="P323" s="88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225"/>
      <c r="AC323" s="225"/>
      <c r="AD323" s="225"/>
      <c r="AE323" s="8">
        <f>_xlfn.NUMBERVALUE(LEFT(MCC_Table[[#This Row],[BUCKET]],LEN(MCC_Table[[#This Row],[BUCKET]])-1))</f>
        <v>2</v>
      </c>
      <c r="AF323" s="8" t="str">
        <f>RIGHT(MCC_Table[[#This Row],[BUCKET]],1)</f>
        <v>C</v>
      </c>
      <c r="AG323" s="8">
        <f>VLOOKUP(MCC_Table[[#This Row],[START UNIT]],UnitMap[],2,FALSE)</f>
        <v>3</v>
      </c>
      <c r="AH323" s="8">
        <f t="array" ref="AH3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60</v>
      </c>
      <c r="AI323" s="8">
        <f>IF(ISNUMBER(MCC_Table[[#This Row],[SIZE]]), MCC_Table[[#This Row],[SIZE]]/6, 0)</f>
        <v>10</v>
      </c>
      <c r="AJ323" s="8">
        <f>MCC_Table[[#This Row],[START INDEX]]+MCC_Table[[#This Row],[UNITS USED]]-1</f>
        <v>12</v>
      </c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</row>
    <row r="324" spans="1:57" ht="15.75" hidden="1" customHeight="1" thickTop="1" x14ac:dyDescent="0.25">
      <c r="A324" s="113" t="s">
        <v>2640</v>
      </c>
      <c r="B324" s="29" t="s">
        <v>2113</v>
      </c>
      <c r="C324" s="24" t="s">
        <v>1933</v>
      </c>
      <c r="D324" s="28" t="s">
        <v>2644</v>
      </c>
      <c r="E324" s="29" t="s">
        <v>2387</v>
      </c>
      <c r="F324" s="8"/>
      <c r="G324" s="8">
        <v>15</v>
      </c>
      <c r="H324" s="82"/>
      <c r="I324" s="8"/>
      <c r="J324" s="80">
        <f>IF(ISNUMBER(MCC_Table[[#This Row],[SIZE]]), MCC_Table[[#This Row],[SIZE]]/12, 0)</f>
        <v>2.5</v>
      </c>
      <c r="K324" s="82">
        <v>60</v>
      </c>
      <c r="L324" s="82">
        <v>125</v>
      </c>
      <c r="M324" s="82">
        <v>40</v>
      </c>
      <c r="N324" s="82"/>
      <c r="O324" s="77"/>
      <c r="P324" s="110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225"/>
      <c r="AC324" s="225"/>
      <c r="AD324" s="225"/>
      <c r="AE324" s="29">
        <f>_xlfn.NUMBERVALUE(LEFT(MCC_Table[[#This Row],[BUCKET]],LEN(MCC_Table[[#This Row],[BUCKET]])-1))</f>
        <v>3</v>
      </c>
      <c r="AF324" s="29" t="str">
        <f>RIGHT(MCC_Table[[#This Row],[BUCKET]],1)</f>
        <v>A</v>
      </c>
      <c r="AG324" s="29">
        <f>VLOOKUP(MCC_Table[[#This Row],[START UNIT]],UnitMap[],2,FALSE)</f>
        <v>1</v>
      </c>
      <c r="AH324" s="29">
        <f t="array" ref="AH3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324" s="29">
        <f>IF(ISNUMBER(MCC_Table[[#This Row],[SIZE]]), MCC_Table[[#This Row],[SIZE]]/6, 0)</f>
        <v>5</v>
      </c>
      <c r="AJ324" s="29">
        <f>MCC_Table[[#This Row],[START INDEX]]+MCC_Table[[#This Row],[UNITS USED]]-1</f>
        <v>5</v>
      </c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</row>
    <row r="325" spans="1:57" ht="15.75" hidden="1" customHeight="1" thickTop="1" x14ac:dyDescent="0.25">
      <c r="A325" s="113" t="s">
        <v>2640</v>
      </c>
      <c r="B325" s="29" t="s">
        <v>2579</v>
      </c>
      <c r="C325" s="24" t="s">
        <v>1933</v>
      </c>
      <c r="D325" s="28" t="s">
        <v>2633</v>
      </c>
      <c r="E325" s="29" t="s">
        <v>2387</v>
      </c>
      <c r="F325" s="8"/>
      <c r="G325" s="8">
        <v>30</v>
      </c>
      <c r="H325" s="82"/>
      <c r="I325" s="8"/>
      <c r="J325" s="80">
        <f>IF(ISNUMBER(MCC_Table[[#This Row],[SIZE]]), MCC_Table[[#This Row],[SIZE]]/12, 0)</f>
        <v>3.5</v>
      </c>
      <c r="K325" s="82">
        <v>100</v>
      </c>
      <c r="L325" s="82">
        <v>125</v>
      </c>
      <c r="M325" s="82" t="s">
        <v>1888</v>
      </c>
      <c r="N325" s="82"/>
      <c r="O325" s="77"/>
      <c r="P325" s="110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225"/>
      <c r="AC325" s="225"/>
      <c r="AD325" s="225"/>
      <c r="AE325" s="29">
        <f>_xlfn.NUMBERVALUE(LEFT(MCC_Table[[#This Row],[BUCKET]],LEN(MCC_Table[[#This Row],[BUCKET]])-1))</f>
        <v>3</v>
      </c>
      <c r="AF325" s="29" t="str">
        <f>RIGHT(MCC_Table[[#This Row],[BUCKET]],1)</f>
        <v>F</v>
      </c>
      <c r="AG325" s="29">
        <f>VLOOKUP(MCC_Table[[#This Row],[START UNIT]],UnitMap[],2,FALSE)</f>
        <v>6</v>
      </c>
      <c r="AH325" s="29">
        <f t="array" ref="AH3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25" s="29">
        <f>IF(ISNUMBER(MCC_Table[[#This Row],[SIZE]]), MCC_Table[[#This Row],[SIZE]]/6, 0)</f>
        <v>7</v>
      </c>
      <c r="AJ325" s="29">
        <f>MCC_Table[[#This Row],[START INDEX]]+MCC_Table[[#This Row],[UNITS USED]]-1</f>
        <v>12</v>
      </c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</row>
    <row r="326" spans="1:57" ht="15.75" hidden="1" customHeight="1" thickTop="1" x14ac:dyDescent="0.25">
      <c r="A326" s="113" t="s">
        <v>2640</v>
      </c>
      <c r="B326" s="8" t="s">
        <v>2115</v>
      </c>
      <c r="C326" s="24" t="s">
        <v>2645</v>
      </c>
      <c r="D326" s="28" t="s">
        <v>2646</v>
      </c>
      <c r="E326" s="29" t="s">
        <v>2387</v>
      </c>
      <c r="F326" s="8">
        <v>100</v>
      </c>
      <c r="G326" s="8">
        <v>100</v>
      </c>
      <c r="H326" s="87"/>
      <c r="I326" s="8"/>
      <c r="J326" s="83">
        <f>IF(ISNUMBER(MCC_Table[[#This Row],[SIZE]]), MCC_Table[[#This Row],[SIZE]]/12, 0)</f>
        <v>6</v>
      </c>
      <c r="K326" s="87">
        <v>250</v>
      </c>
      <c r="L326" s="82">
        <v>250</v>
      </c>
      <c r="M326" s="87">
        <v>225</v>
      </c>
      <c r="N326" s="82" t="s">
        <v>2450</v>
      </c>
      <c r="O326" s="77"/>
      <c r="P326" s="88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225"/>
      <c r="AC326" s="225"/>
      <c r="AD326" s="225"/>
      <c r="AE326" s="8">
        <f>_xlfn.NUMBERVALUE(LEFT(MCC_Table[[#This Row],[BUCKET]],LEN(MCC_Table[[#This Row],[BUCKET]])-1))</f>
        <v>4</v>
      </c>
      <c r="AF326" s="8" t="str">
        <f>RIGHT(MCC_Table[[#This Row],[BUCKET]],1)</f>
        <v>A</v>
      </c>
      <c r="AG326" s="8">
        <f>VLOOKUP(MCC_Table[[#This Row],[START UNIT]],UnitMap[],2,FALSE)</f>
        <v>1</v>
      </c>
      <c r="AH326" s="8">
        <f t="array" ref="AH3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326" s="8">
        <f>IF(ISNUMBER(MCC_Table[[#This Row],[SIZE]]), MCC_Table[[#This Row],[SIZE]]/6, 0)</f>
        <v>12</v>
      </c>
      <c r="AJ326" s="8">
        <f>MCC_Table[[#This Row],[START INDEX]]+MCC_Table[[#This Row],[UNITS USED]]-1</f>
        <v>12</v>
      </c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</row>
    <row r="327" spans="1:57" ht="15.75" hidden="1" customHeight="1" thickTop="1" x14ac:dyDescent="0.25">
      <c r="A327" s="113" t="s">
        <v>2640</v>
      </c>
      <c r="B327" s="29" t="s">
        <v>2118</v>
      </c>
      <c r="C327" s="24" t="s">
        <v>2647</v>
      </c>
      <c r="D327" s="62" t="s">
        <v>2224</v>
      </c>
      <c r="E327" s="24" t="s">
        <v>2225</v>
      </c>
      <c r="F327" s="8"/>
      <c r="G327" s="8"/>
      <c r="H327" s="87"/>
      <c r="I327" s="8"/>
      <c r="J327" s="80">
        <f>IF(ISNUMBER(MCC_Table[[#This Row],[SIZE]]), MCC_Table[[#This Row],[SIZE]]/12, 0)</f>
        <v>1</v>
      </c>
      <c r="K327" s="87"/>
      <c r="L327" s="82"/>
      <c r="M327" s="87"/>
      <c r="N327" s="87"/>
      <c r="O327" s="77"/>
      <c r="P327" s="105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225"/>
      <c r="AC327" s="225"/>
      <c r="AD327" s="225"/>
      <c r="AE327" s="29">
        <f>_xlfn.NUMBERVALUE(LEFT(MCC_Table[[#This Row],[BUCKET]],LEN(MCC_Table[[#This Row],[BUCKET]])-1))</f>
        <v>5</v>
      </c>
      <c r="AF327" s="29" t="str">
        <f>RIGHT(MCC_Table[[#This Row],[BUCKET]],1)</f>
        <v>A</v>
      </c>
      <c r="AG327" s="29">
        <f>VLOOKUP(MCC_Table[[#This Row],[START UNIT]],UnitMap[],2,FALSE)</f>
        <v>1</v>
      </c>
      <c r="AH327" s="29">
        <f t="array" ref="AH3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27" s="29">
        <f>IF(ISNUMBER(MCC_Table[[#This Row],[SIZE]]), MCC_Table[[#This Row],[SIZE]]/6, 0)</f>
        <v>2</v>
      </c>
      <c r="AJ327" s="29">
        <f>MCC_Table[[#This Row],[START INDEX]]+MCC_Table[[#This Row],[UNITS USED]]-1</f>
        <v>2</v>
      </c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</row>
    <row r="328" spans="1:57" ht="15.75" hidden="1" customHeight="1" thickTop="1" x14ac:dyDescent="0.25">
      <c r="A328" s="113" t="s">
        <v>2640</v>
      </c>
      <c r="B328" s="29" t="s">
        <v>2340</v>
      </c>
      <c r="C328" s="24" t="s">
        <v>2103</v>
      </c>
      <c r="D328" s="62" t="s">
        <v>2143</v>
      </c>
      <c r="E328" s="29" t="s">
        <v>2103</v>
      </c>
      <c r="F328" s="8"/>
      <c r="G328" s="8"/>
      <c r="H328" s="82"/>
      <c r="I328" s="8"/>
      <c r="J328" s="80">
        <f>IF(ISNUMBER(MCC_Table[[#This Row],[SIZE]]), MCC_Table[[#This Row],[SIZE]]/12, 0)</f>
        <v>1</v>
      </c>
      <c r="K328" s="82"/>
      <c r="L328" s="82"/>
      <c r="M328" s="82"/>
      <c r="N328" s="82"/>
      <c r="O328" s="77"/>
      <c r="P328" s="110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225"/>
      <c r="AC328" s="225"/>
      <c r="AD328" s="225"/>
      <c r="AE328" s="29">
        <f>_xlfn.NUMBERVALUE(LEFT(MCC_Table[[#This Row],[BUCKET]],LEN(MCC_Table[[#This Row],[BUCKET]])-1))</f>
        <v>5</v>
      </c>
      <c r="AF328" s="29" t="str">
        <f>RIGHT(MCC_Table[[#This Row],[BUCKET]],1)</f>
        <v>C</v>
      </c>
      <c r="AG328" s="29">
        <f>VLOOKUP(MCC_Table[[#This Row],[START UNIT]],UnitMap[],2,FALSE)</f>
        <v>3</v>
      </c>
      <c r="AH328" s="29">
        <f t="array" ref="AH3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28" s="29">
        <f>IF(ISNUMBER(MCC_Table[[#This Row],[SIZE]]), MCC_Table[[#This Row],[SIZE]]/6, 0)</f>
        <v>2</v>
      </c>
      <c r="AJ328" s="29">
        <f>MCC_Table[[#This Row],[START INDEX]]+MCC_Table[[#This Row],[UNITS USED]]-1</f>
        <v>4</v>
      </c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</row>
    <row r="329" spans="1:57" ht="15.75" hidden="1" customHeight="1" thickTop="1" x14ac:dyDescent="0.25">
      <c r="A329" s="113" t="s">
        <v>2640</v>
      </c>
      <c r="B329" s="29" t="s">
        <v>2404</v>
      </c>
      <c r="C329" s="24" t="s">
        <v>2103</v>
      </c>
      <c r="D329" s="62" t="s">
        <v>2143</v>
      </c>
      <c r="E329" s="29" t="s">
        <v>2103</v>
      </c>
      <c r="F329" s="8"/>
      <c r="G329" s="8"/>
      <c r="H329" s="82"/>
      <c r="I329" s="8"/>
      <c r="J329" s="80">
        <f>IF(ISNUMBER(MCC_Table[[#This Row],[SIZE]]), MCC_Table[[#This Row],[SIZE]]/12, 0)</f>
        <v>1</v>
      </c>
      <c r="K329" s="82"/>
      <c r="L329" s="82"/>
      <c r="M329" s="82"/>
      <c r="N329" s="82"/>
      <c r="O329" s="77"/>
      <c r="P329" s="110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225"/>
      <c r="AC329" s="225"/>
      <c r="AD329" s="225"/>
      <c r="AE329" s="29">
        <f>_xlfn.NUMBERVALUE(LEFT(MCC_Table[[#This Row],[BUCKET]],LEN(MCC_Table[[#This Row],[BUCKET]])-1))</f>
        <v>5</v>
      </c>
      <c r="AF329" s="29" t="str">
        <f>RIGHT(MCC_Table[[#This Row],[BUCKET]],1)</f>
        <v>E</v>
      </c>
      <c r="AG329" s="29">
        <f>VLOOKUP(MCC_Table[[#This Row],[START UNIT]],UnitMap[],2,FALSE)</f>
        <v>5</v>
      </c>
      <c r="AH329" s="29">
        <f t="array" ref="AH3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29" s="29">
        <f>IF(ISNUMBER(MCC_Table[[#This Row],[SIZE]]), MCC_Table[[#This Row],[SIZE]]/6, 0)</f>
        <v>2</v>
      </c>
      <c r="AJ329" s="29">
        <f>MCC_Table[[#This Row],[START INDEX]]+MCC_Table[[#This Row],[UNITS USED]]-1</f>
        <v>6</v>
      </c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</row>
    <row r="330" spans="1:57" ht="15.75" hidden="1" customHeight="1" thickTop="1" x14ac:dyDescent="0.25">
      <c r="A330" s="113" t="s">
        <v>2640</v>
      </c>
      <c r="B330" s="29" t="s">
        <v>2514</v>
      </c>
      <c r="C330" s="24" t="s">
        <v>2103</v>
      </c>
      <c r="D330" s="62" t="s">
        <v>2143</v>
      </c>
      <c r="E330" s="29" t="s">
        <v>2103</v>
      </c>
      <c r="F330" s="8"/>
      <c r="G330" s="8"/>
      <c r="H330" s="82"/>
      <c r="I330" s="8"/>
      <c r="J330" s="80">
        <f>IF(ISNUMBER(MCC_Table[[#This Row],[SIZE]]), MCC_Table[[#This Row],[SIZE]]/12, 0)</f>
        <v>1</v>
      </c>
      <c r="K330" s="82"/>
      <c r="L330" s="82"/>
      <c r="M330" s="82"/>
      <c r="N330" s="82"/>
      <c r="O330" s="77"/>
      <c r="P330" s="110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225"/>
      <c r="AC330" s="225"/>
      <c r="AD330" s="225"/>
      <c r="AE330" s="29">
        <f>_xlfn.NUMBERVALUE(LEFT(MCC_Table[[#This Row],[BUCKET]],LEN(MCC_Table[[#This Row],[BUCKET]])-1))</f>
        <v>5</v>
      </c>
      <c r="AF330" s="29" t="str">
        <f>RIGHT(MCC_Table[[#This Row],[BUCKET]],1)</f>
        <v>G</v>
      </c>
      <c r="AG330" s="29">
        <f>VLOOKUP(MCC_Table[[#This Row],[START UNIT]],UnitMap[],2,FALSE)</f>
        <v>7</v>
      </c>
      <c r="AH330" s="29">
        <f t="array" ref="AH3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30" s="29">
        <f>IF(ISNUMBER(MCC_Table[[#This Row],[SIZE]]), MCC_Table[[#This Row],[SIZE]]/6, 0)</f>
        <v>2</v>
      </c>
      <c r="AJ330" s="29">
        <f>MCC_Table[[#This Row],[START INDEX]]+MCC_Table[[#This Row],[UNITS USED]]-1</f>
        <v>8</v>
      </c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</row>
    <row r="331" spans="1:57" ht="15.75" hidden="1" customHeight="1" thickTop="1" x14ac:dyDescent="0.25">
      <c r="A331" s="113" t="s">
        <v>2640</v>
      </c>
      <c r="B331" s="29" t="s">
        <v>2407</v>
      </c>
      <c r="C331" s="24" t="s">
        <v>2103</v>
      </c>
      <c r="D331" s="62" t="s">
        <v>2143</v>
      </c>
      <c r="E331" s="29" t="s">
        <v>2103</v>
      </c>
      <c r="F331" s="8"/>
      <c r="G331" s="8"/>
      <c r="H331" s="82"/>
      <c r="I331" s="8"/>
      <c r="J331" s="80">
        <f>IF(ISNUMBER(MCC_Table[[#This Row],[SIZE]]), MCC_Table[[#This Row],[SIZE]]/12, 0)</f>
        <v>1</v>
      </c>
      <c r="K331" s="82"/>
      <c r="L331" s="82"/>
      <c r="M331" s="82"/>
      <c r="N331" s="82"/>
      <c r="O331" s="77"/>
      <c r="P331" s="110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225"/>
      <c r="AC331" s="225"/>
      <c r="AD331" s="225"/>
      <c r="AE331" s="29">
        <f>_xlfn.NUMBERVALUE(LEFT(MCC_Table[[#This Row],[BUCKET]],LEN(MCC_Table[[#This Row],[BUCKET]])-1))</f>
        <v>5</v>
      </c>
      <c r="AF331" s="29" t="str">
        <f>RIGHT(MCC_Table[[#This Row],[BUCKET]],1)</f>
        <v>J</v>
      </c>
      <c r="AG331" s="29">
        <f>VLOOKUP(MCC_Table[[#This Row],[START UNIT]],UnitMap[],2,FALSE)</f>
        <v>9</v>
      </c>
      <c r="AH331" s="29">
        <f t="array" ref="AH3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31" s="29">
        <f>IF(ISNUMBER(MCC_Table[[#This Row],[SIZE]]), MCC_Table[[#This Row],[SIZE]]/6, 0)</f>
        <v>2</v>
      </c>
      <c r="AJ331" s="29">
        <f>MCC_Table[[#This Row],[START INDEX]]+MCC_Table[[#This Row],[UNITS USED]]-1</f>
        <v>10</v>
      </c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</row>
    <row r="332" spans="1:57" ht="15.75" hidden="1" customHeight="1" thickTop="1" x14ac:dyDescent="0.25">
      <c r="A332" s="113" t="s">
        <v>2640</v>
      </c>
      <c r="B332" s="29" t="s">
        <v>2587</v>
      </c>
      <c r="C332" s="24" t="s">
        <v>2588</v>
      </c>
      <c r="D332" s="62" t="s">
        <v>2098</v>
      </c>
      <c r="E332" s="24" t="s">
        <v>2099</v>
      </c>
      <c r="F332" s="8"/>
      <c r="G332" s="8"/>
      <c r="H332" s="82"/>
      <c r="I332" s="8"/>
      <c r="J332" s="80">
        <f>IF(ISNUMBER(MCC_Table[[#This Row],[SIZE]]), MCC_Table[[#This Row],[SIZE]]/12, 0)</f>
        <v>1</v>
      </c>
      <c r="K332" s="82"/>
      <c r="L332" s="82"/>
      <c r="M332" s="82"/>
      <c r="N332" s="82"/>
      <c r="O332" s="77"/>
      <c r="P332" s="78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225"/>
      <c r="AC332" s="225"/>
      <c r="AD332" s="225"/>
      <c r="AE332" s="29">
        <f>_xlfn.NUMBERVALUE(LEFT(MCC_Table[[#This Row],[BUCKET]],LEN(MCC_Table[[#This Row],[BUCKET]])-1))</f>
        <v>5</v>
      </c>
      <c r="AF332" s="29" t="str">
        <f>RIGHT(MCC_Table[[#This Row],[BUCKET]],1)</f>
        <v>L</v>
      </c>
      <c r="AG332" s="29">
        <f>VLOOKUP(MCC_Table[[#This Row],[START UNIT]],UnitMap[],2,FALSE)</f>
        <v>11</v>
      </c>
      <c r="AH332" s="29">
        <f t="array" ref="AH3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32" s="29">
        <f>IF(ISNUMBER(MCC_Table[[#This Row],[SIZE]]), MCC_Table[[#This Row],[SIZE]]/6, 0)</f>
        <v>2</v>
      </c>
      <c r="AJ332" s="29">
        <f>MCC_Table[[#This Row],[START INDEX]]+MCC_Table[[#This Row],[UNITS USED]]-1</f>
        <v>12</v>
      </c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</row>
    <row r="333" spans="1:57" ht="15.75" hidden="1" customHeight="1" thickTop="1" x14ac:dyDescent="0.25">
      <c r="A333" s="113" t="s">
        <v>2640</v>
      </c>
      <c r="B333" s="8" t="s">
        <v>2121</v>
      </c>
      <c r="C333" s="24" t="s">
        <v>1933</v>
      </c>
      <c r="D333" s="28" t="s">
        <v>2300</v>
      </c>
      <c r="E333" s="29" t="s">
        <v>2387</v>
      </c>
      <c r="F333" s="29"/>
      <c r="G333" s="8">
        <v>5</v>
      </c>
      <c r="H333" s="82"/>
      <c r="I333" s="8"/>
      <c r="J333" s="83">
        <f>IF(ISNUMBER(MCC_Table[[#This Row],[SIZE]]), MCC_Table[[#This Row],[SIZE]]/12, 0)</f>
        <v>1.5</v>
      </c>
      <c r="K333" s="82">
        <v>20</v>
      </c>
      <c r="L333" s="82">
        <v>125</v>
      </c>
      <c r="M333" s="82">
        <v>12</v>
      </c>
      <c r="N333" s="82"/>
      <c r="O333" s="77"/>
      <c r="P333" s="85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225"/>
      <c r="AC333" s="225"/>
      <c r="AD333" s="225"/>
      <c r="AE333" s="8">
        <f>_xlfn.NUMBERVALUE(LEFT(MCC_Table[[#This Row],[BUCKET]],LEN(MCC_Table[[#This Row],[BUCKET]])-1))</f>
        <v>6</v>
      </c>
      <c r="AF333" s="8" t="str">
        <f>RIGHT(MCC_Table[[#This Row],[BUCKET]],1)</f>
        <v>A</v>
      </c>
      <c r="AG333" s="8">
        <f>VLOOKUP(MCC_Table[[#This Row],[START UNIT]],UnitMap[],2,FALSE)</f>
        <v>1</v>
      </c>
      <c r="AH333" s="8">
        <f t="array" ref="AH3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33" s="8">
        <f>IF(ISNUMBER(MCC_Table[[#This Row],[SIZE]]), MCC_Table[[#This Row],[SIZE]]/6, 0)</f>
        <v>3</v>
      </c>
      <c r="AJ333" s="8">
        <f>MCC_Table[[#This Row],[START INDEX]]+MCC_Table[[#This Row],[UNITS USED]]-1</f>
        <v>3</v>
      </c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</row>
    <row r="334" spans="1:57" ht="13.9" hidden="1" customHeight="1" x14ac:dyDescent="0.25">
      <c r="A334" s="113" t="s">
        <v>2640</v>
      </c>
      <c r="B334" s="29" t="s">
        <v>2648</v>
      </c>
      <c r="C334" s="111" t="s">
        <v>2649</v>
      </c>
      <c r="D334" s="28" t="s">
        <v>2650</v>
      </c>
      <c r="E334" s="112" t="s">
        <v>2387</v>
      </c>
      <c r="F334" s="29">
        <v>5</v>
      </c>
      <c r="G334" s="8">
        <v>5</v>
      </c>
      <c r="H334" s="82"/>
      <c r="I334" s="8"/>
      <c r="J334" s="80">
        <f>IF(ISNUMBER(MCC_Table[[#This Row],[SIZE]]), MCC_Table[[#This Row],[SIZE]]/12, 0)</f>
        <v>1.5</v>
      </c>
      <c r="K334" s="82">
        <v>20</v>
      </c>
      <c r="L334" s="82">
        <v>125</v>
      </c>
      <c r="M334" s="82">
        <v>12</v>
      </c>
      <c r="N334" s="82" t="s">
        <v>2124</v>
      </c>
      <c r="O334" s="77"/>
      <c r="P334" s="110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225"/>
      <c r="AC334" s="225"/>
      <c r="AD334" s="225"/>
      <c r="AE334" s="29">
        <f>_xlfn.NUMBERVALUE(LEFT(MCC_Table[[#This Row],[BUCKET]],LEN(MCC_Table[[#This Row],[BUCKET]])-1))</f>
        <v>6</v>
      </c>
      <c r="AF334" s="29" t="str">
        <f>RIGHT(MCC_Table[[#This Row],[BUCKET]],1)</f>
        <v>D</v>
      </c>
      <c r="AG334" s="29">
        <f>VLOOKUP(MCC_Table[[#This Row],[START UNIT]],UnitMap[],2,FALSE)</f>
        <v>4</v>
      </c>
      <c r="AH334" s="29">
        <f t="array" ref="AH3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34" s="29">
        <f>IF(ISNUMBER(MCC_Table[[#This Row],[SIZE]]), MCC_Table[[#This Row],[SIZE]]/6, 0)</f>
        <v>3</v>
      </c>
      <c r="AJ334" s="29">
        <f>MCC_Table[[#This Row],[START INDEX]]+MCC_Table[[#This Row],[UNITS USED]]-1</f>
        <v>6</v>
      </c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</row>
    <row r="335" spans="1:57" ht="15.75" hidden="1" customHeight="1" thickTop="1" x14ac:dyDescent="0.25">
      <c r="A335" s="113" t="s">
        <v>2640</v>
      </c>
      <c r="B335" s="29" t="s">
        <v>2651</v>
      </c>
      <c r="C335" s="111" t="s">
        <v>2652</v>
      </c>
      <c r="D335" s="28" t="s">
        <v>2653</v>
      </c>
      <c r="E335" s="112" t="s">
        <v>2387</v>
      </c>
      <c r="F335" s="29">
        <v>5</v>
      </c>
      <c r="G335" s="8">
        <v>5</v>
      </c>
      <c r="H335" s="82"/>
      <c r="I335" s="8"/>
      <c r="J335" s="80">
        <f>IF(ISNUMBER(MCC_Table[[#This Row],[SIZE]]), MCC_Table[[#This Row],[SIZE]]/12, 0)</f>
        <v>1.5</v>
      </c>
      <c r="K335" s="82">
        <v>20</v>
      </c>
      <c r="L335" s="82">
        <v>125</v>
      </c>
      <c r="M335" s="82">
        <v>12</v>
      </c>
      <c r="N335" s="82" t="s">
        <v>2124</v>
      </c>
      <c r="O335" s="77"/>
      <c r="P335" s="110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225"/>
      <c r="AC335" s="225"/>
      <c r="AD335" s="225"/>
      <c r="AE335" s="29">
        <f>_xlfn.NUMBERVALUE(LEFT(MCC_Table[[#This Row],[BUCKET]],LEN(MCC_Table[[#This Row],[BUCKET]])-1))</f>
        <v>6</v>
      </c>
      <c r="AF335" s="29" t="str">
        <f>RIGHT(MCC_Table[[#This Row],[BUCKET]],1)</f>
        <v>G</v>
      </c>
      <c r="AG335" s="29">
        <f>VLOOKUP(MCC_Table[[#This Row],[START UNIT]],UnitMap[],2,FALSE)</f>
        <v>7</v>
      </c>
      <c r="AH335" s="29">
        <f t="array" ref="AH3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35" s="29">
        <f>IF(ISNUMBER(MCC_Table[[#This Row],[SIZE]]), MCC_Table[[#This Row],[SIZE]]/6, 0)</f>
        <v>3</v>
      </c>
      <c r="AJ335" s="29">
        <f>MCC_Table[[#This Row],[START INDEX]]+MCC_Table[[#This Row],[UNITS USED]]-1</f>
        <v>9</v>
      </c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</row>
    <row r="336" spans="1:57" ht="15.75" hidden="1" customHeight="1" thickTop="1" x14ac:dyDescent="0.25">
      <c r="A336" s="113" t="s">
        <v>2640</v>
      </c>
      <c r="B336" s="29" t="s">
        <v>2654</v>
      </c>
      <c r="C336" s="111" t="s">
        <v>2655</v>
      </c>
      <c r="D336" s="28" t="s">
        <v>2656</v>
      </c>
      <c r="E336" s="112" t="s">
        <v>2387</v>
      </c>
      <c r="F336" s="29">
        <v>5</v>
      </c>
      <c r="G336" s="8">
        <v>5</v>
      </c>
      <c r="H336" s="82"/>
      <c r="I336" s="8"/>
      <c r="J336" s="80">
        <f>IF(ISNUMBER(MCC_Table[[#This Row],[SIZE]]), MCC_Table[[#This Row],[SIZE]]/12, 0)</f>
        <v>1.5</v>
      </c>
      <c r="K336" s="82">
        <v>20</v>
      </c>
      <c r="L336" s="82">
        <v>125</v>
      </c>
      <c r="M336" s="82">
        <v>12</v>
      </c>
      <c r="N336" s="82" t="s">
        <v>2124</v>
      </c>
      <c r="O336" s="77"/>
      <c r="P336" s="110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225"/>
      <c r="AC336" s="225"/>
      <c r="AD336" s="225"/>
      <c r="AE336" s="29">
        <f>_xlfn.NUMBERVALUE(LEFT(MCC_Table[[#This Row],[BUCKET]],LEN(MCC_Table[[#This Row],[BUCKET]])-1))</f>
        <v>6</v>
      </c>
      <c r="AF336" s="29" t="str">
        <f>RIGHT(MCC_Table[[#This Row],[BUCKET]],1)</f>
        <v>K</v>
      </c>
      <c r="AG336" s="29">
        <f>VLOOKUP(MCC_Table[[#This Row],[START UNIT]],UnitMap[],2,FALSE)</f>
        <v>10</v>
      </c>
      <c r="AH336" s="29">
        <f t="array" ref="AH3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36" s="29">
        <f>IF(ISNUMBER(MCC_Table[[#This Row],[SIZE]]), MCC_Table[[#This Row],[SIZE]]/6, 0)</f>
        <v>3</v>
      </c>
      <c r="AJ336" s="29">
        <f>MCC_Table[[#This Row],[START INDEX]]+MCC_Table[[#This Row],[UNITS USED]]-1</f>
        <v>12</v>
      </c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</row>
    <row r="337" spans="1:57" ht="15.75" hidden="1" customHeight="1" thickTop="1" x14ac:dyDescent="0.25">
      <c r="A337" s="113" t="s">
        <v>2640</v>
      </c>
      <c r="B337" s="29" t="s">
        <v>2131</v>
      </c>
      <c r="C337" s="111" t="s">
        <v>2657</v>
      </c>
      <c r="D337" s="28" t="s">
        <v>2658</v>
      </c>
      <c r="E337" s="112" t="s">
        <v>2387</v>
      </c>
      <c r="F337" s="29">
        <v>10</v>
      </c>
      <c r="G337" s="8">
        <v>10</v>
      </c>
      <c r="H337" s="87"/>
      <c r="I337" s="8"/>
      <c r="J337" s="80">
        <f>IF(ISNUMBER(MCC_Table[[#This Row],[SIZE]]), MCC_Table[[#This Row],[SIZE]]/12, 0)</f>
        <v>2</v>
      </c>
      <c r="K337" s="87">
        <v>30</v>
      </c>
      <c r="L337" s="82">
        <v>125</v>
      </c>
      <c r="M337" s="87">
        <v>25</v>
      </c>
      <c r="N337" s="82" t="s">
        <v>2124</v>
      </c>
      <c r="O337" s="77"/>
      <c r="P337" s="110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225"/>
      <c r="AC337" s="225"/>
      <c r="AD337" s="225"/>
      <c r="AE337" s="29">
        <f>_xlfn.NUMBERVALUE(LEFT(MCC_Table[[#This Row],[BUCKET]],LEN(MCC_Table[[#This Row],[BUCKET]])-1))</f>
        <v>7</v>
      </c>
      <c r="AF337" s="29" t="str">
        <f>RIGHT(MCC_Table[[#This Row],[BUCKET]],1)</f>
        <v>A</v>
      </c>
      <c r="AG337" s="29">
        <f>VLOOKUP(MCC_Table[[#This Row],[START UNIT]],UnitMap[],2,FALSE)</f>
        <v>1</v>
      </c>
      <c r="AH337" s="29">
        <f t="array" ref="AH3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37" s="29">
        <f>IF(ISNUMBER(MCC_Table[[#This Row],[SIZE]]), MCC_Table[[#This Row],[SIZE]]/6, 0)</f>
        <v>4</v>
      </c>
      <c r="AJ337" s="29">
        <f>MCC_Table[[#This Row],[START INDEX]]+MCC_Table[[#This Row],[UNITS USED]]-1</f>
        <v>4</v>
      </c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</row>
    <row r="338" spans="1:57" ht="15.75" hidden="1" customHeight="1" thickTop="1" x14ac:dyDescent="0.25">
      <c r="A338" s="113" t="s">
        <v>2640</v>
      </c>
      <c r="B338" s="8" t="s">
        <v>2134</v>
      </c>
      <c r="C338" s="24" t="s">
        <v>2103</v>
      </c>
      <c r="D338" s="62" t="s">
        <v>2143</v>
      </c>
      <c r="E338" s="29" t="s">
        <v>2103</v>
      </c>
      <c r="F338" s="29"/>
      <c r="G338" s="8"/>
      <c r="H338" s="87"/>
      <c r="I338" s="8"/>
      <c r="J338" s="83">
        <f>IF(ISNUMBER(MCC_Table[[#This Row],[SIZE]]), MCC_Table[[#This Row],[SIZE]]/12, 0)</f>
        <v>1</v>
      </c>
      <c r="K338" s="87">
        <v>30</v>
      </c>
      <c r="L338" s="82">
        <v>125</v>
      </c>
      <c r="M338" s="87">
        <v>25</v>
      </c>
      <c r="N338" s="87"/>
      <c r="O338" s="77"/>
      <c r="P338" s="85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225"/>
      <c r="AC338" s="225"/>
      <c r="AD338" s="225"/>
      <c r="AE338" s="8">
        <f>_xlfn.NUMBERVALUE(LEFT(MCC_Table[[#This Row],[BUCKET]],LEN(MCC_Table[[#This Row],[BUCKET]])-1))</f>
        <v>7</v>
      </c>
      <c r="AF338" s="8" t="str">
        <f>RIGHT(MCC_Table[[#This Row],[BUCKET]],1)</f>
        <v>E</v>
      </c>
      <c r="AG338" s="8">
        <f>VLOOKUP(MCC_Table[[#This Row],[START UNIT]],UnitMap[],2,FALSE)</f>
        <v>5</v>
      </c>
      <c r="AH338" s="8">
        <f t="array" ref="AH3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38" s="8">
        <f>IF(ISNUMBER(MCC_Table[[#This Row],[SIZE]]), MCC_Table[[#This Row],[SIZE]]/6, 0)</f>
        <v>2</v>
      </c>
      <c r="AJ338" s="8">
        <f>MCC_Table[[#This Row],[START INDEX]]+MCC_Table[[#This Row],[UNITS USED]]-1</f>
        <v>6</v>
      </c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</row>
    <row r="339" spans="1:57" ht="15.75" hidden="1" customHeight="1" thickTop="1" x14ac:dyDescent="0.25">
      <c r="A339" s="113" t="s">
        <v>2640</v>
      </c>
      <c r="B339" s="29" t="s">
        <v>2354</v>
      </c>
      <c r="C339" s="24" t="s">
        <v>2103</v>
      </c>
      <c r="D339" s="62" t="s">
        <v>2143</v>
      </c>
      <c r="E339" s="29" t="s">
        <v>2103</v>
      </c>
      <c r="F339" s="8"/>
      <c r="G339" s="8"/>
      <c r="H339" s="82"/>
      <c r="I339" s="8"/>
      <c r="J339" s="80">
        <f>IF(ISNUMBER(MCC_Table[[#This Row],[SIZE]]), MCC_Table[[#This Row],[SIZE]]/12, 0)</f>
        <v>1</v>
      </c>
      <c r="K339" s="82"/>
      <c r="L339" s="82"/>
      <c r="M339" s="82"/>
      <c r="N339" s="82"/>
      <c r="O339" s="77"/>
      <c r="P339" s="110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225"/>
      <c r="AC339" s="225"/>
      <c r="AD339" s="225"/>
      <c r="AE339" s="29">
        <f>_xlfn.NUMBERVALUE(LEFT(MCC_Table[[#This Row],[BUCKET]],LEN(MCC_Table[[#This Row],[BUCKET]])-1))</f>
        <v>7</v>
      </c>
      <c r="AF339" s="29" t="str">
        <f>RIGHT(MCC_Table[[#This Row],[BUCKET]],1)</f>
        <v>G</v>
      </c>
      <c r="AG339" s="29">
        <f>VLOOKUP(MCC_Table[[#This Row],[START UNIT]],UnitMap[],2,FALSE)</f>
        <v>7</v>
      </c>
      <c r="AH339" s="29">
        <f t="array" ref="AH3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39" s="29">
        <f>IF(ISNUMBER(MCC_Table[[#This Row],[SIZE]]), MCC_Table[[#This Row],[SIZE]]/6, 0)</f>
        <v>2</v>
      </c>
      <c r="AJ339" s="29">
        <f>MCC_Table[[#This Row],[START INDEX]]+MCC_Table[[#This Row],[UNITS USED]]-1</f>
        <v>8</v>
      </c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</row>
    <row r="340" spans="1:57" ht="15.75" hidden="1" customHeight="1" thickTop="1" x14ac:dyDescent="0.25">
      <c r="A340" s="113" t="s">
        <v>2640</v>
      </c>
      <c r="B340" s="29" t="s">
        <v>2136</v>
      </c>
      <c r="C340" s="111" t="s">
        <v>2659</v>
      </c>
      <c r="D340" s="28" t="s">
        <v>2174</v>
      </c>
      <c r="E340" s="112" t="s">
        <v>2387</v>
      </c>
      <c r="F340" s="29">
        <v>10</v>
      </c>
      <c r="G340" s="8">
        <v>10</v>
      </c>
      <c r="H340" s="87"/>
      <c r="I340" s="8"/>
      <c r="J340" s="80">
        <f>IF(ISNUMBER(MCC_Table[[#This Row],[SIZE]]), MCC_Table[[#This Row],[SIZE]]/12, 0)</f>
        <v>2</v>
      </c>
      <c r="K340" s="87">
        <v>30</v>
      </c>
      <c r="L340" s="82">
        <v>125</v>
      </c>
      <c r="M340" s="87">
        <v>25</v>
      </c>
      <c r="N340" s="82" t="s">
        <v>2124</v>
      </c>
      <c r="O340" s="77"/>
      <c r="P340" s="110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225"/>
      <c r="AC340" s="225"/>
      <c r="AD340" s="225"/>
      <c r="AE340" s="29">
        <f>_xlfn.NUMBERVALUE(LEFT(MCC_Table[[#This Row],[BUCKET]],LEN(MCC_Table[[#This Row],[BUCKET]])-1))</f>
        <v>7</v>
      </c>
      <c r="AF340" s="29" t="str">
        <f>RIGHT(MCC_Table[[#This Row],[BUCKET]],1)</f>
        <v>J</v>
      </c>
      <c r="AG340" s="29">
        <f>VLOOKUP(MCC_Table[[#This Row],[START UNIT]],UnitMap[],2,FALSE)</f>
        <v>9</v>
      </c>
      <c r="AH340" s="29">
        <f t="array" ref="AH3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40" s="29">
        <f>IF(ISNUMBER(MCC_Table[[#This Row],[SIZE]]), MCC_Table[[#This Row],[SIZE]]/6, 0)</f>
        <v>4</v>
      </c>
      <c r="AJ340" s="29">
        <f>MCC_Table[[#This Row],[START INDEX]]+MCC_Table[[#This Row],[UNITS USED]]-1</f>
        <v>12</v>
      </c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</row>
    <row r="341" spans="1:57" ht="15.75" hidden="1" customHeight="1" thickTop="1" x14ac:dyDescent="0.25">
      <c r="A341" s="113" t="s">
        <v>2640</v>
      </c>
      <c r="B341" s="29" t="s">
        <v>2139</v>
      </c>
      <c r="C341" s="111" t="s">
        <v>2641</v>
      </c>
      <c r="D341" s="28" t="s">
        <v>2660</v>
      </c>
      <c r="E341" s="112" t="s">
        <v>2387</v>
      </c>
      <c r="F341" s="8">
        <v>15</v>
      </c>
      <c r="G341" s="8">
        <v>15</v>
      </c>
      <c r="H341" s="82"/>
      <c r="I341" s="8"/>
      <c r="J341" s="80">
        <f>IF(ISNUMBER(MCC_Table[[#This Row],[SIZE]]), MCC_Table[[#This Row],[SIZE]]/12, 0)</f>
        <v>2.5</v>
      </c>
      <c r="K341" s="82">
        <v>60</v>
      </c>
      <c r="L341" s="82">
        <v>125</v>
      </c>
      <c r="M341" s="82">
        <v>40</v>
      </c>
      <c r="N341" s="82" t="s">
        <v>2198</v>
      </c>
      <c r="O341" s="77"/>
      <c r="P341" s="110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225"/>
      <c r="AC341" s="225"/>
      <c r="AD341" s="225"/>
      <c r="AE341" s="29">
        <f>_xlfn.NUMBERVALUE(LEFT(MCC_Table[[#This Row],[BUCKET]],LEN(MCC_Table[[#This Row],[BUCKET]])-1))</f>
        <v>8</v>
      </c>
      <c r="AF341" s="29" t="str">
        <f>RIGHT(MCC_Table[[#This Row],[BUCKET]],1)</f>
        <v>A</v>
      </c>
      <c r="AG341" s="29">
        <f>VLOOKUP(MCC_Table[[#This Row],[START UNIT]],UnitMap[],2,FALSE)</f>
        <v>1</v>
      </c>
      <c r="AH341" s="29">
        <f t="array" ref="AH3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30</v>
      </c>
      <c r="AI341" s="29">
        <f>IF(ISNUMBER(MCC_Table[[#This Row],[SIZE]]), MCC_Table[[#This Row],[SIZE]]/6, 0)</f>
        <v>5</v>
      </c>
      <c r="AJ341" s="29">
        <f>MCC_Table[[#This Row],[START INDEX]]+MCC_Table[[#This Row],[UNITS USED]]-1</f>
        <v>5</v>
      </c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</row>
    <row r="342" spans="1:57" ht="15.75" hidden="1" customHeight="1" thickTop="1" x14ac:dyDescent="0.25">
      <c r="A342" s="113" t="s">
        <v>2640</v>
      </c>
      <c r="B342" s="29" t="s">
        <v>2142</v>
      </c>
      <c r="C342" s="111" t="s">
        <v>2661</v>
      </c>
      <c r="D342" s="28" t="s">
        <v>2662</v>
      </c>
      <c r="E342" s="112" t="s">
        <v>2387</v>
      </c>
      <c r="F342" s="8">
        <v>40</v>
      </c>
      <c r="G342" s="8">
        <v>40</v>
      </c>
      <c r="H342" s="87"/>
      <c r="I342" s="8"/>
      <c r="J342" s="80">
        <f>IF(ISNUMBER(MCC_Table[[#This Row],[SIZE]]), MCC_Table[[#This Row],[SIZE]]/12, 0)</f>
        <v>3.5</v>
      </c>
      <c r="K342" s="87">
        <v>125</v>
      </c>
      <c r="L342" s="82">
        <v>125</v>
      </c>
      <c r="M342" s="87">
        <v>100</v>
      </c>
      <c r="N342" s="82" t="s">
        <v>2215</v>
      </c>
      <c r="O342" s="77"/>
      <c r="P342" s="110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225"/>
      <c r="AC342" s="225"/>
      <c r="AD342" s="225"/>
      <c r="AE342" s="29">
        <f>_xlfn.NUMBERVALUE(LEFT(MCC_Table[[#This Row],[BUCKET]],LEN(MCC_Table[[#This Row],[BUCKET]])-1))</f>
        <v>8</v>
      </c>
      <c r="AF342" s="29" t="str">
        <f>RIGHT(MCC_Table[[#This Row],[BUCKET]],1)</f>
        <v>F</v>
      </c>
      <c r="AG342" s="29">
        <f>VLOOKUP(MCC_Table[[#This Row],[START UNIT]],UnitMap[],2,FALSE)</f>
        <v>6</v>
      </c>
      <c r="AH342" s="29">
        <f t="array" ref="AH3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42" s="29">
        <f>IF(ISNUMBER(MCC_Table[[#This Row],[SIZE]]), MCC_Table[[#This Row],[SIZE]]/6, 0)</f>
        <v>7</v>
      </c>
      <c r="AJ342" s="29">
        <f>MCC_Table[[#This Row],[START INDEX]]+MCC_Table[[#This Row],[UNITS USED]]-1</f>
        <v>12</v>
      </c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</row>
    <row r="343" spans="1:57" ht="15.75" hidden="1" customHeight="1" thickTop="1" x14ac:dyDescent="0.25">
      <c r="A343" s="113" t="s">
        <v>2640</v>
      </c>
      <c r="B343" s="8" t="s">
        <v>2147</v>
      </c>
      <c r="C343" s="24" t="s">
        <v>2663</v>
      </c>
      <c r="D343" s="89" t="s">
        <v>2664</v>
      </c>
      <c r="E343" s="29" t="s">
        <v>2290</v>
      </c>
      <c r="F343" s="29">
        <v>3</v>
      </c>
      <c r="G343" s="8">
        <v>3</v>
      </c>
      <c r="H343" s="87"/>
      <c r="I343" s="8">
        <v>1</v>
      </c>
      <c r="J343" s="83">
        <f>IF(ISNUMBER(MCC_Table[[#This Row],[SIZE]]), MCC_Table[[#This Row],[SIZE]]/12, 0)</f>
        <v>1.5</v>
      </c>
      <c r="K343" s="87">
        <v>15</v>
      </c>
      <c r="L343" s="82">
        <v>125</v>
      </c>
      <c r="M343" s="87" t="s">
        <v>1888</v>
      </c>
      <c r="N343" s="82" t="s">
        <v>2178</v>
      </c>
      <c r="O343" s="77"/>
      <c r="P343" s="85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225"/>
      <c r="AC343" s="225"/>
      <c r="AD343" s="225"/>
      <c r="AE343" s="8">
        <f>_xlfn.NUMBERVALUE(LEFT(MCC_Table[[#This Row],[BUCKET]],LEN(MCC_Table[[#This Row],[BUCKET]])-1))</f>
        <v>9</v>
      </c>
      <c r="AF343" s="8" t="str">
        <f>RIGHT(MCC_Table[[#This Row],[BUCKET]],1)</f>
        <v>A</v>
      </c>
      <c r="AG343" s="8">
        <f>VLOOKUP(MCC_Table[[#This Row],[START UNIT]],UnitMap[],2,FALSE)</f>
        <v>1</v>
      </c>
      <c r="AH343" s="8">
        <f t="array" ref="AH3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43" s="8">
        <f>IF(ISNUMBER(MCC_Table[[#This Row],[SIZE]]), MCC_Table[[#This Row],[SIZE]]/6, 0)</f>
        <v>3</v>
      </c>
      <c r="AJ343" s="8">
        <f>MCC_Table[[#This Row],[START INDEX]]+MCC_Table[[#This Row],[UNITS USED]]-1</f>
        <v>3</v>
      </c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</row>
    <row r="344" spans="1:57" ht="15.75" hidden="1" customHeight="1" thickTop="1" x14ac:dyDescent="0.25">
      <c r="A344" s="113" t="s">
        <v>2640</v>
      </c>
      <c r="B344" s="29" t="s">
        <v>2665</v>
      </c>
      <c r="C344" s="111" t="s">
        <v>2657</v>
      </c>
      <c r="D344" s="28" t="s">
        <v>2666</v>
      </c>
      <c r="E344" s="112" t="s">
        <v>2387</v>
      </c>
      <c r="F344" s="8">
        <v>2</v>
      </c>
      <c r="G344" s="8">
        <v>2</v>
      </c>
      <c r="H344" s="82"/>
      <c r="I344" s="8"/>
      <c r="J344" s="80">
        <f>IF(ISNUMBER(MCC_Table[[#This Row],[SIZE]]), MCC_Table[[#This Row],[SIZE]]/12, 0)</f>
        <v>1.5</v>
      </c>
      <c r="K344" s="82">
        <v>15</v>
      </c>
      <c r="L344" s="82">
        <v>125</v>
      </c>
      <c r="M344" s="82">
        <v>6</v>
      </c>
      <c r="N344" s="82" t="s">
        <v>2124</v>
      </c>
      <c r="O344" s="77"/>
      <c r="P344" s="110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225"/>
      <c r="AC344" s="225"/>
      <c r="AD344" s="225"/>
      <c r="AE344" s="29">
        <f>_xlfn.NUMBERVALUE(LEFT(MCC_Table[[#This Row],[BUCKET]],LEN(MCC_Table[[#This Row],[BUCKET]])-1))</f>
        <v>9</v>
      </c>
      <c r="AF344" s="29" t="str">
        <f>RIGHT(MCC_Table[[#This Row],[BUCKET]],1)</f>
        <v>D</v>
      </c>
      <c r="AG344" s="29">
        <f>VLOOKUP(MCC_Table[[#This Row],[START UNIT]],UnitMap[],2,FALSE)</f>
        <v>4</v>
      </c>
      <c r="AH344" s="29">
        <f t="array" ref="AH3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44" s="29">
        <f>IF(ISNUMBER(MCC_Table[[#This Row],[SIZE]]), MCC_Table[[#This Row],[SIZE]]/6, 0)</f>
        <v>3</v>
      </c>
      <c r="AJ344" s="29">
        <f>MCC_Table[[#This Row],[START INDEX]]+MCC_Table[[#This Row],[UNITS USED]]-1</f>
        <v>6</v>
      </c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</row>
    <row r="345" spans="1:57" ht="15.75" hidden="1" customHeight="1" thickTop="1" x14ac:dyDescent="0.25">
      <c r="A345" s="113" t="s">
        <v>2640</v>
      </c>
      <c r="B345" s="29" t="s">
        <v>2258</v>
      </c>
      <c r="C345" s="111" t="s">
        <v>2667</v>
      </c>
      <c r="D345" s="28" t="s">
        <v>2668</v>
      </c>
      <c r="E345" s="112" t="s">
        <v>2387</v>
      </c>
      <c r="F345" s="29">
        <v>5</v>
      </c>
      <c r="G345" s="8">
        <v>5</v>
      </c>
      <c r="H345" s="82"/>
      <c r="I345" s="8"/>
      <c r="J345" s="80">
        <f>IF(ISNUMBER(MCC_Table[[#This Row],[SIZE]]), MCC_Table[[#This Row],[SIZE]]/12, 0)</f>
        <v>1.5</v>
      </c>
      <c r="K345" s="82">
        <v>20</v>
      </c>
      <c r="L345" s="82">
        <v>125</v>
      </c>
      <c r="M345" s="82">
        <v>12</v>
      </c>
      <c r="N345" s="82" t="s">
        <v>2124</v>
      </c>
      <c r="O345" s="77"/>
      <c r="P345" s="110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225"/>
      <c r="AC345" s="225"/>
      <c r="AD345" s="225"/>
      <c r="AE345" s="29">
        <f>_xlfn.NUMBERVALUE(LEFT(MCC_Table[[#This Row],[BUCKET]],LEN(MCC_Table[[#This Row],[BUCKET]])-1))</f>
        <v>9</v>
      </c>
      <c r="AF345" s="29" t="str">
        <f>RIGHT(MCC_Table[[#This Row],[BUCKET]],1)</f>
        <v>G</v>
      </c>
      <c r="AG345" s="29">
        <f>VLOOKUP(MCC_Table[[#This Row],[START UNIT]],UnitMap[],2,FALSE)</f>
        <v>7</v>
      </c>
      <c r="AH345" s="29">
        <f t="array" ref="AH3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45" s="29">
        <f>IF(ISNUMBER(MCC_Table[[#This Row],[SIZE]]), MCC_Table[[#This Row],[SIZE]]/6, 0)</f>
        <v>3</v>
      </c>
      <c r="AJ345" s="29">
        <f>MCC_Table[[#This Row],[START INDEX]]+MCC_Table[[#This Row],[UNITS USED]]-1</f>
        <v>9</v>
      </c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</row>
    <row r="346" spans="1:57" ht="15.75" hidden="1" customHeight="1" thickTop="1" x14ac:dyDescent="0.25">
      <c r="A346" s="113" t="s">
        <v>2640</v>
      </c>
      <c r="B346" s="29" t="s">
        <v>2669</v>
      </c>
      <c r="C346" s="111" t="s">
        <v>2670</v>
      </c>
      <c r="D346" s="28" t="s">
        <v>2671</v>
      </c>
      <c r="E346" s="112" t="s">
        <v>2387</v>
      </c>
      <c r="F346" s="29">
        <v>5</v>
      </c>
      <c r="G346" s="8">
        <v>5</v>
      </c>
      <c r="H346" s="82"/>
      <c r="I346" s="8"/>
      <c r="J346" s="80">
        <f>IF(ISNUMBER(MCC_Table[[#This Row],[SIZE]]), MCC_Table[[#This Row],[SIZE]]/12, 0)</f>
        <v>1.5</v>
      </c>
      <c r="K346" s="82">
        <v>20</v>
      </c>
      <c r="L346" s="82">
        <v>125</v>
      </c>
      <c r="M346" s="82">
        <v>12</v>
      </c>
      <c r="N346" s="82" t="s">
        <v>2124</v>
      </c>
      <c r="O346" s="77"/>
      <c r="P346" s="110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225"/>
      <c r="AC346" s="225"/>
      <c r="AD346" s="225"/>
      <c r="AE346" s="29">
        <f>_xlfn.NUMBERVALUE(LEFT(MCC_Table[[#This Row],[BUCKET]],LEN(MCC_Table[[#This Row],[BUCKET]])-1))</f>
        <v>9</v>
      </c>
      <c r="AF346" s="29" t="str">
        <f>RIGHT(MCC_Table[[#This Row],[BUCKET]],1)</f>
        <v>K</v>
      </c>
      <c r="AG346" s="29">
        <f>VLOOKUP(MCC_Table[[#This Row],[START UNIT]],UnitMap[],2,FALSE)</f>
        <v>10</v>
      </c>
      <c r="AH346" s="29">
        <f t="array" ref="AH3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46" s="29">
        <f>IF(ISNUMBER(MCC_Table[[#This Row],[SIZE]]), MCC_Table[[#This Row],[SIZE]]/6, 0)</f>
        <v>3</v>
      </c>
      <c r="AJ346" s="29">
        <f>MCC_Table[[#This Row],[START INDEX]]+MCC_Table[[#This Row],[UNITS USED]]-1</f>
        <v>12</v>
      </c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</row>
    <row r="347" spans="1:57" ht="15.75" hidden="1" customHeight="1" thickTop="1" x14ac:dyDescent="0.25">
      <c r="A347" s="113" t="s">
        <v>2640</v>
      </c>
      <c r="B347" s="29" t="s">
        <v>2154</v>
      </c>
      <c r="C347" s="24" t="s">
        <v>2672</v>
      </c>
      <c r="D347" s="28" t="s">
        <v>2673</v>
      </c>
      <c r="E347" s="29" t="s">
        <v>2086</v>
      </c>
      <c r="F347" s="8">
        <v>2</v>
      </c>
      <c r="G347" s="8">
        <v>2</v>
      </c>
      <c r="H347" s="82"/>
      <c r="I347" s="8">
        <v>1</v>
      </c>
      <c r="J347" s="80">
        <f>IF(ISNUMBER(MCC_Table[[#This Row],[SIZE]]), MCC_Table[[#This Row],[SIZE]]/12, 0)</f>
        <v>1</v>
      </c>
      <c r="K347" s="82">
        <v>7</v>
      </c>
      <c r="L347" s="82">
        <v>125</v>
      </c>
      <c r="M347" s="82" t="s">
        <v>1888</v>
      </c>
      <c r="N347" s="82" t="s">
        <v>2178</v>
      </c>
      <c r="O347" s="77"/>
      <c r="P347" s="110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225"/>
      <c r="AC347" s="225"/>
      <c r="AD347" s="225"/>
      <c r="AE347" s="29">
        <f>_xlfn.NUMBERVALUE(LEFT(MCC_Table[[#This Row],[BUCKET]],LEN(MCC_Table[[#This Row],[BUCKET]])-1))</f>
        <v>10</v>
      </c>
      <c r="AF347" s="29" t="str">
        <f>RIGHT(MCC_Table[[#This Row],[BUCKET]],1)</f>
        <v>A</v>
      </c>
      <c r="AG347" s="29">
        <f>VLOOKUP(MCC_Table[[#This Row],[START UNIT]],UnitMap[],2,FALSE)</f>
        <v>1</v>
      </c>
      <c r="AH347" s="29">
        <f t="array" ref="AH3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47" s="29">
        <f>IF(ISNUMBER(MCC_Table[[#This Row],[SIZE]]), MCC_Table[[#This Row],[SIZE]]/6, 0)</f>
        <v>2</v>
      </c>
      <c r="AJ347" s="29">
        <f>MCC_Table[[#This Row],[START INDEX]]+MCC_Table[[#This Row],[UNITS USED]]-1</f>
        <v>2</v>
      </c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</row>
    <row r="348" spans="1:57" ht="15.75" hidden="1" customHeight="1" thickTop="1" x14ac:dyDescent="0.25">
      <c r="A348" s="113" t="s">
        <v>2640</v>
      </c>
      <c r="B348" s="8" t="s">
        <v>2674</v>
      </c>
      <c r="C348" s="24" t="s">
        <v>2675</v>
      </c>
      <c r="D348" s="89" t="s">
        <v>2664</v>
      </c>
      <c r="E348" s="29" t="s">
        <v>2290</v>
      </c>
      <c r="F348" s="29">
        <v>3</v>
      </c>
      <c r="G348" s="8">
        <v>3</v>
      </c>
      <c r="H348" s="87"/>
      <c r="I348" s="8">
        <v>1</v>
      </c>
      <c r="J348" s="83">
        <f>IF(ISNUMBER(MCC_Table[[#This Row],[SIZE]]), MCC_Table[[#This Row],[SIZE]]/12, 0)</f>
        <v>1.5</v>
      </c>
      <c r="K348" s="87">
        <v>15</v>
      </c>
      <c r="L348" s="82">
        <v>125</v>
      </c>
      <c r="M348" s="87" t="s">
        <v>1888</v>
      </c>
      <c r="N348" s="82" t="s">
        <v>2178</v>
      </c>
      <c r="O348" s="77"/>
      <c r="P348" s="85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225"/>
      <c r="AC348" s="225"/>
      <c r="AD348" s="225"/>
      <c r="AE348" s="8">
        <f>_xlfn.NUMBERVALUE(LEFT(MCC_Table[[#This Row],[BUCKET]],LEN(MCC_Table[[#This Row],[BUCKET]])-1))</f>
        <v>10</v>
      </c>
      <c r="AF348" s="8" t="str">
        <f>RIGHT(MCC_Table[[#This Row],[BUCKET]],1)</f>
        <v>C</v>
      </c>
      <c r="AG348" s="8">
        <f>VLOOKUP(MCC_Table[[#This Row],[START UNIT]],UnitMap[],2,FALSE)</f>
        <v>3</v>
      </c>
      <c r="AH348" s="8">
        <f t="array" ref="AH3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48" s="8">
        <f>IF(ISNUMBER(MCC_Table[[#This Row],[SIZE]]), MCC_Table[[#This Row],[SIZE]]/6, 0)</f>
        <v>3</v>
      </c>
      <c r="AJ348" s="8">
        <f>MCC_Table[[#This Row],[START INDEX]]+MCC_Table[[#This Row],[UNITS USED]]-1</f>
        <v>5</v>
      </c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</row>
    <row r="349" spans="1:57" ht="15.75" hidden="1" customHeight="1" thickTop="1" x14ac:dyDescent="0.25">
      <c r="A349" s="113" t="s">
        <v>2640</v>
      </c>
      <c r="B349" s="29" t="s">
        <v>2157</v>
      </c>
      <c r="C349" s="24" t="s">
        <v>2103</v>
      </c>
      <c r="D349" s="62" t="s">
        <v>2104</v>
      </c>
      <c r="E349" s="29" t="s">
        <v>2103</v>
      </c>
      <c r="F349" s="8"/>
      <c r="G349" s="8"/>
      <c r="H349" s="82"/>
      <c r="I349" s="8"/>
      <c r="J349" s="80">
        <f>IF(ISNUMBER(MCC_Table[[#This Row],[SIZE]]), MCC_Table[[#This Row],[SIZE]]/12, 0)</f>
        <v>0.5</v>
      </c>
      <c r="K349" s="82"/>
      <c r="L349" s="82"/>
      <c r="M349" s="82"/>
      <c r="N349" s="82"/>
      <c r="O349" s="77"/>
      <c r="P349" s="110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225"/>
      <c r="AC349" s="225"/>
      <c r="AD349" s="225"/>
      <c r="AE349" s="29">
        <f>_xlfn.NUMBERVALUE(LEFT(MCC_Table[[#This Row],[BUCKET]],LEN(MCC_Table[[#This Row],[BUCKET]])-1))</f>
        <v>10</v>
      </c>
      <c r="AF349" s="29" t="str">
        <f>RIGHT(MCC_Table[[#This Row],[BUCKET]],1)</f>
        <v>F</v>
      </c>
      <c r="AG349" s="29">
        <f>VLOOKUP(MCC_Table[[#This Row],[START UNIT]],UnitMap[],2,FALSE)</f>
        <v>6</v>
      </c>
      <c r="AH349" s="29">
        <f t="array" ref="AH3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6</v>
      </c>
      <c r="AI349" s="29">
        <f>IF(ISNUMBER(MCC_Table[[#This Row],[SIZE]]), MCC_Table[[#This Row],[SIZE]]/6, 0)</f>
        <v>1</v>
      </c>
      <c r="AJ349" s="29">
        <f>MCC_Table[[#This Row],[START INDEX]]+MCC_Table[[#This Row],[UNITS USED]]-1</f>
        <v>6</v>
      </c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</row>
    <row r="350" spans="1:57" ht="15.75" hidden="1" customHeight="1" thickTop="1" x14ac:dyDescent="0.25">
      <c r="A350" s="113" t="s">
        <v>2640</v>
      </c>
      <c r="B350" s="29" t="s">
        <v>2676</v>
      </c>
      <c r="C350" s="24" t="s">
        <v>2103</v>
      </c>
      <c r="D350" s="62" t="s">
        <v>2143</v>
      </c>
      <c r="E350" s="29" t="s">
        <v>2103</v>
      </c>
      <c r="F350" s="8"/>
      <c r="G350" s="8"/>
      <c r="H350" s="82"/>
      <c r="I350" s="8"/>
      <c r="J350" s="80">
        <f>IF(ISNUMBER(MCC_Table[[#This Row],[SIZE]]), MCC_Table[[#This Row],[SIZE]]/12, 0)</f>
        <v>1</v>
      </c>
      <c r="K350" s="82"/>
      <c r="L350" s="82"/>
      <c r="M350" s="82"/>
      <c r="N350" s="82"/>
      <c r="O350" s="77"/>
      <c r="P350" s="110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225"/>
      <c r="AC350" s="225"/>
      <c r="AD350" s="225"/>
      <c r="AE350" s="29">
        <f>_xlfn.NUMBERVALUE(LEFT(MCC_Table[[#This Row],[BUCKET]],LEN(MCC_Table[[#This Row],[BUCKET]])-1))</f>
        <v>10</v>
      </c>
      <c r="AF350" s="29" t="str">
        <f>RIGHT(MCC_Table[[#This Row],[BUCKET]],1)</f>
        <v>G</v>
      </c>
      <c r="AG350" s="29">
        <f>VLOOKUP(MCC_Table[[#This Row],[START UNIT]],UnitMap[],2,FALSE)</f>
        <v>7</v>
      </c>
      <c r="AH350" s="29">
        <f t="array" ref="AH3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0" s="29">
        <f>IF(ISNUMBER(MCC_Table[[#This Row],[SIZE]]), MCC_Table[[#This Row],[SIZE]]/6, 0)</f>
        <v>2</v>
      </c>
      <c r="AJ350" s="29">
        <f>MCC_Table[[#This Row],[START INDEX]]+MCC_Table[[#This Row],[UNITS USED]]-1</f>
        <v>8</v>
      </c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</row>
    <row r="351" spans="1:57" ht="15.75" hidden="1" customHeight="1" thickTop="1" x14ac:dyDescent="0.25">
      <c r="A351" s="113" t="s">
        <v>2640</v>
      </c>
      <c r="B351" s="29" t="s">
        <v>2440</v>
      </c>
      <c r="C351" s="24" t="s">
        <v>2103</v>
      </c>
      <c r="D351" s="62" t="s">
        <v>2143</v>
      </c>
      <c r="E351" s="29" t="s">
        <v>2103</v>
      </c>
      <c r="F351" s="8"/>
      <c r="G351" s="8"/>
      <c r="H351" s="82"/>
      <c r="I351" s="8"/>
      <c r="J351" s="80">
        <f>IF(ISNUMBER(MCC_Table[[#This Row],[SIZE]]), MCC_Table[[#This Row],[SIZE]]/12, 0)</f>
        <v>1</v>
      </c>
      <c r="K351" s="82"/>
      <c r="L351" s="82"/>
      <c r="M351" s="82"/>
      <c r="N351" s="82"/>
      <c r="O351" s="77"/>
      <c r="P351" s="110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225"/>
      <c r="AC351" s="225"/>
      <c r="AD351" s="225"/>
      <c r="AE351" s="29">
        <f>_xlfn.NUMBERVALUE(LEFT(MCC_Table[[#This Row],[BUCKET]],LEN(MCC_Table[[#This Row],[BUCKET]])-1))</f>
        <v>10</v>
      </c>
      <c r="AF351" s="29" t="str">
        <f>RIGHT(MCC_Table[[#This Row],[BUCKET]],1)</f>
        <v>J</v>
      </c>
      <c r="AG351" s="29">
        <f>VLOOKUP(MCC_Table[[#This Row],[START UNIT]],UnitMap[],2,FALSE)</f>
        <v>9</v>
      </c>
      <c r="AH351" s="29">
        <f t="array" ref="AH3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1" s="29">
        <f>IF(ISNUMBER(MCC_Table[[#This Row],[SIZE]]), MCC_Table[[#This Row],[SIZE]]/6, 0)</f>
        <v>2</v>
      </c>
      <c r="AJ351" s="29">
        <f>MCC_Table[[#This Row],[START INDEX]]+MCC_Table[[#This Row],[UNITS USED]]-1</f>
        <v>10</v>
      </c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</row>
    <row r="352" spans="1:57" ht="15.75" hidden="1" customHeight="1" thickTop="1" x14ac:dyDescent="0.25">
      <c r="A352" s="113" t="s">
        <v>2640</v>
      </c>
      <c r="B352" s="29" t="s">
        <v>2266</v>
      </c>
      <c r="C352" s="24" t="s">
        <v>2103</v>
      </c>
      <c r="D352" s="62" t="s">
        <v>2143</v>
      </c>
      <c r="E352" s="29" t="s">
        <v>2103</v>
      </c>
      <c r="F352" s="8"/>
      <c r="G352" s="8"/>
      <c r="H352" s="82"/>
      <c r="I352" s="8"/>
      <c r="J352" s="80">
        <f>IF(ISNUMBER(MCC_Table[[#This Row],[SIZE]]), MCC_Table[[#This Row],[SIZE]]/12, 0)</f>
        <v>1</v>
      </c>
      <c r="K352" s="82"/>
      <c r="L352" s="82"/>
      <c r="M352" s="82"/>
      <c r="N352" s="82"/>
      <c r="O352" s="77"/>
      <c r="P352" s="110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225"/>
      <c r="AC352" s="225"/>
      <c r="AD352" s="225"/>
      <c r="AE352" s="29">
        <f>_xlfn.NUMBERVALUE(LEFT(MCC_Table[[#This Row],[BUCKET]],LEN(MCC_Table[[#This Row],[BUCKET]])-1))</f>
        <v>10</v>
      </c>
      <c r="AF352" s="29" t="str">
        <f>RIGHT(MCC_Table[[#This Row],[BUCKET]],1)</f>
        <v>L</v>
      </c>
      <c r="AG352" s="29">
        <f>VLOOKUP(MCC_Table[[#This Row],[START UNIT]],UnitMap[],2,FALSE)</f>
        <v>11</v>
      </c>
      <c r="AH352" s="29">
        <f t="array" ref="AH3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2" s="29">
        <f>IF(ISNUMBER(MCC_Table[[#This Row],[SIZE]]), MCC_Table[[#This Row],[SIZE]]/6, 0)</f>
        <v>2</v>
      </c>
      <c r="AJ352" s="29">
        <f>MCC_Table[[#This Row],[START INDEX]]+MCC_Table[[#This Row],[UNITS USED]]-1</f>
        <v>12</v>
      </c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</row>
    <row r="353" spans="1:57" ht="15.75" hidden="1" customHeight="1" thickTop="1" x14ac:dyDescent="0.25">
      <c r="A353" s="113" t="s">
        <v>2640</v>
      </c>
      <c r="B353" s="29" t="s">
        <v>2161</v>
      </c>
      <c r="C353" s="24" t="s">
        <v>2677</v>
      </c>
      <c r="D353" s="62" t="s">
        <v>2224</v>
      </c>
      <c r="E353" s="24" t="s">
        <v>2225</v>
      </c>
      <c r="F353" s="8"/>
      <c r="G353" s="8"/>
      <c r="H353" s="87"/>
      <c r="I353" s="8"/>
      <c r="J353" s="80">
        <f>IF(ISNUMBER(MCC_Table[[#This Row],[SIZE]]), MCC_Table[[#This Row],[SIZE]]/12, 0)</f>
        <v>1</v>
      </c>
      <c r="K353" s="87"/>
      <c r="L353" s="82"/>
      <c r="M353" s="87"/>
      <c r="N353" s="87"/>
      <c r="O353" s="77"/>
      <c r="P353" s="105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225"/>
      <c r="AC353" s="225"/>
      <c r="AD353" s="225"/>
      <c r="AE353" s="29">
        <f>_xlfn.NUMBERVALUE(LEFT(MCC_Table[[#This Row],[BUCKET]],LEN(MCC_Table[[#This Row],[BUCKET]])-1))</f>
        <v>11</v>
      </c>
      <c r="AF353" s="29" t="str">
        <f>RIGHT(MCC_Table[[#This Row],[BUCKET]],1)</f>
        <v>A</v>
      </c>
      <c r="AG353" s="29">
        <f>VLOOKUP(MCC_Table[[#This Row],[START UNIT]],UnitMap[],2,FALSE)</f>
        <v>1</v>
      </c>
      <c r="AH353" s="29">
        <f t="array" ref="AH3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3" s="29">
        <f>IF(ISNUMBER(MCC_Table[[#This Row],[SIZE]]), MCC_Table[[#This Row],[SIZE]]/6, 0)</f>
        <v>2</v>
      </c>
      <c r="AJ353" s="29">
        <f>MCC_Table[[#This Row],[START INDEX]]+MCC_Table[[#This Row],[UNITS USED]]-1</f>
        <v>2</v>
      </c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</row>
    <row r="354" spans="1:57" ht="13.9" hidden="1" customHeight="1" x14ac:dyDescent="0.25">
      <c r="A354" s="113" t="s">
        <v>2640</v>
      </c>
      <c r="B354" s="29" t="s">
        <v>2611</v>
      </c>
      <c r="C354" s="111" t="s">
        <v>2678</v>
      </c>
      <c r="D354" s="28" t="s">
        <v>2679</v>
      </c>
      <c r="E354" s="112" t="s">
        <v>2387</v>
      </c>
      <c r="F354" s="29">
        <v>5</v>
      </c>
      <c r="G354" s="8">
        <v>5</v>
      </c>
      <c r="H354" s="82"/>
      <c r="I354" s="8"/>
      <c r="J354" s="80">
        <f>IF(ISNUMBER(MCC_Table[[#This Row],[SIZE]]), MCC_Table[[#This Row],[SIZE]]/12, 0)</f>
        <v>1.5</v>
      </c>
      <c r="K354" s="82">
        <v>20</v>
      </c>
      <c r="L354" s="82">
        <v>125</v>
      </c>
      <c r="M354" s="82">
        <v>12</v>
      </c>
      <c r="N354" s="82" t="s">
        <v>2124</v>
      </c>
      <c r="O354" s="77"/>
      <c r="P354" s="110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225"/>
      <c r="AC354" s="225"/>
      <c r="AD354" s="225"/>
      <c r="AE354" s="29">
        <f>_xlfn.NUMBERVALUE(LEFT(MCC_Table[[#This Row],[BUCKET]],LEN(MCC_Table[[#This Row],[BUCKET]])-1))</f>
        <v>11</v>
      </c>
      <c r="AF354" s="29" t="str">
        <f>RIGHT(MCC_Table[[#This Row],[BUCKET]],1)</f>
        <v>C</v>
      </c>
      <c r="AG354" s="29">
        <f>VLOOKUP(MCC_Table[[#This Row],[START UNIT]],UnitMap[],2,FALSE)</f>
        <v>3</v>
      </c>
      <c r="AH354" s="29">
        <f t="array" ref="AH3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54" s="29">
        <f>IF(ISNUMBER(MCC_Table[[#This Row],[SIZE]]), MCC_Table[[#This Row],[SIZE]]/6, 0)</f>
        <v>3</v>
      </c>
      <c r="AJ354" s="29">
        <f>MCC_Table[[#This Row],[START INDEX]]+MCC_Table[[#This Row],[UNITS USED]]-1</f>
        <v>5</v>
      </c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</row>
    <row r="355" spans="1:57" ht="15.75" hidden="1" customHeight="1" thickTop="1" x14ac:dyDescent="0.25">
      <c r="A355" s="113" t="s">
        <v>2640</v>
      </c>
      <c r="B355" s="29" t="s">
        <v>2164</v>
      </c>
      <c r="C355" s="111" t="s">
        <v>2680</v>
      </c>
      <c r="D355" s="28" t="s">
        <v>2681</v>
      </c>
      <c r="E355" s="112" t="s">
        <v>2387</v>
      </c>
      <c r="F355" s="29">
        <v>5</v>
      </c>
      <c r="G355" s="8">
        <v>5</v>
      </c>
      <c r="H355" s="82"/>
      <c r="I355" s="8"/>
      <c r="J355" s="80">
        <f>IF(ISNUMBER(MCC_Table[[#This Row],[SIZE]]), MCC_Table[[#This Row],[SIZE]]/12, 0)</f>
        <v>1.5</v>
      </c>
      <c r="K355" s="82">
        <v>20</v>
      </c>
      <c r="L355" s="82">
        <v>125</v>
      </c>
      <c r="M355" s="82">
        <v>12</v>
      </c>
      <c r="N355" s="82" t="s">
        <v>2124</v>
      </c>
      <c r="O355" s="77"/>
      <c r="P355" s="110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225"/>
      <c r="AC355" s="225"/>
      <c r="AD355" s="225"/>
      <c r="AE355" s="29">
        <f>_xlfn.NUMBERVALUE(LEFT(MCC_Table[[#This Row],[BUCKET]],LEN(MCC_Table[[#This Row],[BUCKET]])-1))</f>
        <v>11</v>
      </c>
      <c r="AF355" s="29" t="str">
        <f>RIGHT(MCC_Table[[#This Row],[BUCKET]],1)</f>
        <v>F</v>
      </c>
      <c r="AG355" s="29">
        <f>VLOOKUP(MCC_Table[[#This Row],[START UNIT]],UnitMap[],2,FALSE)</f>
        <v>6</v>
      </c>
      <c r="AH355" s="29">
        <f t="array" ref="AH3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55" s="29">
        <f>IF(ISNUMBER(MCC_Table[[#This Row],[SIZE]]), MCC_Table[[#This Row],[SIZE]]/6, 0)</f>
        <v>3</v>
      </c>
      <c r="AJ355" s="29">
        <f>MCC_Table[[#This Row],[START INDEX]]+MCC_Table[[#This Row],[UNITS USED]]-1</f>
        <v>8</v>
      </c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</row>
    <row r="356" spans="1:57" ht="15.75" hidden="1" customHeight="1" thickTop="1" x14ac:dyDescent="0.25">
      <c r="A356" s="113" t="s">
        <v>2640</v>
      </c>
      <c r="B356" s="29" t="s">
        <v>2682</v>
      </c>
      <c r="C356" s="111" t="s">
        <v>2683</v>
      </c>
      <c r="D356" s="28" t="s">
        <v>2684</v>
      </c>
      <c r="E356" s="29" t="s">
        <v>2387</v>
      </c>
      <c r="F356" s="8">
        <v>7.5</v>
      </c>
      <c r="G356" s="8">
        <v>7.5</v>
      </c>
      <c r="H356" s="82"/>
      <c r="I356" s="8"/>
      <c r="J356" s="80">
        <f>IF(ISNUMBER(MCC_Table[[#This Row],[SIZE]]), MCC_Table[[#This Row],[SIZE]]/12, 0)</f>
        <v>2</v>
      </c>
      <c r="K356" s="82">
        <v>30</v>
      </c>
      <c r="L356" s="82">
        <v>125</v>
      </c>
      <c r="M356" s="82">
        <v>25</v>
      </c>
      <c r="N356" s="82" t="s">
        <v>2124</v>
      </c>
      <c r="O356" s="77"/>
      <c r="P356" s="110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225"/>
      <c r="AC356" s="225"/>
      <c r="AD356" s="225"/>
      <c r="AE356" s="29">
        <f>_xlfn.NUMBERVALUE(LEFT(MCC_Table[[#This Row],[BUCKET]],LEN(MCC_Table[[#This Row],[BUCKET]])-1))</f>
        <v>11</v>
      </c>
      <c r="AF356" s="29" t="str">
        <f>RIGHT(MCC_Table[[#This Row],[BUCKET]],1)</f>
        <v>J</v>
      </c>
      <c r="AG356" s="29">
        <f>VLOOKUP(MCC_Table[[#This Row],[START UNIT]],UnitMap[],2,FALSE)</f>
        <v>9</v>
      </c>
      <c r="AH356" s="29">
        <f t="array" ref="AH3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24</v>
      </c>
      <c r="AI356" s="29">
        <f>IF(ISNUMBER(MCC_Table[[#This Row],[SIZE]]), MCC_Table[[#This Row],[SIZE]]/6, 0)</f>
        <v>4</v>
      </c>
      <c r="AJ356" s="29">
        <f>MCC_Table[[#This Row],[START INDEX]]+MCC_Table[[#This Row],[UNITS USED]]-1</f>
        <v>12</v>
      </c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</row>
    <row r="357" spans="1:57" ht="15.75" hidden="1" customHeight="1" thickTop="1" x14ac:dyDescent="0.25">
      <c r="A357" s="113" t="s">
        <v>2640</v>
      </c>
      <c r="B357" s="29" t="s">
        <v>2168</v>
      </c>
      <c r="C357" s="24" t="s">
        <v>2685</v>
      </c>
      <c r="D357" s="28" t="s">
        <v>2686</v>
      </c>
      <c r="E357" s="29" t="s">
        <v>2086</v>
      </c>
      <c r="F357" s="8">
        <v>10</v>
      </c>
      <c r="G357" s="8">
        <v>10</v>
      </c>
      <c r="H357" s="82"/>
      <c r="I357" s="8">
        <v>1</v>
      </c>
      <c r="J357" s="80">
        <f>IF(ISNUMBER(MCC_Table[[#This Row],[SIZE]]), MCC_Table[[#This Row],[SIZE]]/12, 0)</f>
        <v>1</v>
      </c>
      <c r="K357" s="82">
        <v>30</v>
      </c>
      <c r="L357" s="82">
        <v>125</v>
      </c>
      <c r="M357" s="82" t="s">
        <v>1888</v>
      </c>
      <c r="N357" s="82" t="s">
        <v>2178</v>
      </c>
      <c r="O357" s="77"/>
      <c r="P357" s="110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225"/>
      <c r="AC357" s="225"/>
      <c r="AD357" s="225"/>
      <c r="AE357" s="29">
        <f>_xlfn.NUMBERVALUE(LEFT(MCC_Table[[#This Row],[BUCKET]],LEN(MCC_Table[[#This Row],[BUCKET]])-1))</f>
        <v>12</v>
      </c>
      <c r="AF357" s="29" t="str">
        <f>RIGHT(MCC_Table[[#This Row],[BUCKET]],1)</f>
        <v>A</v>
      </c>
      <c r="AG357" s="29">
        <f>VLOOKUP(MCC_Table[[#This Row],[START UNIT]],UnitMap[],2,FALSE)</f>
        <v>1</v>
      </c>
      <c r="AH357" s="29">
        <f t="array" ref="AH3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57" s="29">
        <f>IF(ISNUMBER(MCC_Table[[#This Row],[SIZE]]), MCC_Table[[#This Row],[SIZE]]/6, 0)</f>
        <v>2</v>
      </c>
      <c r="AJ357" s="29">
        <f>MCC_Table[[#This Row],[START INDEX]]+MCC_Table[[#This Row],[UNITS USED]]-1</f>
        <v>2</v>
      </c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</row>
    <row r="358" spans="1:57" ht="15.75" hidden="1" customHeight="1" thickTop="1" x14ac:dyDescent="0.25">
      <c r="A358" s="113" t="s">
        <v>2640</v>
      </c>
      <c r="B358" s="29" t="s">
        <v>2274</v>
      </c>
      <c r="C358" s="111" t="s">
        <v>2687</v>
      </c>
      <c r="D358" s="28" t="s">
        <v>2688</v>
      </c>
      <c r="E358" s="112" t="s">
        <v>2290</v>
      </c>
      <c r="F358" s="8">
        <v>1</v>
      </c>
      <c r="G358" s="8">
        <v>1</v>
      </c>
      <c r="H358" s="82"/>
      <c r="I358" s="8"/>
      <c r="J358" s="80">
        <f>IF(ISNUMBER(MCC_Table[[#This Row],[SIZE]]), MCC_Table[[#This Row],[SIZE]]/12, 0)</f>
        <v>1.5</v>
      </c>
      <c r="K358" s="82">
        <v>3</v>
      </c>
      <c r="L358" s="82">
        <v>125</v>
      </c>
      <c r="M358" s="82" t="s">
        <v>1888</v>
      </c>
      <c r="N358" s="82" t="s">
        <v>2178</v>
      </c>
      <c r="O358" s="77"/>
      <c r="P358" s="110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225"/>
      <c r="AC358" s="225"/>
      <c r="AD358" s="225"/>
      <c r="AE358" s="29">
        <f>_xlfn.NUMBERVALUE(LEFT(MCC_Table[[#This Row],[BUCKET]],LEN(MCC_Table[[#This Row],[BUCKET]])-1))</f>
        <v>12</v>
      </c>
      <c r="AF358" s="29" t="str">
        <f>RIGHT(MCC_Table[[#This Row],[BUCKET]],1)</f>
        <v>C</v>
      </c>
      <c r="AG358" s="29">
        <f>VLOOKUP(MCC_Table[[#This Row],[START UNIT]],UnitMap[],2,FALSE)</f>
        <v>3</v>
      </c>
      <c r="AH358" s="29">
        <f t="array" ref="AH3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18</v>
      </c>
      <c r="AI358" s="29">
        <f>IF(ISNUMBER(MCC_Table[[#This Row],[SIZE]]), MCC_Table[[#This Row],[SIZE]]/6, 0)</f>
        <v>3</v>
      </c>
      <c r="AJ358" s="29">
        <f>MCC_Table[[#This Row],[START INDEX]]+MCC_Table[[#This Row],[UNITS USED]]-1</f>
        <v>5</v>
      </c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</row>
    <row r="359" spans="1:57" ht="15.75" hidden="1" customHeight="1" thickTop="1" x14ac:dyDescent="0.25">
      <c r="A359" s="113" t="s">
        <v>2640</v>
      </c>
      <c r="B359" s="29" t="s">
        <v>2172</v>
      </c>
      <c r="C359" s="111" t="s">
        <v>2689</v>
      </c>
      <c r="D359" s="28" t="s">
        <v>2690</v>
      </c>
      <c r="E359" s="112" t="s">
        <v>2387</v>
      </c>
      <c r="F359" s="8">
        <v>40</v>
      </c>
      <c r="G359" s="8">
        <v>40</v>
      </c>
      <c r="H359" s="87"/>
      <c r="I359" s="8"/>
      <c r="J359" s="80">
        <f>IF(ISNUMBER(MCC_Table[[#This Row],[SIZE]]), MCC_Table[[#This Row],[SIZE]]/12, 0)</f>
        <v>3.5</v>
      </c>
      <c r="K359" s="87">
        <v>125</v>
      </c>
      <c r="L359" s="82">
        <v>125</v>
      </c>
      <c r="M359" s="87">
        <v>100</v>
      </c>
      <c r="N359" s="82" t="s">
        <v>2215</v>
      </c>
      <c r="O359" s="77"/>
      <c r="P359" s="110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225"/>
      <c r="AC359" s="225"/>
      <c r="AD359" s="225"/>
      <c r="AE359" s="29">
        <f>_xlfn.NUMBERVALUE(LEFT(MCC_Table[[#This Row],[BUCKET]],LEN(MCC_Table[[#This Row],[BUCKET]])-1))</f>
        <v>12</v>
      </c>
      <c r="AF359" s="29" t="str">
        <f>RIGHT(MCC_Table[[#This Row],[BUCKET]],1)</f>
        <v>F</v>
      </c>
      <c r="AG359" s="29">
        <f>VLOOKUP(MCC_Table[[#This Row],[START UNIT]],UnitMap[],2,FALSE)</f>
        <v>6</v>
      </c>
      <c r="AH359" s="29">
        <f t="array" ref="AH3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42</v>
      </c>
      <c r="AI359" s="29">
        <f>IF(ISNUMBER(MCC_Table[[#This Row],[SIZE]]), MCC_Table[[#This Row],[SIZE]]/6, 0)</f>
        <v>7</v>
      </c>
      <c r="AJ359" s="29">
        <f>MCC_Table[[#This Row],[START INDEX]]+MCC_Table[[#This Row],[UNITS USED]]-1</f>
        <v>12</v>
      </c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</row>
    <row r="360" spans="1:57" ht="15.75" hidden="1" customHeight="1" thickTop="1" x14ac:dyDescent="0.25">
      <c r="A360" s="113" t="s">
        <v>2640</v>
      </c>
      <c r="B360" s="29" t="s">
        <v>2176</v>
      </c>
      <c r="C360" s="24" t="s">
        <v>2103</v>
      </c>
      <c r="D360" s="62" t="s">
        <v>2143</v>
      </c>
      <c r="E360" s="29" t="s">
        <v>2103</v>
      </c>
      <c r="F360" s="8"/>
      <c r="G360" s="8"/>
      <c r="H360" s="82"/>
      <c r="I360" s="8"/>
      <c r="J360" s="80">
        <f>IF(ISNUMBER(MCC_Table[[#This Row],[SIZE]]), MCC_Table[[#This Row],[SIZE]]/12, 0)</f>
        <v>1</v>
      </c>
      <c r="K360" s="82"/>
      <c r="L360" s="82"/>
      <c r="M360" s="82"/>
      <c r="N360" s="82"/>
      <c r="O360" s="77"/>
      <c r="P360" s="110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225"/>
      <c r="AC360" s="225"/>
      <c r="AD360" s="225"/>
      <c r="AE360" s="29">
        <f>_xlfn.NUMBERVALUE(LEFT(MCC_Table[[#This Row],[BUCKET]],LEN(MCC_Table[[#This Row],[BUCKET]])-1))</f>
        <v>13</v>
      </c>
      <c r="AF360" s="29" t="str">
        <f>RIGHT(MCC_Table[[#This Row],[BUCKET]],1)</f>
        <v>A</v>
      </c>
      <c r="AG360" s="29">
        <f>VLOOKUP(MCC_Table[[#This Row],[START UNIT]],UnitMap[],2,FALSE)</f>
        <v>1</v>
      </c>
      <c r="AH360" s="29">
        <f t="array" ref="AH3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0" s="29">
        <f>IF(ISNUMBER(MCC_Table[[#This Row],[SIZE]]), MCC_Table[[#This Row],[SIZE]]/6, 0)</f>
        <v>2</v>
      </c>
      <c r="AJ360" s="29">
        <f>MCC_Table[[#This Row],[START INDEX]]+MCC_Table[[#This Row],[UNITS USED]]-1</f>
        <v>2</v>
      </c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</row>
    <row r="361" spans="1:57" ht="15.75" hidden="1" customHeight="1" thickTop="1" x14ac:dyDescent="0.25">
      <c r="A361" s="113" t="s">
        <v>2640</v>
      </c>
      <c r="B361" s="29" t="s">
        <v>2179</v>
      </c>
      <c r="C361" s="24" t="s">
        <v>2103</v>
      </c>
      <c r="D361" s="62" t="s">
        <v>2143</v>
      </c>
      <c r="E361" s="29" t="s">
        <v>2103</v>
      </c>
      <c r="F361" s="8"/>
      <c r="G361" s="8"/>
      <c r="H361" s="82"/>
      <c r="I361" s="8"/>
      <c r="J361" s="80">
        <f>IF(ISNUMBER(MCC_Table[[#This Row],[SIZE]]), MCC_Table[[#This Row],[SIZE]]/12, 0)</f>
        <v>1</v>
      </c>
      <c r="K361" s="82"/>
      <c r="L361" s="82"/>
      <c r="M361" s="82"/>
      <c r="N361" s="82"/>
      <c r="O361" s="77"/>
      <c r="P361" s="110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225"/>
      <c r="AC361" s="225"/>
      <c r="AD361" s="225"/>
      <c r="AE361" s="29">
        <f>_xlfn.NUMBERVALUE(LEFT(MCC_Table[[#This Row],[BUCKET]],LEN(MCC_Table[[#This Row],[BUCKET]])-1))</f>
        <v>13</v>
      </c>
      <c r="AF361" s="29" t="str">
        <f>RIGHT(MCC_Table[[#This Row],[BUCKET]],1)</f>
        <v>C</v>
      </c>
      <c r="AG361" s="29">
        <f>VLOOKUP(MCC_Table[[#This Row],[START UNIT]],UnitMap[],2,FALSE)</f>
        <v>3</v>
      </c>
      <c r="AH361" s="29">
        <f t="array" ref="AH3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1" s="29">
        <f>IF(ISNUMBER(MCC_Table[[#This Row],[SIZE]]), MCC_Table[[#This Row],[SIZE]]/6, 0)</f>
        <v>2</v>
      </c>
      <c r="AJ361" s="29">
        <f>MCC_Table[[#This Row],[START INDEX]]+MCC_Table[[#This Row],[UNITS USED]]-1</f>
        <v>4</v>
      </c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</row>
    <row r="362" spans="1:57" ht="15.75" hidden="1" customHeight="1" thickTop="1" x14ac:dyDescent="0.25">
      <c r="A362" s="113" t="s">
        <v>2640</v>
      </c>
      <c r="B362" s="29" t="s">
        <v>2367</v>
      </c>
      <c r="C362" s="24" t="s">
        <v>2103</v>
      </c>
      <c r="D362" s="62" t="s">
        <v>2143</v>
      </c>
      <c r="E362" s="29" t="s">
        <v>2103</v>
      </c>
      <c r="F362" s="8"/>
      <c r="G362" s="8"/>
      <c r="H362" s="82"/>
      <c r="I362" s="8"/>
      <c r="J362" s="80">
        <f>IF(ISNUMBER(MCC_Table[[#This Row],[SIZE]]), MCC_Table[[#This Row],[SIZE]]/12, 0)</f>
        <v>1</v>
      </c>
      <c r="K362" s="82"/>
      <c r="L362" s="82"/>
      <c r="M362" s="82"/>
      <c r="N362" s="82"/>
      <c r="O362" s="77"/>
      <c r="P362" s="110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225"/>
      <c r="AC362" s="225"/>
      <c r="AD362" s="225"/>
      <c r="AE362" s="29">
        <f>_xlfn.NUMBERVALUE(LEFT(MCC_Table[[#This Row],[BUCKET]],LEN(MCC_Table[[#This Row],[BUCKET]])-1))</f>
        <v>13</v>
      </c>
      <c r="AF362" s="29" t="str">
        <f>RIGHT(MCC_Table[[#This Row],[BUCKET]],1)</f>
        <v>E</v>
      </c>
      <c r="AG362" s="29">
        <f>VLOOKUP(MCC_Table[[#This Row],[START UNIT]],UnitMap[],2,FALSE)</f>
        <v>5</v>
      </c>
      <c r="AH362" s="29">
        <f t="array" ref="AH3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2" s="29">
        <f>IF(ISNUMBER(MCC_Table[[#This Row],[SIZE]]), MCC_Table[[#This Row],[SIZE]]/6, 0)</f>
        <v>2</v>
      </c>
      <c r="AJ362" s="29">
        <f>MCC_Table[[#This Row],[START INDEX]]+MCC_Table[[#This Row],[UNITS USED]]-1</f>
        <v>6</v>
      </c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</row>
    <row r="363" spans="1:57" ht="15.75" hidden="1" customHeight="1" thickTop="1" x14ac:dyDescent="0.25">
      <c r="A363" s="113" t="s">
        <v>2640</v>
      </c>
      <c r="B363" s="29" t="s">
        <v>2691</v>
      </c>
      <c r="C363" s="24" t="s">
        <v>2103</v>
      </c>
      <c r="D363" s="62" t="s">
        <v>2143</v>
      </c>
      <c r="E363" s="29" t="s">
        <v>2103</v>
      </c>
      <c r="F363" s="8"/>
      <c r="G363" s="8"/>
      <c r="H363" s="82"/>
      <c r="I363" s="8"/>
      <c r="J363" s="80">
        <f>IF(ISNUMBER(MCC_Table[[#This Row],[SIZE]]), MCC_Table[[#This Row],[SIZE]]/12, 0)</f>
        <v>1</v>
      </c>
      <c r="K363" s="82"/>
      <c r="L363" s="82"/>
      <c r="M363" s="82"/>
      <c r="N363" s="82"/>
      <c r="O363" s="77"/>
      <c r="P363" s="110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225"/>
      <c r="AC363" s="225"/>
      <c r="AD363" s="225"/>
      <c r="AE363" s="29">
        <f>_xlfn.NUMBERVALUE(LEFT(MCC_Table[[#This Row],[BUCKET]],LEN(MCC_Table[[#This Row],[BUCKET]])-1))</f>
        <v>13</v>
      </c>
      <c r="AF363" s="29" t="str">
        <f>RIGHT(MCC_Table[[#This Row],[BUCKET]],1)</f>
        <v>G</v>
      </c>
      <c r="AG363" s="29">
        <f>VLOOKUP(MCC_Table[[#This Row],[START UNIT]],UnitMap[],2,FALSE)</f>
        <v>7</v>
      </c>
      <c r="AH363" s="29">
        <f t="array" ref="AH3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3" s="29">
        <f>IF(ISNUMBER(MCC_Table[[#This Row],[SIZE]]), MCC_Table[[#This Row],[SIZE]]/6, 0)</f>
        <v>2</v>
      </c>
      <c r="AJ363" s="29">
        <f>MCC_Table[[#This Row],[START INDEX]]+MCC_Table[[#This Row],[UNITS USED]]-1</f>
        <v>8</v>
      </c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</row>
    <row r="364" spans="1:57" ht="15.75" hidden="1" customHeight="1" thickTop="1" x14ac:dyDescent="0.25">
      <c r="A364" s="113" t="s">
        <v>2640</v>
      </c>
      <c r="B364" s="29" t="s">
        <v>2183</v>
      </c>
      <c r="C364" s="24" t="s">
        <v>2103</v>
      </c>
      <c r="D364" s="62" t="s">
        <v>2143</v>
      </c>
      <c r="E364" s="29" t="s">
        <v>2103</v>
      </c>
      <c r="F364" s="8"/>
      <c r="G364" s="8"/>
      <c r="H364" s="82"/>
      <c r="I364" s="8"/>
      <c r="J364" s="80">
        <f>IF(ISNUMBER(MCC_Table[[#This Row],[SIZE]]), MCC_Table[[#This Row],[SIZE]]/12, 0)</f>
        <v>1</v>
      </c>
      <c r="K364" s="82"/>
      <c r="L364" s="82"/>
      <c r="M364" s="82"/>
      <c r="N364" s="82"/>
      <c r="O364" s="77"/>
      <c r="P364" s="110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225"/>
      <c r="AC364" s="225"/>
      <c r="AD364" s="225"/>
      <c r="AE364" s="29">
        <f>_xlfn.NUMBERVALUE(LEFT(MCC_Table[[#This Row],[BUCKET]],LEN(MCC_Table[[#This Row],[BUCKET]])-1))</f>
        <v>13</v>
      </c>
      <c r="AF364" s="29" t="str">
        <f>RIGHT(MCC_Table[[#This Row],[BUCKET]],1)</f>
        <v>J</v>
      </c>
      <c r="AG364" s="29">
        <f>VLOOKUP(MCC_Table[[#This Row],[START UNIT]],UnitMap[],2,FALSE)</f>
        <v>9</v>
      </c>
      <c r="AH364" s="29">
        <f t="array" ref="AH3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4" s="29">
        <f>IF(ISNUMBER(MCC_Table[[#This Row],[SIZE]]), MCC_Table[[#This Row],[SIZE]]/6, 0)</f>
        <v>2</v>
      </c>
      <c r="AJ364" s="29">
        <f>MCC_Table[[#This Row],[START INDEX]]+MCC_Table[[#This Row],[UNITS USED]]-1</f>
        <v>10</v>
      </c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</row>
    <row r="365" spans="1:57" ht="15.75" hidden="1" customHeight="1" thickTop="1" x14ac:dyDescent="0.25">
      <c r="A365" s="113" t="s">
        <v>2640</v>
      </c>
      <c r="B365" s="29" t="s">
        <v>2548</v>
      </c>
      <c r="C365" s="24" t="s">
        <v>2103</v>
      </c>
      <c r="D365" s="62" t="s">
        <v>2143</v>
      </c>
      <c r="E365" s="29" t="s">
        <v>2103</v>
      </c>
      <c r="F365" s="8"/>
      <c r="G365" s="8"/>
      <c r="H365" s="82"/>
      <c r="I365" s="8"/>
      <c r="J365" s="80">
        <f>IF(ISNUMBER(MCC_Table[[#This Row],[SIZE]]), MCC_Table[[#This Row],[SIZE]]/12, 0)</f>
        <v>1</v>
      </c>
      <c r="K365" s="82"/>
      <c r="L365" s="82"/>
      <c r="M365" s="82"/>
      <c r="N365" s="82"/>
      <c r="O365" s="77"/>
      <c r="P365" s="110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225"/>
      <c r="AC365" s="225"/>
      <c r="AD365" s="225"/>
      <c r="AE365" s="29">
        <f>_xlfn.NUMBERVALUE(LEFT(MCC_Table[[#This Row],[BUCKET]],LEN(MCC_Table[[#This Row],[BUCKET]])-1))</f>
        <v>13</v>
      </c>
      <c r="AF365" s="29" t="str">
        <f>RIGHT(MCC_Table[[#This Row],[BUCKET]],1)</f>
        <v>L</v>
      </c>
      <c r="AG365" s="29">
        <f>VLOOKUP(MCC_Table[[#This Row],[START UNIT]],UnitMap[],2,FALSE)</f>
        <v>11</v>
      </c>
      <c r="AH365" s="29">
        <f t="array" ref="AH3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12</v>
      </c>
      <c r="AI365" s="29">
        <f>IF(ISNUMBER(MCC_Table[[#This Row],[SIZE]]), MCC_Table[[#This Row],[SIZE]]/6, 0)</f>
        <v>2</v>
      </c>
      <c r="AJ365" s="29">
        <f>MCC_Table[[#This Row],[START INDEX]]+MCC_Table[[#This Row],[UNITS USED]]-1</f>
        <v>12</v>
      </c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</row>
    <row r="366" spans="1:57" ht="15.75" hidden="1" customHeight="1" thickTop="1" x14ac:dyDescent="0.25">
      <c r="A366" s="113" t="s">
        <v>2640</v>
      </c>
      <c r="B366" s="8" t="s">
        <v>2186</v>
      </c>
      <c r="C366" s="24" t="s">
        <v>2645</v>
      </c>
      <c r="D366" s="28" t="s">
        <v>2646</v>
      </c>
      <c r="E366" s="29" t="s">
        <v>2387</v>
      </c>
      <c r="F366" s="8">
        <v>215</v>
      </c>
      <c r="G366" s="8">
        <v>250</v>
      </c>
      <c r="H366" s="82"/>
      <c r="I366" s="8"/>
      <c r="J366" s="83">
        <f>IF(ISNUMBER(MCC_Table[[#This Row],[SIZE]]), MCC_Table[[#This Row],[SIZE]]/12, 0)</f>
        <v>6</v>
      </c>
      <c r="K366" s="82">
        <v>400</v>
      </c>
      <c r="L366" s="82">
        <v>400</v>
      </c>
      <c r="M366" s="82">
        <v>400</v>
      </c>
      <c r="N366" s="82" t="s">
        <v>2117</v>
      </c>
      <c r="O366" s="77"/>
      <c r="P366" s="85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225"/>
      <c r="AC366" s="225"/>
      <c r="AD366" s="225"/>
      <c r="AE366" s="8">
        <f>_xlfn.NUMBERVALUE(LEFT(MCC_Table[[#This Row],[BUCKET]],LEN(MCC_Table[[#This Row],[BUCKET]])-1))</f>
        <v>14</v>
      </c>
      <c r="AF366" s="8" t="str">
        <f>RIGHT(MCC_Table[[#This Row],[BUCKET]],1)</f>
        <v>A</v>
      </c>
      <c r="AG366" s="8">
        <f>VLOOKUP(MCC_Table[[#This Row],[START UNIT]],UnitMap[],2,FALSE)</f>
        <v>1</v>
      </c>
      <c r="AH366" s="8">
        <f t="array" ref="AH3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366" s="8">
        <f>IF(ISNUMBER(MCC_Table[[#This Row],[SIZE]]), MCC_Table[[#This Row],[SIZE]]/6, 0)</f>
        <v>12</v>
      </c>
      <c r="AJ366" s="8">
        <f>MCC_Table[[#This Row],[START INDEX]]+MCC_Table[[#This Row],[UNITS USED]]-1</f>
        <v>12</v>
      </c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</row>
    <row r="367" spans="1:57" ht="15.75" hidden="1" customHeight="1" thickTop="1" x14ac:dyDescent="0.25">
      <c r="A367" s="113"/>
      <c r="B367" s="29"/>
      <c r="C367" s="111"/>
      <c r="D367" s="28"/>
      <c r="E367" s="112"/>
      <c r="F367" s="8"/>
      <c r="G367" s="8"/>
      <c r="H367" s="82"/>
      <c r="I367" s="8"/>
      <c r="J367" s="80">
        <f>IF(ISNUMBER(MCC_Table[[#This Row],[SIZE]]), MCC_Table[[#This Row],[SIZE]]/12, 0)</f>
        <v>0</v>
      </c>
      <c r="K367" s="82"/>
      <c r="L367" s="82"/>
      <c r="M367" s="82"/>
      <c r="N367" s="82"/>
      <c r="O367" s="77"/>
      <c r="P367" s="110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225"/>
      <c r="AC367" s="225"/>
      <c r="AD367" s="225"/>
      <c r="AE367" s="29" t="e">
        <f>_xlfn.NUMBERVALUE(LEFT(MCC_Table[[#This Row],[BUCKET]],LEN(MCC_Table[[#This Row],[BUCKET]])-1))</f>
        <v>#VALUE!</v>
      </c>
      <c r="AF367" s="29" t="str">
        <f>RIGHT(MCC_Table[[#This Row],[BUCKET]],1)</f>
        <v/>
      </c>
      <c r="AG367" s="29" t="e">
        <f>VLOOKUP(MCC_Table[[#This Row],[START UNIT]],UnitMap[],2,FALSE)</f>
        <v>#N/A</v>
      </c>
      <c r="AH367" s="29" t="e">
        <f t="array" ref="AH3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67" s="29">
        <f>IF(ISNUMBER(MCC_Table[[#This Row],[SIZE]]), MCC_Table[[#This Row],[SIZE]]/6, 0)</f>
        <v>0</v>
      </c>
      <c r="AJ367" s="29" t="e">
        <f>MCC_Table[[#This Row],[START INDEX]]+MCC_Table[[#This Row],[UNITS USED]]-1</f>
        <v>#N/A</v>
      </c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</row>
    <row r="368" spans="1:57" ht="15.75" hidden="1" customHeight="1" thickTop="1" x14ac:dyDescent="0.25">
      <c r="A368" s="113"/>
      <c r="B368" s="29"/>
      <c r="C368" s="111"/>
      <c r="D368" s="28"/>
      <c r="E368" s="112"/>
      <c r="F368" s="8"/>
      <c r="G368" s="8"/>
      <c r="H368" s="82"/>
      <c r="I368" s="8"/>
      <c r="J368" s="80">
        <f>IF(ISNUMBER(MCC_Table[[#This Row],[SIZE]]), MCC_Table[[#This Row],[SIZE]]/12, 0)</f>
        <v>0</v>
      </c>
      <c r="K368" s="82"/>
      <c r="L368" s="82"/>
      <c r="M368" s="82"/>
      <c r="N368" s="82"/>
      <c r="O368" s="77"/>
      <c r="P368" s="110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225"/>
      <c r="AC368" s="225"/>
      <c r="AD368" s="225"/>
      <c r="AE368" s="29" t="e">
        <f>_xlfn.NUMBERVALUE(LEFT(MCC_Table[[#This Row],[BUCKET]],LEN(MCC_Table[[#This Row],[BUCKET]])-1))</f>
        <v>#VALUE!</v>
      </c>
      <c r="AF368" s="29" t="str">
        <f>RIGHT(MCC_Table[[#This Row],[BUCKET]],1)</f>
        <v/>
      </c>
      <c r="AG368" s="29" t="e">
        <f>VLOOKUP(MCC_Table[[#This Row],[START UNIT]],UnitMap[],2,FALSE)</f>
        <v>#N/A</v>
      </c>
      <c r="AH368" s="29" t="e">
        <f t="array" ref="AH3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68" s="29">
        <f>IF(ISNUMBER(MCC_Table[[#This Row],[SIZE]]), MCC_Table[[#This Row],[SIZE]]/6, 0)</f>
        <v>0</v>
      </c>
      <c r="AJ368" s="29" t="e">
        <f>MCC_Table[[#This Row],[START INDEX]]+MCC_Table[[#This Row],[UNITS USED]]-1</f>
        <v>#N/A</v>
      </c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</row>
    <row r="369" spans="1:57" ht="15.75" hidden="1" customHeight="1" thickTop="1" x14ac:dyDescent="0.25">
      <c r="A369" s="113"/>
      <c r="B369" s="29"/>
      <c r="C369" s="111"/>
      <c r="D369" s="28"/>
      <c r="E369" s="112"/>
      <c r="F369" s="8"/>
      <c r="G369" s="8"/>
      <c r="H369" s="82"/>
      <c r="I369" s="8"/>
      <c r="J369" s="80">
        <f>IF(ISNUMBER(MCC_Table[[#This Row],[SIZE]]), MCC_Table[[#This Row],[SIZE]]/12, 0)</f>
        <v>0</v>
      </c>
      <c r="K369" s="82"/>
      <c r="L369" s="82"/>
      <c r="M369" s="82"/>
      <c r="N369" s="82"/>
      <c r="O369" s="77"/>
      <c r="P369" s="110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225"/>
      <c r="AC369" s="225"/>
      <c r="AD369" s="225"/>
      <c r="AE369" s="29" t="e">
        <f>_xlfn.NUMBERVALUE(LEFT(MCC_Table[[#This Row],[BUCKET]],LEN(MCC_Table[[#This Row],[BUCKET]])-1))</f>
        <v>#VALUE!</v>
      </c>
      <c r="AF369" s="29" t="str">
        <f>RIGHT(MCC_Table[[#This Row],[BUCKET]],1)</f>
        <v/>
      </c>
      <c r="AG369" s="29" t="e">
        <f>VLOOKUP(MCC_Table[[#This Row],[START UNIT]],UnitMap[],2,FALSE)</f>
        <v>#N/A</v>
      </c>
      <c r="AH369" s="29" t="e">
        <f t="array" ref="AH3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69" s="29">
        <f>IF(ISNUMBER(MCC_Table[[#This Row],[SIZE]]), MCC_Table[[#This Row],[SIZE]]/6, 0)</f>
        <v>0</v>
      </c>
      <c r="AJ369" s="29" t="e">
        <f>MCC_Table[[#This Row],[START INDEX]]+MCC_Table[[#This Row],[UNITS USED]]-1</f>
        <v>#N/A</v>
      </c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</row>
    <row r="370" spans="1:57" ht="15.75" hidden="1" customHeight="1" thickTop="1" x14ac:dyDescent="0.25">
      <c r="A370" s="113"/>
      <c r="B370" s="29"/>
      <c r="C370" s="111"/>
      <c r="D370" s="28"/>
      <c r="E370" s="112"/>
      <c r="F370" s="8"/>
      <c r="G370" s="8"/>
      <c r="H370" s="82"/>
      <c r="I370" s="8"/>
      <c r="J370" s="80">
        <f>IF(ISNUMBER(MCC_Table[[#This Row],[SIZE]]), MCC_Table[[#This Row],[SIZE]]/12, 0)</f>
        <v>0</v>
      </c>
      <c r="K370" s="82"/>
      <c r="L370" s="82"/>
      <c r="M370" s="82"/>
      <c r="N370" s="82"/>
      <c r="O370" s="77"/>
      <c r="P370" s="110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225"/>
      <c r="AC370" s="225"/>
      <c r="AD370" s="225"/>
      <c r="AE370" s="29" t="e">
        <f>_xlfn.NUMBERVALUE(LEFT(MCC_Table[[#This Row],[BUCKET]],LEN(MCC_Table[[#This Row],[BUCKET]])-1))</f>
        <v>#VALUE!</v>
      </c>
      <c r="AF370" s="29" t="str">
        <f>RIGHT(MCC_Table[[#This Row],[BUCKET]],1)</f>
        <v/>
      </c>
      <c r="AG370" s="29" t="e">
        <f>VLOOKUP(MCC_Table[[#This Row],[START UNIT]],UnitMap[],2,FALSE)</f>
        <v>#N/A</v>
      </c>
      <c r="AH370" s="29" t="e">
        <f t="array" ref="AH3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0" s="29">
        <f>IF(ISNUMBER(MCC_Table[[#This Row],[SIZE]]), MCC_Table[[#This Row],[SIZE]]/6, 0)</f>
        <v>0</v>
      </c>
      <c r="AJ370" s="29" t="e">
        <f>MCC_Table[[#This Row],[START INDEX]]+MCC_Table[[#This Row],[UNITS USED]]-1</f>
        <v>#N/A</v>
      </c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</row>
    <row r="371" spans="1:57" ht="15.75" hidden="1" customHeight="1" thickTop="1" x14ac:dyDescent="0.25">
      <c r="A371" s="113"/>
      <c r="B371" s="29"/>
      <c r="C371" s="111"/>
      <c r="D371" s="28"/>
      <c r="E371" s="112"/>
      <c r="F371" s="8"/>
      <c r="G371" s="8"/>
      <c r="H371" s="82"/>
      <c r="I371" s="8"/>
      <c r="J371" s="80">
        <f>IF(ISNUMBER(MCC_Table[[#This Row],[SIZE]]), MCC_Table[[#This Row],[SIZE]]/12, 0)</f>
        <v>0</v>
      </c>
      <c r="K371" s="82"/>
      <c r="L371" s="82"/>
      <c r="M371" s="82"/>
      <c r="N371" s="82"/>
      <c r="O371" s="77"/>
      <c r="P371" s="110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225"/>
      <c r="AC371" s="225"/>
      <c r="AD371" s="225"/>
      <c r="AE371" s="29" t="e">
        <f>_xlfn.NUMBERVALUE(LEFT(MCC_Table[[#This Row],[BUCKET]],LEN(MCC_Table[[#This Row],[BUCKET]])-1))</f>
        <v>#VALUE!</v>
      </c>
      <c r="AF371" s="29" t="str">
        <f>RIGHT(MCC_Table[[#This Row],[BUCKET]],1)</f>
        <v/>
      </c>
      <c r="AG371" s="29" t="e">
        <f>VLOOKUP(MCC_Table[[#This Row],[START UNIT]],UnitMap[],2,FALSE)</f>
        <v>#N/A</v>
      </c>
      <c r="AH371" s="29" t="e">
        <f t="array" ref="AH3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1" s="29">
        <f>IF(ISNUMBER(MCC_Table[[#This Row],[SIZE]]), MCC_Table[[#This Row],[SIZE]]/6, 0)</f>
        <v>0</v>
      </c>
      <c r="AJ371" s="29" t="e">
        <f>MCC_Table[[#This Row],[START INDEX]]+MCC_Table[[#This Row],[UNITS USED]]-1</f>
        <v>#N/A</v>
      </c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</row>
    <row r="372" spans="1:57" ht="15.75" hidden="1" customHeight="1" thickTop="1" x14ac:dyDescent="0.25">
      <c r="A372" s="39" t="s">
        <v>2692</v>
      </c>
      <c r="B372" s="8" t="s">
        <v>2074</v>
      </c>
      <c r="C372" s="24" t="s">
        <v>1933</v>
      </c>
      <c r="D372" s="28" t="s">
        <v>2693</v>
      </c>
      <c r="E372" s="29" t="s">
        <v>2387</v>
      </c>
      <c r="F372" s="8"/>
      <c r="G372" s="8">
        <v>75</v>
      </c>
      <c r="H372" s="87"/>
      <c r="I372" s="8"/>
      <c r="J372" s="83">
        <f>IF(ISNUMBER(MCC_Table[[#This Row],[SIZE]]), MCC_Table[[#This Row],[SIZE]]/12, 0)</f>
        <v>6</v>
      </c>
      <c r="K372" s="87">
        <v>250</v>
      </c>
      <c r="L372" s="82">
        <v>250</v>
      </c>
      <c r="M372" s="87">
        <v>175</v>
      </c>
      <c r="N372" s="87"/>
      <c r="O372" s="77"/>
      <c r="P372" s="88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225"/>
      <c r="AC372" s="225"/>
      <c r="AD372" s="225"/>
      <c r="AE372" s="8">
        <f>_xlfn.NUMBERVALUE(LEFT(MCC_Table[[#This Row],[BUCKET]],LEN(MCC_Table[[#This Row],[BUCKET]])-1))</f>
        <v>1</v>
      </c>
      <c r="AF372" s="8" t="str">
        <f>RIGHT(MCC_Table[[#This Row],[BUCKET]],1)</f>
        <v>A</v>
      </c>
      <c r="AG372" s="8">
        <f>VLOOKUP(MCC_Table[[#This Row],[START UNIT]],UnitMap[],2,FALSE)</f>
        <v>1</v>
      </c>
      <c r="AH372" s="8">
        <f t="array" ref="AH3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72</v>
      </c>
      <c r="AI372" s="8">
        <f>IF(ISNUMBER(MCC_Table[[#This Row],[SIZE]]), MCC_Table[[#This Row],[SIZE]]/6, 0)</f>
        <v>12</v>
      </c>
      <c r="AJ372" s="8">
        <f>MCC_Table[[#This Row],[START INDEX]]+MCC_Table[[#This Row],[UNITS USED]]-1</f>
        <v>12</v>
      </c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</row>
    <row r="373" spans="1:57" ht="15.75" hidden="1" customHeight="1" thickTop="1" x14ac:dyDescent="0.25">
      <c r="A373" s="113"/>
      <c r="B373" s="29"/>
      <c r="C373" s="111"/>
      <c r="D373" s="28"/>
      <c r="E373" s="112"/>
      <c r="F373" s="8"/>
      <c r="G373" s="8"/>
      <c r="H373" s="82"/>
      <c r="I373" s="8"/>
      <c r="J373" s="80">
        <f>IF(ISNUMBER(MCC_Table[[#This Row],[SIZE]]), MCC_Table[[#This Row],[SIZE]]/12, 0)</f>
        <v>0</v>
      </c>
      <c r="K373" s="82"/>
      <c r="L373" s="82"/>
      <c r="M373" s="82"/>
      <c r="N373" s="82"/>
      <c r="O373" s="77"/>
      <c r="P373" s="110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225"/>
      <c r="AC373" s="225"/>
      <c r="AD373" s="225"/>
      <c r="AE373" s="29" t="e">
        <f>_xlfn.NUMBERVALUE(LEFT(MCC_Table[[#This Row],[BUCKET]],LEN(MCC_Table[[#This Row],[BUCKET]])-1))</f>
        <v>#VALUE!</v>
      </c>
      <c r="AF373" s="29" t="str">
        <f>RIGHT(MCC_Table[[#This Row],[BUCKET]],1)</f>
        <v/>
      </c>
      <c r="AG373" s="29" t="e">
        <f>VLOOKUP(MCC_Table[[#This Row],[START UNIT]],UnitMap[],2,FALSE)</f>
        <v>#N/A</v>
      </c>
      <c r="AH373" s="29" t="e">
        <f t="array" ref="AH3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3" s="29">
        <f>IF(ISNUMBER(MCC_Table[[#This Row],[SIZE]]), MCC_Table[[#This Row],[SIZE]]/6, 0)</f>
        <v>0</v>
      </c>
      <c r="AJ373" s="29" t="e">
        <f>MCC_Table[[#This Row],[START INDEX]]+MCC_Table[[#This Row],[UNITS USED]]-1</f>
        <v>#N/A</v>
      </c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</row>
    <row r="374" spans="1:57" ht="15.75" hidden="1" customHeight="1" thickTop="1" x14ac:dyDescent="0.25">
      <c r="A374" s="113"/>
      <c r="B374" s="29"/>
      <c r="C374" s="111"/>
      <c r="D374" s="28"/>
      <c r="E374" s="112"/>
      <c r="F374" s="8"/>
      <c r="G374" s="8"/>
      <c r="H374" s="82"/>
      <c r="I374" s="8"/>
      <c r="J374" s="80">
        <f>IF(ISNUMBER(MCC_Table[[#This Row],[SIZE]]), MCC_Table[[#This Row],[SIZE]]/12, 0)</f>
        <v>0</v>
      </c>
      <c r="K374" s="82"/>
      <c r="L374" s="82"/>
      <c r="M374" s="82"/>
      <c r="N374" s="82"/>
      <c r="O374" s="77"/>
      <c r="P374" s="110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225"/>
      <c r="AC374" s="225"/>
      <c r="AD374" s="225"/>
      <c r="AE374" s="29" t="e">
        <f>_xlfn.NUMBERVALUE(LEFT(MCC_Table[[#This Row],[BUCKET]],LEN(MCC_Table[[#This Row],[BUCKET]])-1))</f>
        <v>#VALUE!</v>
      </c>
      <c r="AF374" s="29" t="str">
        <f>RIGHT(MCC_Table[[#This Row],[BUCKET]],1)</f>
        <v/>
      </c>
      <c r="AG374" s="29" t="e">
        <f>VLOOKUP(MCC_Table[[#This Row],[START UNIT]],UnitMap[],2,FALSE)</f>
        <v>#N/A</v>
      </c>
      <c r="AH374" s="29" t="e">
        <f t="array" ref="AH3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4" s="29">
        <f>IF(ISNUMBER(MCC_Table[[#This Row],[SIZE]]), MCC_Table[[#This Row],[SIZE]]/6, 0)</f>
        <v>0</v>
      </c>
      <c r="AJ374" s="29" t="e">
        <f>MCC_Table[[#This Row],[START INDEX]]+MCC_Table[[#This Row],[UNITS USED]]-1</f>
        <v>#N/A</v>
      </c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</row>
    <row r="375" spans="1:57" ht="15.75" hidden="1" customHeight="1" thickTop="1" x14ac:dyDescent="0.25">
      <c r="A375" s="113"/>
      <c r="B375" s="29"/>
      <c r="C375" s="111"/>
      <c r="D375" s="28"/>
      <c r="E375" s="112"/>
      <c r="F375" s="8"/>
      <c r="G375" s="8"/>
      <c r="H375" s="82"/>
      <c r="I375" s="8"/>
      <c r="J375" s="80">
        <f>IF(ISNUMBER(MCC_Table[[#This Row],[SIZE]]), MCC_Table[[#This Row],[SIZE]]/12, 0)</f>
        <v>0</v>
      </c>
      <c r="K375" s="82"/>
      <c r="L375" s="82"/>
      <c r="M375" s="82"/>
      <c r="N375" s="82"/>
      <c r="O375" s="77"/>
      <c r="P375" s="110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225"/>
      <c r="AC375" s="225"/>
      <c r="AD375" s="225"/>
      <c r="AE375" s="29" t="e">
        <f>_xlfn.NUMBERVALUE(LEFT(MCC_Table[[#This Row],[BUCKET]],LEN(MCC_Table[[#This Row],[BUCKET]])-1))</f>
        <v>#VALUE!</v>
      </c>
      <c r="AF375" s="29" t="str">
        <f>RIGHT(MCC_Table[[#This Row],[BUCKET]],1)</f>
        <v/>
      </c>
      <c r="AG375" s="29" t="e">
        <f>VLOOKUP(MCC_Table[[#This Row],[START UNIT]],UnitMap[],2,FALSE)</f>
        <v>#N/A</v>
      </c>
      <c r="AH375" s="29" t="e">
        <f t="array" ref="AH3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5" s="29">
        <f>IF(ISNUMBER(MCC_Table[[#This Row],[SIZE]]), MCC_Table[[#This Row],[SIZE]]/6, 0)</f>
        <v>0</v>
      </c>
      <c r="AJ375" s="29" t="e">
        <f>MCC_Table[[#This Row],[START INDEX]]+MCC_Table[[#This Row],[UNITS USED]]-1</f>
        <v>#N/A</v>
      </c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</row>
    <row r="376" spans="1:57" ht="15.75" hidden="1" customHeight="1" thickTop="1" x14ac:dyDescent="0.25">
      <c r="A376" s="113"/>
      <c r="B376" s="29"/>
      <c r="C376" s="111"/>
      <c r="D376" s="28"/>
      <c r="E376" s="112"/>
      <c r="F376" s="8"/>
      <c r="G376" s="8"/>
      <c r="H376" s="82"/>
      <c r="I376" s="8"/>
      <c r="J376" s="80">
        <f>IF(ISNUMBER(MCC_Table[[#This Row],[SIZE]]), MCC_Table[[#This Row],[SIZE]]/12, 0)</f>
        <v>0</v>
      </c>
      <c r="K376" s="82"/>
      <c r="L376" s="82"/>
      <c r="M376" s="82"/>
      <c r="N376" s="82"/>
      <c r="O376" s="77"/>
      <c r="P376" s="110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225"/>
      <c r="AC376" s="225"/>
      <c r="AD376" s="225"/>
      <c r="AE376" s="29" t="e">
        <f>_xlfn.NUMBERVALUE(LEFT(MCC_Table[[#This Row],[BUCKET]],LEN(MCC_Table[[#This Row],[BUCKET]])-1))</f>
        <v>#VALUE!</v>
      </c>
      <c r="AF376" s="29" t="str">
        <f>RIGHT(MCC_Table[[#This Row],[BUCKET]],1)</f>
        <v/>
      </c>
      <c r="AG376" s="29" t="e">
        <f>VLOOKUP(MCC_Table[[#This Row],[START UNIT]],UnitMap[],2,FALSE)</f>
        <v>#N/A</v>
      </c>
      <c r="AH376" s="29" t="e">
        <f t="array" ref="AH3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6" s="29">
        <f>IF(ISNUMBER(MCC_Table[[#This Row],[SIZE]]), MCC_Table[[#This Row],[SIZE]]/6, 0)</f>
        <v>0</v>
      </c>
      <c r="AJ376" s="29" t="e">
        <f>MCC_Table[[#This Row],[START INDEX]]+MCC_Table[[#This Row],[UNITS USED]]-1</f>
        <v>#N/A</v>
      </c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</row>
    <row r="377" spans="1:57" ht="15.75" hidden="1" customHeight="1" thickTop="1" x14ac:dyDescent="0.25">
      <c r="A377" s="113"/>
      <c r="B377" s="29"/>
      <c r="C377" s="111"/>
      <c r="D377" s="28"/>
      <c r="E377" s="112"/>
      <c r="F377" s="8"/>
      <c r="G377" s="8"/>
      <c r="H377" s="82"/>
      <c r="I377" s="8"/>
      <c r="J377" s="80">
        <f>IF(ISNUMBER(MCC_Table[[#This Row],[SIZE]]), MCC_Table[[#This Row],[SIZE]]/12, 0)</f>
        <v>0</v>
      </c>
      <c r="K377" s="82"/>
      <c r="L377" s="82"/>
      <c r="M377" s="82"/>
      <c r="N377" s="82"/>
      <c r="O377" s="77"/>
      <c r="P377" s="110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225"/>
      <c r="AC377" s="225"/>
      <c r="AD377" s="225"/>
      <c r="AE377" s="29" t="e">
        <f>_xlfn.NUMBERVALUE(LEFT(MCC_Table[[#This Row],[BUCKET]],LEN(MCC_Table[[#This Row],[BUCKET]])-1))</f>
        <v>#VALUE!</v>
      </c>
      <c r="AF377" s="29" t="str">
        <f>RIGHT(MCC_Table[[#This Row],[BUCKET]],1)</f>
        <v/>
      </c>
      <c r="AG377" s="29" t="e">
        <f>VLOOKUP(MCC_Table[[#This Row],[START UNIT]],UnitMap[],2,FALSE)</f>
        <v>#N/A</v>
      </c>
      <c r="AH377" s="29" t="e">
        <f t="array" ref="AH3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7" s="29">
        <f>IF(ISNUMBER(MCC_Table[[#This Row],[SIZE]]), MCC_Table[[#This Row],[SIZE]]/6, 0)</f>
        <v>0</v>
      </c>
      <c r="AJ377" s="29" t="e">
        <f>MCC_Table[[#This Row],[START INDEX]]+MCC_Table[[#This Row],[UNITS USED]]-1</f>
        <v>#N/A</v>
      </c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</row>
    <row r="378" spans="1:57" ht="15.75" hidden="1" customHeight="1" thickTop="1" x14ac:dyDescent="0.25">
      <c r="A378" s="113"/>
      <c r="B378" s="29"/>
      <c r="C378" s="111"/>
      <c r="D378" s="28"/>
      <c r="E378" s="112"/>
      <c r="F378" s="8"/>
      <c r="G378" s="8"/>
      <c r="H378" s="82"/>
      <c r="I378" s="8"/>
      <c r="J378" s="80">
        <f>IF(ISNUMBER(MCC_Table[[#This Row],[SIZE]]), MCC_Table[[#This Row],[SIZE]]/12, 0)</f>
        <v>0</v>
      </c>
      <c r="K378" s="82"/>
      <c r="L378" s="82"/>
      <c r="M378" s="82"/>
      <c r="N378" s="82"/>
      <c r="O378" s="77"/>
      <c r="P378" s="110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225"/>
      <c r="AC378" s="225"/>
      <c r="AD378" s="225"/>
      <c r="AE378" s="29" t="e">
        <f>_xlfn.NUMBERVALUE(LEFT(MCC_Table[[#This Row],[BUCKET]],LEN(MCC_Table[[#This Row],[BUCKET]])-1))</f>
        <v>#VALUE!</v>
      </c>
      <c r="AF378" s="29" t="str">
        <f>RIGHT(MCC_Table[[#This Row],[BUCKET]],1)</f>
        <v/>
      </c>
      <c r="AG378" s="29" t="e">
        <f>VLOOKUP(MCC_Table[[#This Row],[START UNIT]],UnitMap[],2,FALSE)</f>
        <v>#N/A</v>
      </c>
      <c r="AH378" s="29" t="e">
        <f t="array" ref="AH3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8" s="29">
        <f>IF(ISNUMBER(MCC_Table[[#This Row],[SIZE]]), MCC_Table[[#This Row],[SIZE]]/6, 0)</f>
        <v>0</v>
      </c>
      <c r="AJ378" s="29" t="e">
        <f>MCC_Table[[#This Row],[START INDEX]]+MCC_Table[[#This Row],[UNITS USED]]-1</f>
        <v>#N/A</v>
      </c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</row>
    <row r="379" spans="1:57" ht="15.75" hidden="1" customHeight="1" thickTop="1" x14ac:dyDescent="0.25">
      <c r="A379" s="113"/>
      <c r="B379" s="29"/>
      <c r="C379" s="111"/>
      <c r="D379" s="28"/>
      <c r="E379" s="112"/>
      <c r="F379" s="8"/>
      <c r="G379" s="8"/>
      <c r="H379" s="82"/>
      <c r="I379" s="8"/>
      <c r="J379" s="80">
        <f>IF(ISNUMBER(MCC_Table[[#This Row],[SIZE]]), MCC_Table[[#This Row],[SIZE]]/12, 0)</f>
        <v>0</v>
      </c>
      <c r="K379" s="82"/>
      <c r="L379" s="82"/>
      <c r="M379" s="82"/>
      <c r="N379" s="82"/>
      <c r="O379" s="77"/>
      <c r="P379" s="110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225"/>
      <c r="AC379" s="225"/>
      <c r="AD379" s="225"/>
      <c r="AE379" s="29" t="e">
        <f>_xlfn.NUMBERVALUE(LEFT(MCC_Table[[#This Row],[BUCKET]],LEN(MCC_Table[[#This Row],[BUCKET]])-1))</f>
        <v>#VALUE!</v>
      </c>
      <c r="AF379" s="29" t="str">
        <f>RIGHT(MCC_Table[[#This Row],[BUCKET]],1)</f>
        <v/>
      </c>
      <c r="AG379" s="29" t="e">
        <f>VLOOKUP(MCC_Table[[#This Row],[START UNIT]],UnitMap[],2,FALSE)</f>
        <v>#N/A</v>
      </c>
      <c r="AH379" s="29" t="e">
        <f t="array" ref="AH3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79" s="29">
        <f>IF(ISNUMBER(MCC_Table[[#This Row],[SIZE]]), MCC_Table[[#This Row],[SIZE]]/6, 0)</f>
        <v>0</v>
      </c>
      <c r="AJ379" s="29" t="e">
        <f>MCC_Table[[#This Row],[START INDEX]]+MCC_Table[[#This Row],[UNITS USED]]-1</f>
        <v>#N/A</v>
      </c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</row>
    <row r="380" spans="1:57" ht="15.75" hidden="1" customHeight="1" thickTop="1" x14ac:dyDescent="0.25">
      <c r="A380" s="113"/>
      <c r="B380" s="29"/>
      <c r="C380" s="111"/>
      <c r="D380" s="28"/>
      <c r="E380" s="112"/>
      <c r="F380" s="8"/>
      <c r="G380" s="8"/>
      <c r="H380" s="82"/>
      <c r="I380" s="8"/>
      <c r="J380" s="80">
        <f>IF(ISNUMBER(MCC_Table[[#This Row],[SIZE]]), MCC_Table[[#This Row],[SIZE]]/12, 0)</f>
        <v>0</v>
      </c>
      <c r="K380" s="82"/>
      <c r="L380" s="82"/>
      <c r="M380" s="82"/>
      <c r="N380" s="82"/>
      <c r="O380" s="77"/>
      <c r="P380" s="110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225"/>
      <c r="AC380" s="225"/>
      <c r="AD380" s="225"/>
      <c r="AE380" s="29" t="e">
        <f>_xlfn.NUMBERVALUE(LEFT(MCC_Table[[#This Row],[BUCKET]],LEN(MCC_Table[[#This Row],[BUCKET]])-1))</f>
        <v>#VALUE!</v>
      </c>
      <c r="AF380" s="29" t="str">
        <f>RIGHT(MCC_Table[[#This Row],[BUCKET]],1)</f>
        <v/>
      </c>
      <c r="AG380" s="29" t="e">
        <f>VLOOKUP(MCC_Table[[#This Row],[START UNIT]],UnitMap[],2,FALSE)</f>
        <v>#N/A</v>
      </c>
      <c r="AH380" s="29" t="e">
        <f t="array" ref="AH3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0" s="29">
        <f>IF(ISNUMBER(MCC_Table[[#This Row],[SIZE]]), MCC_Table[[#This Row],[SIZE]]/6, 0)</f>
        <v>0</v>
      </c>
      <c r="AJ380" s="29" t="e">
        <f>MCC_Table[[#This Row],[START INDEX]]+MCC_Table[[#This Row],[UNITS USED]]-1</f>
        <v>#N/A</v>
      </c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</row>
    <row r="381" spans="1:57" ht="15.75" hidden="1" customHeight="1" thickTop="1" x14ac:dyDescent="0.25">
      <c r="A381" s="113"/>
      <c r="B381" s="29"/>
      <c r="C381" s="111"/>
      <c r="D381" s="28"/>
      <c r="E381" s="112"/>
      <c r="F381" s="8"/>
      <c r="G381" s="8"/>
      <c r="H381" s="82"/>
      <c r="I381" s="8"/>
      <c r="J381" s="80">
        <f>IF(ISNUMBER(MCC_Table[[#This Row],[SIZE]]), MCC_Table[[#This Row],[SIZE]]/12, 0)</f>
        <v>0</v>
      </c>
      <c r="K381" s="82"/>
      <c r="L381" s="82"/>
      <c r="M381" s="82"/>
      <c r="N381" s="82"/>
      <c r="O381" s="77"/>
      <c r="P381" s="110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225"/>
      <c r="AC381" s="225"/>
      <c r="AD381" s="225"/>
      <c r="AE381" s="29" t="e">
        <f>_xlfn.NUMBERVALUE(LEFT(MCC_Table[[#This Row],[BUCKET]],LEN(MCC_Table[[#This Row],[BUCKET]])-1))</f>
        <v>#VALUE!</v>
      </c>
      <c r="AF381" s="29" t="str">
        <f>RIGHT(MCC_Table[[#This Row],[BUCKET]],1)</f>
        <v/>
      </c>
      <c r="AG381" s="29" t="e">
        <f>VLOOKUP(MCC_Table[[#This Row],[START UNIT]],UnitMap[],2,FALSE)</f>
        <v>#N/A</v>
      </c>
      <c r="AH381" s="29" t="e">
        <f t="array" ref="AH3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1" s="29">
        <f>IF(ISNUMBER(MCC_Table[[#This Row],[SIZE]]), MCC_Table[[#This Row],[SIZE]]/6, 0)</f>
        <v>0</v>
      </c>
      <c r="AJ381" s="29" t="e">
        <f>MCC_Table[[#This Row],[START INDEX]]+MCC_Table[[#This Row],[UNITS USED]]-1</f>
        <v>#N/A</v>
      </c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</row>
    <row r="382" spans="1:57" ht="15.75" hidden="1" customHeight="1" thickTop="1" x14ac:dyDescent="0.25">
      <c r="A382" s="113"/>
      <c r="B382" s="29"/>
      <c r="C382" s="111"/>
      <c r="D382" s="28"/>
      <c r="E382" s="112"/>
      <c r="F382" s="8"/>
      <c r="G382" s="8"/>
      <c r="H382" s="82"/>
      <c r="I382" s="8"/>
      <c r="J382" s="80">
        <f>IF(ISNUMBER(MCC_Table[[#This Row],[SIZE]]), MCC_Table[[#This Row],[SIZE]]/12, 0)</f>
        <v>0</v>
      </c>
      <c r="K382" s="82"/>
      <c r="L382" s="82"/>
      <c r="M382" s="82"/>
      <c r="N382" s="82"/>
      <c r="O382" s="77"/>
      <c r="P382" s="110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225"/>
      <c r="AC382" s="225"/>
      <c r="AD382" s="225"/>
      <c r="AE382" s="29" t="e">
        <f>_xlfn.NUMBERVALUE(LEFT(MCC_Table[[#This Row],[BUCKET]],LEN(MCC_Table[[#This Row],[BUCKET]])-1))</f>
        <v>#VALUE!</v>
      </c>
      <c r="AF382" s="29" t="str">
        <f>RIGHT(MCC_Table[[#This Row],[BUCKET]],1)</f>
        <v/>
      </c>
      <c r="AG382" s="29" t="e">
        <f>VLOOKUP(MCC_Table[[#This Row],[START UNIT]],UnitMap[],2,FALSE)</f>
        <v>#N/A</v>
      </c>
      <c r="AH382" s="29" t="e">
        <f t="array" ref="AH3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2" s="29">
        <f>IF(ISNUMBER(MCC_Table[[#This Row],[SIZE]]), MCC_Table[[#This Row],[SIZE]]/6, 0)</f>
        <v>0</v>
      </c>
      <c r="AJ382" s="29" t="e">
        <f>MCC_Table[[#This Row],[START INDEX]]+MCC_Table[[#This Row],[UNITS USED]]-1</f>
        <v>#N/A</v>
      </c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</row>
    <row r="383" spans="1:57" ht="15.75" hidden="1" customHeight="1" thickTop="1" x14ac:dyDescent="0.25">
      <c r="A383" s="113"/>
      <c r="B383" s="29"/>
      <c r="C383" s="111"/>
      <c r="D383" s="28"/>
      <c r="E383" s="112"/>
      <c r="F383" s="8"/>
      <c r="G383" s="8"/>
      <c r="H383" s="82"/>
      <c r="I383" s="8"/>
      <c r="J383" s="80">
        <f>IF(ISNUMBER(MCC_Table[[#This Row],[SIZE]]), MCC_Table[[#This Row],[SIZE]]/12, 0)</f>
        <v>0</v>
      </c>
      <c r="K383" s="82"/>
      <c r="L383" s="82"/>
      <c r="M383" s="82"/>
      <c r="N383" s="82"/>
      <c r="O383" s="77"/>
      <c r="P383" s="110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225"/>
      <c r="AC383" s="225"/>
      <c r="AD383" s="225"/>
      <c r="AE383" s="29" t="e">
        <f>_xlfn.NUMBERVALUE(LEFT(MCC_Table[[#This Row],[BUCKET]],LEN(MCC_Table[[#This Row],[BUCKET]])-1))</f>
        <v>#VALUE!</v>
      </c>
      <c r="AF383" s="29" t="str">
        <f>RIGHT(MCC_Table[[#This Row],[BUCKET]],1)</f>
        <v/>
      </c>
      <c r="AG383" s="29" t="e">
        <f>VLOOKUP(MCC_Table[[#This Row],[START UNIT]],UnitMap[],2,FALSE)</f>
        <v>#N/A</v>
      </c>
      <c r="AH383" s="29" t="e">
        <f t="array" ref="AH3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3" s="29">
        <f>IF(ISNUMBER(MCC_Table[[#This Row],[SIZE]]), MCC_Table[[#This Row],[SIZE]]/6, 0)</f>
        <v>0</v>
      </c>
      <c r="AJ383" s="29" t="e">
        <f>MCC_Table[[#This Row],[START INDEX]]+MCC_Table[[#This Row],[UNITS USED]]-1</f>
        <v>#N/A</v>
      </c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</row>
    <row r="384" spans="1:57" ht="15.75" hidden="1" customHeight="1" thickTop="1" x14ac:dyDescent="0.25">
      <c r="A384" s="113"/>
      <c r="B384" s="29"/>
      <c r="C384" s="111"/>
      <c r="D384" s="28"/>
      <c r="E384" s="112"/>
      <c r="F384" s="8"/>
      <c r="G384" s="8"/>
      <c r="H384" s="82"/>
      <c r="I384" s="8"/>
      <c r="J384" s="80">
        <f>IF(ISNUMBER(MCC_Table[[#This Row],[SIZE]]), MCC_Table[[#This Row],[SIZE]]/12, 0)</f>
        <v>0</v>
      </c>
      <c r="K384" s="82"/>
      <c r="L384" s="82"/>
      <c r="M384" s="82"/>
      <c r="N384" s="82"/>
      <c r="O384" s="77"/>
      <c r="P384" s="110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225"/>
      <c r="AC384" s="225"/>
      <c r="AD384" s="225"/>
      <c r="AE384" s="29" t="e">
        <f>_xlfn.NUMBERVALUE(LEFT(MCC_Table[[#This Row],[BUCKET]],LEN(MCC_Table[[#This Row],[BUCKET]])-1))</f>
        <v>#VALUE!</v>
      </c>
      <c r="AF384" s="29" t="str">
        <f>RIGHT(MCC_Table[[#This Row],[BUCKET]],1)</f>
        <v/>
      </c>
      <c r="AG384" s="29" t="e">
        <f>VLOOKUP(MCC_Table[[#This Row],[START UNIT]],UnitMap[],2,FALSE)</f>
        <v>#N/A</v>
      </c>
      <c r="AH384" s="29" t="e">
        <f t="array" ref="AH3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4" s="29">
        <f>IF(ISNUMBER(MCC_Table[[#This Row],[SIZE]]), MCC_Table[[#This Row],[SIZE]]/6, 0)</f>
        <v>0</v>
      </c>
      <c r="AJ384" s="29" t="e">
        <f>MCC_Table[[#This Row],[START INDEX]]+MCC_Table[[#This Row],[UNITS USED]]-1</f>
        <v>#N/A</v>
      </c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</row>
    <row r="385" spans="1:57" ht="15.75" hidden="1" customHeight="1" thickTop="1" x14ac:dyDescent="0.25">
      <c r="A385" s="113"/>
      <c r="B385" s="29"/>
      <c r="C385" s="111"/>
      <c r="D385" s="28"/>
      <c r="E385" s="112"/>
      <c r="F385" s="8"/>
      <c r="G385" s="8"/>
      <c r="H385" s="82"/>
      <c r="I385" s="8"/>
      <c r="J385" s="80">
        <f>IF(ISNUMBER(MCC_Table[[#This Row],[SIZE]]), MCC_Table[[#This Row],[SIZE]]/12, 0)</f>
        <v>0</v>
      </c>
      <c r="K385" s="82"/>
      <c r="L385" s="82"/>
      <c r="M385" s="82"/>
      <c r="N385" s="82"/>
      <c r="O385" s="77"/>
      <c r="P385" s="110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225"/>
      <c r="AC385" s="225"/>
      <c r="AD385" s="225"/>
      <c r="AE385" s="29" t="e">
        <f>_xlfn.NUMBERVALUE(LEFT(MCC_Table[[#This Row],[BUCKET]],LEN(MCC_Table[[#This Row],[BUCKET]])-1))</f>
        <v>#VALUE!</v>
      </c>
      <c r="AF385" s="29" t="str">
        <f>RIGHT(MCC_Table[[#This Row],[BUCKET]],1)</f>
        <v/>
      </c>
      <c r="AG385" s="29" t="e">
        <f>VLOOKUP(MCC_Table[[#This Row],[START UNIT]],UnitMap[],2,FALSE)</f>
        <v>#N/A</v>
      </c>
      <c r="AH385" s="29" t="e">
        <f t="array" ref="AH3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5" s="29">
        <f>IF(ISNUMBER(MCC_Table[[#This Row],[SIZE]]), MCC_Table[[#This Row],[SIZE]]/6, 0)</f>
        <v>0</v>
      </c>
      <c r="AJ385" s="29" t="e">
        <f>MCC_Table[[#This Row],[START INDEX]]+MCC_Table[[#This Row],[UNITS USED]]-1</f>
        <v>#N/A</v>
      </c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</row>
    <row r="386" spans="1:57" ht="15.75" hidden="1" customHeight="1" thickTop="1" x14ac:dyDescent="0.25">
      <c r="A386" s="113"/>
      <c r="B386" s="29"/>
      <c r="C386" s="111"/>
      <c r="D386" s="28"/>
      <c r="E386" s="112"/>
      <c r="F386" s="8"/>
      <c r="G386" s="8"/>
      <c r="H386" s="82"/>
      <c r="I386" s="8"/>
      <c r="J386" s="80">
        <f>IF(ISNUMBER(MCC_Table[[#This Row],[SIZE]]), MCC_Table[[#This Row],[SIZE]]/12, 0)</f>
        <v>0</v>
      </c>
      <c r="K386" s="82"/>
      <c r="L386" s="82"/>
      <c r="M386" s="82"/>
      <c r="N386" s="82"/>
      <c r="O386" s="77"/>
      <c r="P386" s="110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225"/>
      <c r="AC386" s="225"/>
      <c r="AD386" s="225"/>
      <c r="AE386" s="29" t="e">
        <f>_xlfn.NUMBERVALUE(LEFT(MCC_Table[[#This Row],[BUCKET]],LEN(MCC_Table[[#This Row],[BUCKET]])-1))</f>
        <v>#VALUE!</v>
      </c>
      <c r="AF386" s="29" t="str">
        <f>RIGHT(MCC_Table[[#This Row],[BUCKET]],1)</f>
        <v/>
      </c>
      <c r="AG386" s="29" t="e">
        <f>VLOOKUP(MCC_Table[[#This Row],[START UNIT]],UnitMap[],2,FALSE)</f>
        <v>#N/A</v>
      </c>
      <c r="AH386" s="29" t="e">
        <f t="array" ref="AH3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6" s="29">
        <f>IF(ISNUMBER(MCC_Table[[#This Row],[SIZE]]), MCC_Table[[#This Row],[SIZE]]/6, 0)</f>
        <v>0</v>
      </c>
      <c r="AJ386" s="29" t="e">
        <f>MCC_Table[[#This Row],[START INDEX]]+MCC_Table[[#This Row],[UNITS USED]]-1</f>
        <v>#N/A</v>
      </c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</row>
    <row r="387" spans="1:57" ht="15.75" hidden="1" customHeight="1" thickTop="1" x14ac:dyDescent="0.25">
      <c r="A387" s="113"/>
      <c r="B387" s="29"/>
      <c r="C387" s="111"/>
      <c r="D387" s="28"/>
      <c r="E387" s="112"/>
      <c r="F387" s="8"/>
      <c r="G387" s="8"/>
      <c r="H387" s="82"/>
      <c r="I387" s="8"/>
      <c r="J387" s="80">
        <f>IF(ISNUMBER(MCC_Table[[#This Row],[SIZE]]), MCC_Table[[#This Row],[SIZE]]/12, 0)</f>
        <v>0</v>
      </c>
      <c r="K387" s="82"/>
      <c r="L387" s="82"/>
      <c r="M387" s="82"/>
      <c r="N387" s="82"/>
      <c r="O387" s="77"/>
      <c r="P387" s="110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225"/>
      <c r="AC387" s="225"/>
      <c r="AD387" s="225"/>
      <c r="AE387" s="29" t="e">
        <f>_xlfn.NUMBERVALUE(LEFT(MCC_Table[[#This Row],[BUCKET]],LEN(MCC_Table[[#This Row],[BUCKET]])-1))</f>
        <v>#VALUE!</v>
      </c>
      <c r="AF387" s="29" t="str">
        <f>RIGHT(MCC_Table[[#This Row],[BUCKET]],1)</f>
        <v/>
      </c>
      <c r="AG387" s="29" t="e">
        <f>VLOOKUP(MCC_Table[[#This Row],[START UNIT]],UnitMap[],2,FALSE)</f>
        <v>#N/A</v>
      </c>
      <c r="AH387" s="29" t="e">
        <f t="array" ref="AH3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7" s="29">
        <f>IF(ISNUMBER(MCC_Table[[#This Row],[SIZE]]), MCC_Table[[#This Row],[SIZE]]/6, 0)</f>
        <v>0</v>
      </c>
      <c r="AJ387" s="29" t="e">
        <f>MCC_Table[[#This Row],[START INDEX]]+MCC_Table[[#This Row],[UNITS USED]]-1</f>
        <v>#N/A</v>
      </c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</row>
    <row r="388" spans="1:57" ht="15.75" hidden="1" customHeight="1" thickTop="1" x14ac:dyDescent="0.25">
      <c r="A388" s="113"/>
      <c r="B388" s="29"/>
      <c r="C388" s="111"/>
      <c r="D388" s="28"/>
      <c r="E388" s="112"/>
      <c r="F388" s="8"/>
      <c r="G388" s="8"/>
      <c r="H388" s="82"/>
      <c r="I388" s="8"/>
      <c r="J388" s="80">
        <f>IF(ISNUMBER(MCC_Table[[#This Row],[SIZE]]), MCC_Table[[#This Row],[SIZE]]/12, 0)</f>
        <v>0</v>
      </c>
      <c r="K388" s="82"/>
      <c r="L388" s="82"/>
      <c r="M388" s="82"/>
      <c r="N388" s="82"/>
      <c r="O388" s="77"/>
      <c r="P388" s="110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225"/>
      <c r="AC388" s="225"/>
      <c r="AD388" s="225"/>
      <c r="AE388" s="29" t="e">
        <f>_xlfn.NUMBERVALUE(LEFT(MCC_Table[[#This Row],[BUCKET]],LEN(MCC_Table[[#This Row],[BUCKET]])-1))</f>
        <v>#VALUE!</v>
      </c>
      <c r="AF388" s="29" t="str">
        <f>RIGHT(MCC_Table[[#This Row],[BUCKET]],1)</f>
        <v/>
      </c>
      <c r="AG388" s="29" t="e">
        <f>VLOOKUP(MCC_Table[[#This Row],[START UNIT]],UnitMap[],2,FALSE)</f>
        <v>#N/A</v>
      </c>
      <c r="AH388" s="29" t="e">
        <f t="array" ref="AH3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8" s="29">
        <f>IF(ISNUMBER(MCC_Table[[#This Row],[SIZE]]), MCC_Table[[#This Row],[SIZE]]/6, 0)</f>
        <v>0</v>
      </c>
      <c r="AJ388" s="29" t="e">
        <f>MCC_Table[[#This Row],[START INDEX]]+MCC_Table[[#This Row],[UNITS USED]]-1</f>
        <v>#N/A</v>
      </c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</row>
    <row r="389" spans="1:57" ht="15.75" hidden="1" customHeight="1" thickTop="1" x14ac:dyDescent="0.25">
      <c r="A389" s="113"/>
      <c r="B389" s="29"/>
      <c r="C389" s="111"/>
      <c r="D389" s="28"/>
      <c r="E389" s="112"/>
      <c r="F389" s="8"/>
      <c r="G389" s="8"/>
      <c r="H389" s="82"/>
      <c r="I389" s="8"/>
      <c r="J389" s="80">
        <f>IF(ISNUMBER(MCC_Table[[#This Row],[SIZE]]), MCC_Table[[#This Row],[SIZE]]/12, 0)</f>
        <v>0</v>
      </c>
      <c r="K389" s="82"/>
      <c r="L389" s="82"/>
      <c r="M389" s="82"/>
      <c r="N389" s="82"/>
      <c r="O389" s="77"/>
      <c r="P389" s="110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225"/>
      <c r="AC389" s="225"/>
      <c r="AD389" s="225"/>
      <c r="AE389" s="29" t="e">
        <f>_xlfn.NUMBERVALUE(LEFT(MCC_Table[[#This Row],[BUCKET]],LEN(MCC_Table[[#This Row],[BUCKET]])-1))</f>
        <v>#VALUE!</v>
      </c>
      <c r="AF389" s="29" t="str">
        <f>RIGHT(MCC_Table[[#This Row],[BUCKET]],1)</f>
        <v/>
      </c>
      <c r="AG389" s="29" t="e">
        <f>VLOOKUP(MCC_Table[[#This Row],[START UNIT]],UnitMap[],2,FALSE)</f>
        <v>#N/A</v>
      </c>
      <c r="AH389" s="29" t="e">
        <f t="array" ref="AH3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89" s="29">
        <f>IF(ISNUMBER(MCC_Table[[#This Row],[SIZE]]), MCC_Table[[#This Row],[SIZE]]/6, 0)</f>
        <v>0</v>
      </c>
      <c r="AJ389" s="29" t="e">
        <f>MCC_Table[[#This Row],[START INDEX]]+MCC_Table[[#This Row],[UNITS USED]]-1</f>
        <v>#N/A</v>
      </c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</row>
    <row r="390" spans="1:57" ht="15.75" hidden="1" customHeight="1" thickTop="1" x14ac:dyDescent="0.25">
      <c r="A390" s="113"/>
      <c r="B390" s="29"/>
      <c r="C390" s="111"/>
      <c r="D390" s="28"/>
      <c r="E390" s="112"/>
      <c r="F390" s="8"/>
      <c r="G390" s="8"/>
      <c r="H390" s="82"/>
      <c r="I390" s="8"/>
      <c r="J390" s="80">
        <f>IF(ISNUMBER(MCC_Table[[#This Row],[SIZE]]), MCC_Table[[#This Row],[SIZE]]/12, 0)</f>
        <v>0</v>
      </c>
      <c r="K390" s="82"/>
      <c r="L390" s="82"/>
      <c r="M390" s="82"/>
      <c r="N390" s="82"/>
      <c r="O390" s="77"/>
      <c r="P390" s="110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225"/>
      <c r="AC390" s="225"/>
      <c r="AD390" s="225"/>
      <c r="AE390" s="29" t="e">
        <f>_xlfn.NUMBERVALUE(LEFT(MCC_Table[[#This Row],[BUCKET]],LEN(MCC_Table[[#This Row],[BUCKET]])-1))</f>
        <v>#VALUE!</v>
      </c>
      <c r="AF390" s="29" t="str">
        <f>RIGHT(MCC_Table[[#This Row],[BUCKET]],1)</f>
        <v/>
      </c>
      <c r="AG390" s="29" t="e">
        <f>VLOOKUP(MCC_Table[[#This Row],[START UNIT]],UnitMap[],2,FALSE)</f>
        <v>#N/A</v>
      </c>
      <c r="AH390" s="29" t="e">
        <f t="array" ref="AH3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0" s="29">
        <f>IF(ISNUMBER(MCC_Table[[#This Row],[SIZE]]), MCC_Table[[#This Row],[SIZE]]/6, 0)</f>
        <v>0</v>
      </c>
      <c r="AJ390" s="29" t="e">
        <f>MCC_Table[[#This Row],[START INDEX]]+MCC_Table[[#This Row],[UNITS USED]]-1</f>
        <v>#N/A</v>
      </c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</row>
    <row r="391" spans="1:57" ht="15.75" hidden="1" customHeight="1" thickTop="1" x14ac:dyDescent="0.25">
      <c r="A391" s="113"/>
      <c r="B391" s="29"/>
      <c r="C391" s="111"/>
      <c r="D391" s="28"/>
      <c r="E391" s="112"/>
      <c r="F391" s="8"/>
      <c r="G391" s="8"/>
      <c r="H391" s="82"/>
      <c r="I391" s="8"/>
      <c r="J391" s="80">
        <f>IF(ISNUMBER(MCC_Table[[#This Row],[SIZE]]), MCC_Table[[#This Row],[SIZE]]/12, 0)</f>
        <v>0</v>
      </c>
      <c r="K391" s="82"/>
      <c r="L391" s="82"/>
      <c r="M391" s="82"/>
      <c r="N391" s="82"/>
      <c r="O391" s="77"/>
      <c r="P391" s="110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225"/>
      <c r="AC391" s="225"/>
      <c r="AD391" s="225"/>
      <c r="AE391" s="29" t="e">
        <f>_xlfn.NUMBERVALUE(LEFT(MCC_Table[[#This Row],[BUCKET]],LEN(MCC_Table[[#This Row],[BUCKET]])-1))</f>
        <v>#VALUE!</v>
      </c>
      <c r="AF391" s="29" t="str">
        <f>RIGHT(MCC_Table[[#This Row],[BUCKET]],1)</f>
        <v/>
      </c>
      <c r="AG391" s="29" t="e">
        <f>VLOOKUP(MCC_Table[[#This Row],[START UNIT]],UnitMap[],2,FALSE)</f>
        <v>#N/A</v>
      </c>
      <c r="AH391" s="29" t="e">
        <f t="array" ref="AH3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1" s="29">
        <f>IF(ISNUMBER(MCC_Table[[#This Row],[SIZE]]), MCC_Table[[#This Row],[SIZE]]/6, 0)</f>
        <v>0</v>
      </c>
      <c r="AJ391" s="29" t="e">
        <f>MCC_Table[[#This Row],[START INDEX]]+MCC_Table[[#This Row],[UNITS USED]]-1</f>
        <v>#N/A</v>
      </c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</row>
    <row r="392" spans="1:57" ht="15.75" hidden="1" customHeight="1" thickTop="1" x14ac:dyDescent="0.25">
      <c r="A392" s="113"/>
      <c r="B392" s="29"/>
      <c r="C392" s="111"/>
      <c r="D392" s="28"/>
      <c r="E392" s="112"/>
      <c r="F392" s="8"/>
      <c r="G392" s="8"/>
      <c r="H392" s="82"/>
      <c r="I392" s="8"/>
      <c r="J392" s="80">
        <f>IF(ISNUMBER(MCC_Table[[#This Row],[SIZE]]), MCC_Table[[#This Row],[SIZE]]/12, 0)</f>
        <v>0</v>
      </c>
      <c r="K392" s="82"/>
      <c r="L392" s="82"/>
      <c r="M392" s="82"/>
      <c r="N392" s="82"/>
      <c r="O392" s="77"/>
      <c r="P392" s="110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225"/>
      <c r="AC392" s="225"/>
      <c r="AD392" s="225"/>
      <c r="AE392" s="29" t="e">
        <f>_xlfn.NUMBERVALUE(LEFT(MCC_Table[[#This Row],[BUCKET]],LEN(MCC_Table[[#This Row],[BUCKET]])-1))</f>
        <v>#VALUE!</v>
      </c>
      <c r="AF392" s="29" t="str">
        <f>RIGHT(MCC_Table[[#This Row],[BUCKET]],1)</f>
        <v/>
      </c>
      <c r="AG392" s="29" t="e">
        <f>VLOOKUP(MCC_Table[[#This Row],[START UNIT]],UnitMap[],2,FALSE)</f>
        <v>#N/A</v>
      </c>
      <c r="AH392" s="29" t="e">
        <f t="array" ref="AH3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2" s="29">
        <f>IF(ISNUMBER(MCC_Table[[#This Row],[SIZE]]), MCC_Table[[#This Row],[SIZE]]/6, 0)</f>
        <v>0</v>
      </c>
      <c r="AJ392" s="29" t="e">
        <f>MCC_Table[[#This Row],[START INDEX]]+MCC_Table[[#This Row],[UNITS USED]]-1</f>
        <v>#N/A</v>
      </c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</row>
    <row r="393" spans="1:57" ht="15.75" hidden="1" customHeight="1" thickTop="1" x14ac:dyDescent="0.25">
      <c r="A393" s="113"/>
      <c r="B393" s="29"/>
      <c r="C393" s="111"/>
      <c r="D393" s="28"/>
      <c r="E393" s="112"/>
      <c r="F393" s="8"/>
      <c r="G393" s="8"/>
      <c r="H393" s="82"/>
      <c r="I393" s="8"/>
      <c r="J393" s="80">
        <f>IF(ISNUMBER(MCC_Table[[#This Row],[SIZE]]), MCC_Table[[#This Row],[SIZE]]/12, 0)</f>
        <v>0</v>
      </c>
      <c r="K393" s="82"/>
      <c r="L393" s="82"/>
      <c r="M393" s="82"/>
      <c r="N393" s="82"/>
      <c r="O393" s="77"/>
      <c r="P393" s="110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225"/>
      <c r="AC393" s="225"/>
      <c r="AD393" s="225"/>
      <c r="AE393" s="29" t="e">
        <f>_xlfn.NUMBERVALUE(LEFT(MCC_Table[[#This Row],[BUCKET]],LEN(MCC_Table[[#This Row],[BUCKET]])-1))</f>
        <v>#VALUE!</v>
      </c>
      <c r="AF393" s="29" t="str">
        <f>RIGHT(MCC_Table[[#This Row],[BUCKET]],1)</f>
        <v/>
      </c>
      <c r="AG393" s="29" t="e">
        <f>VLOOKUP(MCC_Table[[#This Row],[START UNIT]],UnitMap[],2,FALSE)</f>
        <v>#N/A</v>
      </c>
      <c r="AH393" s="29" t="e">
        <f t="array" ref="AH3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3" s="29">
        <f>IF(ISNUMBER(MCC_Table[[#This Row],[SIZE]]), MCC_Table[[#This Row],[SIZE]]/6, 0)</f>
        <v>0</v>
      </c>
      <c r="AJ393" s="29" t="e">
        <f>MCC_Table[[#This Row],[START INDEX]]+MCC_Table[[#This Row],[UNITS USED]]-1</f>
        <v>#N/A</v>
      </c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</row>
    <row r="394" spans="1:57" ht="15.75" hidden="1" customHeight="1" thickTop="1" x14ac:dyDescent="0.25">
      <c r="A394" s="113"/>
      <c r="B394" s="29"/>
      <c r="C394" s="111"/>
      <c r="D394" s="28"/>
      <c r="E394" s="112"/>
      <c r="F394" s="8"/>
      <c r="G394" s="8"/>
      <c r="H394" s="82"/>
      <c r="I394" s="8"/>
      <c r="J394" s="80">
        <f>IF(ISNUMBER(MCC_Table[[#This Row],[SIZE]]), MCC_Table[[#This Row],[SIZE]]/12, 0)</f>
        <v>0</v>
      </c>
      <c r="K394" s="82"/>
      <c r="L394" s="82"/>
      <c r="M394" s="82"/>
      <c r="N394" s="82"/>
      <c r="O394" s="77"/>
      <c r="P394" s="110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225"/>
      <c r="AC394" s="225"/>
      <c r="AD394" s="225"/>
      <c r="AE394" s="29" t="e">
        <f>_xlfn.NUMBERVALUE(LEFT(MCC_Table[[#This Row],[BUCKET]],LEN(MCC_Table[[#This Row],[BUCKET]])-1))</f>
        <v>#VALUE!</v>
      </c>
      <c r="AF394" s="29" t="str">
        <f>RIGHT(MCC_Table[[#This Row],[BUCKET]],1)</f>
        <v/>
      </c>
      <c r="AG394" s="29" t="e">
        <f>VLOOKUP(MCC_Table[[#This Row],[START UNIT]],UnitMap[],2,FALSE)</f>
        <v>#N/A</v>
      </c>
      <c r="AH394" s="29" t="e">
        <f t="array" ref="AH3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4" s="29">
        <f>IF(ISNUMBER(MCC_Table[[#This Row],[SIZE]]), MCC_Table[[#This Row],[SIZE]]/6, 0)</f>
        <v>0</v>
      </c>
      <c r="AJ394" s="29" t="e">
        <f>MCC_Table[[#This Row],[START INDEX]]+MCC_Table[[#This Row],[UNITS USED]]-1</f>
        <v>#N/A</v>
      </c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</row>
    <row r="395" spans="1:57" ht="15.75" hidden="1" customHeight="1" thickTop="1" x14ac:dyDescent="0.25">
      <c r="A395" s="113"/>
      <c r="B395" s="29"/>
      <c r="C395" s="111"/>
      <c r="D395" s="28"/>
      <c r="E395" s="112"/>
      <c r="F395" s="8"/>
      <c r="G395" s="8"/>
      <c r="H395" s="82"/>
      <c r="I395" s="8"/>
      <c r="J395" s="80">
        <f>IF(ISNUMBER(MCC_Table[[#This Row],[SIZE]]), MCC_Table[[#This Row],[SIZE]]/12, 0)</f>
        <v>0</v>
      </c>
      <c r="K395" s="82"/>
      <c r="L395" s="82"/>
      <c r="M395" s="82"/>
      <c r="N395" s="82"/>
      <c r="O395" s="77"/>
      <c r="P395" s="110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225"/>
      <c r="AC395" s="225"/>
      <c r="AD395" s="225"/>
      <c r="AE395" s="29" t="e">
        <f>_xlfn.NUMBERVALUE(LEFT(MCC_Table[[#This Row],[BUCKET]],LEN(MCC_Table[[#This Row],[BUCKET]])-1))</f>
        <v>#VALUE!</v>
      </c>
      <c r="AF395" s="29" t="str">
        <f>RIGHT(MCC_Table[[#This Row],[BUCKET]],1)</f>
        <v/>
      </c>
      <c r="AG395" s="29" t="e">
        <f>VLOOKUP(MCC_Table[[#This Row],[START UNIT]],UnitMap[],2,FALSE)</f>
        <v>#N/A</v>
      </c>
      <c r="AH395" s="29" t="e">
        <f t="array" ref="AH3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5" s="29">
        <f>IF(ISNUMBER(MCC_Table[[#This Row],[SIZE]]), MCC_Table[[#This Row],[SIZE]]/6, 0)</f>
        <v>0</v>
      </c>
      <c r="AJ395" s="29" t="e">
        <f>MCC_Table[[#This Row],[START INDEX]]+MCC_Table[[#This Row],[UNITS USED]]-1</f>
        <v>#N/A</v>
      </c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</row>
    <row r="396" spans="1:57" ht="15.75" hidden="1" customHeight="1" thickTop="1" x14ac:dyDescent="0.25">
      <c r="A396" s="113"/>
      <c r="B396" s="29"/>
      <c r="C396" s="111"/>
      <c r="D396" s="28"/>
      <c r="E396" s="112"/>
      <c r="F396" s="8"/>
      <c r="G396" s="8"/>
      <c r="H396" s="82"/>
      <c r="I396" s="8"/>
      <c r="J396" s="80">
        <f>IF(ISNUMBER(MCC_Table[[#This Row],[SIZE]]), MCC_Table[[#This Row],[SIZE]]/12, 0)</f>
        <v>0</v>
      </c>
      <c r="K396" s="82"/>
      <c r="L396" s="82"/>
      <c r="M396" s="82"/>
      <c r="N396" s="82"/>
      <c r="O396" s="77"/>
      <c r="P396" s="110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225"/>
      <c r="AC396" s="225"/>
      <c r="AD396" s="225"/>
      <c r="AE396" s="29" t="e">
        <f>_xlfn.NUMBERVALUE(LEFT(MCC_Table[[#This Row],[BUCKET]],LEN(MCC_Table[[#This Row],[BUCKET]])-1))</f>
        <v>#VALUE!</v>
      </c>
      <c r="AF396" s="29" t="str">
        <f>RIGHT(MCC_Table[[#This Row],[BUCKET]],1)</f>
        <v/>
      </c>
      <c r="AG396" s="29" t="e">
        <f>VLOOKUP(MCC_Table[[#This Row],[START UNIT]],UnitMap[],2,FALSE)</f>
        <v>#N/A</v>
      </c>
      <c r="AH396" s="29" t="e">
        <f t="array" ref="AH3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6" s="29">
        <f>IF(ISNUMBER(MCC_Table[[#This Row],[SIZE]]), MCC_Table[[#This Row],[SIZE]]/6, 0)</f>
        <v>0</v>
      </c>
      <c r="AJ396" s="29" t="e">
        <f>MCC_Table[[#This Row],[START INDEX]]+MCC_Table[[#This Row],[UNITS USED]]-1</f>
        <v>#N/A</v>
      </c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</row>
    <row r="397" spans="1:57" ht="15.75" hidden="1" customHeight="1" thickTop="1" x14ac:dyDescent="0.25">
      <c r="A397" s="113"/>
      <c r="B397" s="29"/>
      <c r="C397" s="111"/>
      <c r="D397" s="28"/>
      <c r="E397" s="112"/>
      <c r="F397" s="8"/>
      <c r="G397" s="8"/>
      <c r="H397" s="82"/>
      <c r="I397" s="8"/>
      <c r="J397" s="80">
        <f>IF(ISNUMBER(MCC_Table[[#This Row],[SIZE]]), MCC_Table[[#This Row],[SIZE]]/12, 0)</f>
        <v>0</v>
      </c>
      <c r="K397" s="82"/>
      <c r="L397" s="82"/>
      <c r="M397" s="82"/>
      <c r="N397" s="82"/>
      <c r="O397" s="77"/>
      <c r="P397" s="110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225"/>
      <c r="AC397" s="225"/>
      <c r="AD397" s="225"/>
      <c r="AE397" s="29" t="e">
        <f>_xlfn.NUMBERVALUE(LEFT(MCC_Table[[#This Row],[BUCKET]],LEN(MCC_Table[[#This Row],[BUCKET]])-1))</f>
        <v>#VALUE!</v>
      </c>
      <c r="AF397" s="29" t="str">
        <f>RIGHT(MCC_Table[[#This Row],[BUCKET]],1)</f>
        <v/>
      </c>
      <c r="AG397" s="29" t="e">
        <f>VLOOKUP(MCC_Table[[#This Row],[START UNIT]],UnitMap[],2,FALSE)</f>
        <v>#N/A</v>
      </c>
      <c r="AH397" s="29" t="e">
        <f t="array" ref="AH3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7" s="29">
        <f>IF(ISNUMBER(MCC_Table[[#This Row],[SIZE]]), MCC_Table[[#This Row],[SIZE]]/6, 0)</f>
        <v>0</v>
      </c>
      <c r="AJ397" s="29" t="e">
        <f>MCC_Table[[#This Row],[START INDEX]]+MCC_Table[[#This Row],[UNITS USED]]-1</f>
        <v>#N/A</v>
      </c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</row>
    <row r="398" spans="1:57" ht="15.75" hidden="1" customHeight="1" thickTop="1" x14ac:dyDescent="0.25">
      <c r="A398" s="113"/>
      <c r="B398" s="29"/>
      <c r="C398" s="111"/>
      <c r="D398" s="28"/>
      <c r="E398" s="112"/>
      <c r="F398" s="8"/>
      <c r="G398" s="8"/>
      <c r="H398" s="82"/>
      <c r="I398" s="8"/>
      <c r="J398" s="80">
        <f>IF(ISNUMBER(MCC_Table[[#This Row],[SIZE]]), MCC_Table[[#This Row],[SIZE]]/12, 0)</f>
        <v>0</v>
      </c>
      <c r="K398" s="82"/>
      <c r="L398" s="82"/>
      <c r="M398" s="82"/>
      <c r="N398" s="82"/>
      <c r="O398" s="77"/>
      <c r="P398" s="110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225"/>
      <c r="AC398" s="225"/>
      <c r="AD398" s="225"/>
      <c r="AE398" s="29" t="e">
        <f>_xlfn.NUMBERVALUE(LEFT(MCC_Table[[#This Row],[BUCKET]],LEN(MCC_Table[[#This Row],[BUCKET]])-1))</f>
        <v>#VALUE!</v>
      </c>
      <c r="AF398" s="29" t="str">
        <f>RIGHT(MCC_Table[[#This Row],[BUCKET]],1)</f>
        <v/>
      </c>
      <c r="AG398" s="29" t="e">
        <f>VLOOKUP(MCC_Table[[#This Row],[START UNIT]],UnitMap[],2,FALSE)</f>
        <v>#N/A</v>
      </c>
      <c r="AH398" s="29" t="e">
        <f t="array" ref="AH3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8" s="29">
        <f>IF(ISNUMBER(MCC_Table[[#This Row],[SIZE]]), MCC_Table[[#This Row],[SIZE]]/6, 0)</f>
        <v>0</v>
      </c>
      <c r="AJ398" s="29" t="e">
        <f>MCC_Table[[#This Row],[START INDEX]]+MCC_Table[[#This Row],[UNITS USED]]-1</f>
        <v>#N/A</v>
      </c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</row>
    <row r="399" spans="1:57" ht="15.75" hidden="1" customHeight="1" thickTop="1" x14ac:dyDescent="0.25">
      <c r="A399" s="113"/>
      <c r="B399" s="29"/>
      <c r="C399" s="111"/>
      <c r="D399" s="28"/>
      <c r="E399" s="112"/>
      <c r="F399" s="8"/>
      <c r="G399" s="8"/>
      <c r="H399" s="82"/>
      <c r="I399" s="8"/>
      <c r="J399" s="80">
        <f>IF(ISNUMBER(MCC_Table[[#This Row],[SIZE]]), MCC_Table[[#This Row],[SIZE]]/12, 0)</f>
        <v>0</v>
      </c>
      <c r="K399" s="82"/>
      <c r="L399" s="82"/>
      <c r="M399" s="82"/>
      <c r="N399" s="82"/>
      <c r="O399" s="77"/>
      <c r="P399" s="110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225"/>
      <c r="AC399" s="225"/>
      <c r="AD399" s="225"/>
      <c r="AE399" s="29" t="e">
        <f>_xlfn.NUMBERVALUE(LEFT(MCC_Table[[#This Row],[BUCKET]],LEN(MCC_Table[[#This Row],[BUCKET]])-1))</f>
        <v>#VALUE!</v>
      </c>
      <c r="AF399" s="29" t="str">
        <f>RIGHT(MCC_Table[[#This Row],[BUCKET]],1)</f>
        <v/>
      </c>
      <c r="AG399" s="29" t="e">
        <f>VLOOKUP(MCC_Table[[#This Row],[START UNIT]],UnitMap[],2,FALSE)</f>
        <v>#N/A</v>
      </c>
      <c r="AH399" s="29" t="e">
        <f t="array" ref="AH3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399" s="29">
        <f>IF(ISNUMBER(MCC_Table[[#This Row],[SIZE]]), MCC_Table[[#This Row],[SIZE]]/6, 0)</f>
        <v>0</v>
      </c>
      <c r="AJ399" s="29" t="e">
        <f>MCC_Table[[#This Row],[START INDEX]]+MCC_Table[[#This Row],[UNITS USED]]-1</f>
        <v>#N/A</v>
      </c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</row>
    <row r="400" spans="1:57" ht="15.75" hidden="1" customHeight="1" thickTop="1" x14ac:dyDescent="0.25">
      <c r="A400" s="113"/>
      <c r="B400" s="29"/>
      <c r="C400" s="111"/>
      <c r="D400" s="28"/>
      <c r="E400" s="112"/>
      <c r="F400" s="8"/>
      <c r="G400" s="8"/>
      <c r="H400" s="82"/>
      <c r="I400" s="8"/>
      <c r="J400" s="80">
        <f>IF(ISNUMBER(MCC_Table[[#This Row],[SIZE]]), MCC_Table[[#This Row],[SIZE]]/12, 0)</f>
        <v>0</v>
      </c>
      <c r="K400" s="82"/>
      <c r="L400" s="82"/>
      <c r="M400" s="82"/>
      <c r="N400" s="82"/>
      <c r="O400" s="77"/>
      <c r="P400" s="110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225"/>
      <c r="AC400" s="225"/>
      <c r="AD400" s="225"/>
      <c r="AE400" s="29" t="e">
        <f>_xlfn.NUMBERVALUE(LEFT(MCC_Table[[#This Row],[BUCKET]],LEN(MCC_Table[[#This Row],[BUCKET]])-1))</f>
        <v>#VALUE!</v>
      </c>
      <c r="AF400" s="29" t="str">
        <f>RIGHT(MCC_Table[[#This Row],[BUCKET]],1)</f>
        <v/>
      </c>
      <c r="AG400" s="29" t="e">
        <f>VLOOKUP(MCC_Table[[#This Row],[START UNIT]],UnitMap[],2,FALSE)</f>
        <v>#N/A</v>
      </c>
      <c r="AH400" s="29" t="e">
        <f t="array" ref="AH4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0" s="29">
        <f>IF(ISNUMBER(MCC_Table[[#This Row],[SIZE]]), MCC_Table[[#This Row],[SIZE]]/6, 0)</f>
        <v>0</v>
      </c>
      <c r="AJ400" s="29" t="e">
        <f>MCC_Table[[#This Row],[START INDEX]]+MCC_Table[[#This Row],[UNITS USED]]-1</f>
        <v>#N/A</v>
      </c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</row>
    <row r="401" spans="1:57" ht="15.75" hidden="1" customHeight="1" thickTop="1" x14ac:dyDescent="0.25">
      <c r="A401" s="113"/>
      <c r="B401" s="29"/>
      <c r="C401" s="111"/>
      <c r="D401" s="28"/>
      <c r="E401" s="112"/>
      <c r="F401" s="8"/>
      <c r="G401" s="8"/>
      <c r="H401" s="82"/>
      <c r="I401" s="8"/>
      <c r="J401" s="80">
        <f>IF(ISNUMBER(MCC_Table[[#This Row],[SIZE]]), MCC_Table[[#This Row],[SIZE]]/12, 0)</f>
        <v>0</v>
      </c>
      <c r="K401" s="82"/>
      <c r="L401" s="82"/>
      <c r="M401" s="82"/>
      <c r="N401" s="82"/>
      <c r="O401" s="77"/>
      <c r="P401" s="110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225"/>
      <c r="AC401" s="225"/>
      <c r="AD401" s="225"/>
      <c r="AE401" s="29" t="e">
        <f>_xlfn.NUMBERVALUE(LEFT(MCC_Table[[#This Row],[BUCKET]],LEN(MCC_Table[[#This Row],[BUCKET]])-1))</f>
        <v>#VALUE!</v>
      </c>
      <c r="AF401" s="29" t="str">
        <f>RIGHT(MCC_Table[[#This Row],[BUCKET]],1)</f>
        <v/>
      </c>
      <c r="AG401" s="29" t="e">
        <f>VLOOKUP(MCC_Table[[#This Row],[START UNIT]],UnitMap[],2,FALSE)</f>
        <v>#N/A</v>
      </c>
      <c r="AH401" s="29" t="e">
        <f t="array" ref="AH4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1" s="29">
        <f>IF(ISNUMBER(MCC_Table[[#This Row],[SIZE]]), MCC_Table[[#This Row],[SIZE]]/6, 0)</f>
        <v>0</v>
      </c>
      <c r="AJ401" s="29" t="e">
        <f>MCC_Table[[#This Row],[START INDEX]]+MCC_Table[[#This Row],[UNITS USED]]-1</f>
        <v>#N/A</v>
      </c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</row>
    <row r="402" spans="1:57" ht="15.75" hidden="1" customHeight="1" thickTop="1" x14ac:dyDescent="0.25">
      <c r="A402" s="113"/>
      <c r="B402" s="29"/>
      <c r="C402" s="111"/>
      <c r="D402" s="28"/>
      <c r="E402" s="112"/>
      <c r="F402" s="8"/>
      <c r="G402" s="8"/>
      <c r="H402" s="82"/>
      <c r="I402" s="8"/>
      <c r="J402" s="80">
        <f>IF(ISNUMBER(MCC_Table[[#This Row],[SIZE]]), MCC_Table[[#This Row],[SIZE]]/12, 0)</f>
        <v>0</v>
      </c>
      <c r="K402" s="82"/>
      <c r="L402" s="82"/>
      <c r="M402" s="82"/>
      <c r="N402" s="82"/>
      <c r="O402" s="77"/>
      <c r="P402" s="110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225"/>
      <c r="AC402" s="225"/>
      <c r="AD402" s="225"/>
      <c r="AE402" s="29" t="e">
        <f>_xlfn.NUMBERVALUE(LEFT(MCC_Table[[#This Row],[BUCKET]],LEN(MCC_Table[[#This Row],[BUCKET]])-1))</f>
        <v>#VALUE!</v>
      </c>
      <c r="AF402" s="29" t="str">
        <f>RIGHT(MCC_Table[[#This Row],[BUCKET]],1)</f>
        <v/>
      </c>
      <c r="AG402" s="29" t="e">
        <f>VLOOKUP(MCC_Table[[#This Row],[START UNIT]],UnitMap[],2,FALSE)</f>
        <v>#N/A</v>
      </c>
      <c r="AH402" s="29" t="e">
        <f t="array" ref="AH4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2" s="29">
        <f>IF(ISNUMBER(MCC_Table[[#This Row],[SIZE]]), MCC_Table[[#This Row],[SIZE]]/6, 0)</f>
        <v>0</v>
      </c>
      <c r="AJ402" s="29" t="e">
        <f>MCC_Table[[#This Row],[START INDEX]]+MCC_Table[[#This Row],[UNITS USED]]-1</f>
        <v>#N/A</v>
      </c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</row>
    <row r="403" spans="1:57" ht="15.75" hidden="1" customHeight="1" thickTop="1" x14ac:dyDescent="0.25">
      <c r="A403" s="113"/>
      <c r="B403" s="29"/>
      <c r="C403" s="111"/>
      <c r="D403" s="28"/>
      <c r="E403" s="112"/>
      <c r="F403" s="8"/>
      <c r="G403" s="8"/>
      <c r="H403" s="82"/>
      <c r="I403" s="8"/>
      <c r="J403" s="80">
        <f>IF(ISNUMBER(MCC_Table[[#This Row],[SIZE]]), MCC_Table[[#This Row],[SIZE]]/12, 0)</f>
        <v>0</v>
      </c>
      <c r="K403" s="82"/>
      <c r="L403" s="82"/>
      <c r="M403" s="82"/>
      <c r="N403" s="82"/>
      <c r="O403" s="77"/>
      <c r="P403" s="110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225"/>
      <c r="AC403" s="225"/>
      <c r="AD403" s="225"/>
      <c r="AE403" s="29" t="e">
        <f>_xlfn.NUMBERVALUE(LEFT(MCC_Table[[#This Row],[BUCKET]],LEN(MCC_Table[[#This Row],[BUCKET]])-1))</f>
        <v>#VALUE!</v>
      </c>
      <c r="AF403" s="29" t="str">
        <f>RIGHT(MCC_Table[[#This Row],[BUCKET]],1)</f>
        <v/>
      </c>
      <c r="AG403" s="29" t="e">
        <f>VLOOKUP(MCC_Table[[#This Row],[START UNIT]],UnitMap[],2,FALSE)</f>
        <v>#N/A</v>
      </c>
      <c r="AH403" s="29" t="e">
        <f t="array" ref="AH4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3" s="29">
        <f>IF(ISNUMBER(MCC_Table[[#This Row],[SIZE]]), MCC_Table[[#This Row],[SIZE]]/6, 0)</f>
        <v>0</v>
      </c>
      <c r="AJ403" s="29" t="e">
        <f>MCC_Table[[#This Row],[START INDEX]]+MCC_Table[[#This Row],[UNITS USED]]-1</f>
        <v>#N/A</v>
      </c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</row>
    <row r="404" spans="1:57" ht="15.75" hidden="1" customHeight="1" thickTop="1" x14ac:dyDescent="0.25">
      <c r="A404" s="113"/>
      <c r="B404" s="29"/>
      <c r="C404" s="111"/>
      <c r="D404" s="28"/>
      <c r="E404" s="112"/>
      <c r="F404" s="8"/>
      <c r="G404" s="8"/>
      <c r="H404" s="82"/>
      <c r="I404" s="8"/>
      <c r="J404" s="80">
        <f>IF(ISNUMBER(MCC_Table[[#This Row],[SIZE]]), MCC_Table[[#This Row],[SIZE]]/12, 0)</f>
        <v>0</v>
      </c>
      <c r="K404" s="82"/>
      <c r="L404" s="82"/>
      <c r="M404" s="82"/>
      <c r="N404" s="82"/>
      <c r="O404" s="77"/>
      <c r="P404" s="110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225"/>
      <c r="AC404" s="225"/>
      <c r="AD404" s="225"/>
      <c r="AE404" s="29" t="e">
        <f>_xlfn.NUMBERVALUE(LEFT(MCC_Table[[#This Row],[BUCKET]],LEN(MCC_Table[[#This Row],[BUCKET]])-1))</f>
        <v>#VALUE!</v>
      </c>
      <c r="AF404" s="29" t="str">
        <f>RIGHT(MCC_Table[[#This Row],[BUCKET]],1)</f>
        <v/>
      </c>
      <c r="AG404" s="29" t="e">
        <f>VLOOKUP(MCC_Table[[#This Row],[START UNIT]],UnitMap[],2,FALSE)</f>
        <v>#N/A</v>
      </c>
      <c r="AH404" s="29" t="e">
        <f t="array" ref="AH4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4" s="29">
        <f>IF(ISNUMBER(MCC_Table[[#This Row],[SIZE]]), MCC_Table[[#This Row],[SIZE]]/6, 0)</f>
        <v>0</v>
      </c>
      <c r="AJ404" s="29" t="e">
        <f>MCC_Table[[#This Row],[START INDEX]]+MCC_Table[[#This Row],[UNITS USED]]-1</f>
        <v>#N/A</v>
      </c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</row>
    <row r="405" spans="1:57" ht="15.75" hidden="1" customHeight="1" thickTop="1" x14ac:dyDescent="0.25">
      <c r="A405" s="113"/>
      <c r="B405" s="29"/>
      <c r="C405" s="111"/>
      <c r="D405" s="28"/>
      <c r="E405" s="112"/>
      <c r="F405" s="8"/>
      <c r="G405" s="8"/>
      <c r="H405" s="82"/>
      <c r="I405" s="8"/>
      <c r="J405" s="80">
        <f>IF(ISNUMBER(MCC_Table[[#This Row],[SIZE]]), MCC_Table[[#This Row],[SIZE]]/12, 0)</f>
        <v>0</v>
      </c>
      <c r="K405" s="82"/>
      <c r="L405" s="82"/>
      <c r="M405" s="82"/>
      <c r="N405" s="82"/>
      <c r="O405" s="77"/>
      <c r="P405" s="110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225"/>
      <c r="AC405" s="225"/>
      <c r="AD405" s="225"/>
      <c r="AE405" s="29" t="e">
        <f>_xlfn.NUMBERVALUE(LEFT(MCC_Table[[#This Row],[BUCKET]],LEN(MCC_Table[[#This Row],[BUCKET]])-1))</f>
        <v>#VALUE!</v>
      </c>
      <c r="AF405" s="29" t="str">
        <f>RIGHT(MCC_Table[[#This Row],[BUCKET]],1)</f>
        <v/>
      </c>
      <c r="AG405" s="29" t="e">
        <f>VLOOKUP(MCC_Table[[#This Row],[START UNIT]],UnitMap[],2,FALSE)</f>
        <v>#N/A</v>
      </c>
      <c r="AH405" s="29" t="e">
        <f t="array" ref="AH4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5" s="29">
        <f>IF(ISNUMBER(MCC_Table[[#This Row],[SIZE]]), MCC_Table[[#This Row],[SIZE]]/6, 0)</f>
        <v>0</v>
      </c>
      <c r="AJ405" s="29" t="e">
        <f>MCC_Table[[#This Row],[START INDEX]]+MCC_Table[[#This Row],[UNITS USED]]-1</f>
        <v>#N/A</v>
      </c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</row>
    <row r="406" spans="1:57" ht="15.75" hidden="1" customHeight="1" thickTop="1" x14ac:dyDescent="0.25">
      <c r="A406" s="113"/>
      <c r="B406" s="29"/>
      <c r="C406" s="111"/>
      <c r="D406" s="28"/>
      <c r="E406" s="112"/>
      <c r="F406" s="8"/>
      <c r="G406" s="8"/>
      <c r="H406" s="82"/>
      <c r="I406" s="8"/>
      <c r="J406" s="80">
        <f>IF(ISNUMBER(MCC_Table[[#This Row],[SIZE]]), MCC_Table[[#This Row],[SIZE]]/12, 0)</f>
        <v>0</v>
      </c>
      <c r="K406" s="82"/>
      <c r="L406" s="82"/>
      <c r="M406" s="82"/>
      <c r="N406" s="82"/>
      <c r="O406" s="77"/>
      <c r="P406" s="110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225"/>
      <c r="AC406" s="225"/>
      <c r="AD406" s="225"/>
      <c r="AE406" s="29" t="e">
        <f>_xlfn.NUMBERVALUE(LEFT(MCC_Table[[#This Row],[BUCKET]],LEN(MCC_Table[[#This Row],[BUCKET]])-1))</f>
        <v>#VALUE!</v>
      </c>
      <c r="AF406" s="29" t="str">
        <f>RIGHT(MCC_Table[[#This Row],[BUCKET]],1)</f>
        <v/>
      </c>
      <c r="AG406" s="29" t="e">
        <f>VLOOKUP(MCC_Table[[#This Row],[START UNIT]],UnitMap[],2,FALSE)</f>
        <v>#N/A</v>
      </c>
      <c r="AH406" s="29" t="e">
        <f t="array" ref="AH4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6" s="29">
        <f>IF(ISNUMBER(MCC_Table[[#This Row],[SIZE]]), MCC_Table[[#This Row],[SIZE]]/6, 0)</f>
        <v>0</v>
      </c>
      <c r="AJ406" s="29" t="e">
        <f>MCC_Table[[#This Row],[START INDEX]]+MCC_Table[[#This Row],[UNITS USED]]-1</f>
        <v>#N/A</v>
      </c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</row>
    <row r="407" spans="1:57" ht="15.75" hidden="1" customHeight="1" thickTop="1" x14ac:dyDescent="0.25">
      <c r="A407" s="113"/>
      <c r="B407" s="29"/>
      <c r="C407" s="111"/>
      <c r="D407" s="28"/>
      <c r="E407" s="112"/>
      <c r="F407" s="8"/>
      <c r="G407" s="8"/>
      <c r="H407" s="82"/>
      <c r="I407" s="8"/>
      <c r="J407" s="80">
        <f>IF(ISNUMBER(MCC_Table[[#This Row],[SIZE]]), MCC_Table[[#This Row],[SIZE]]/12, 0)</f>
        <v>0</v>
      </c>
      <c r="K407" s="82"/>
      <c r="L407" s="82"/>
      <c r="M407" s="82"/>
      <c r="N407" s="82"/>
      <c r="O407" s="77"/>
      <c r="P407" s="110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225"/>
      <c r="AC407" s="225"/>
      <c r="AD407" s="225"/>
      <c r="AE407" s="29" t="e">
        <f>_xlfn.NUMBERVALUE(LEFT(MCC_Table[[#This Row],[BUCKET]],LEN(MCC_Table[[#This Row],[BUCKET]])-1))</f>
        <v>#VALUE!</v>
      </c>
      <c r="AF407" s="29" t="str">
        <f>RIGHT(MCC_Table[[#This Row],[BUCKET]],1)</f>
        <v/>
      </c>
      <c r="AG407" s="29" t="e">
        <f>VLOOKUP(MCC_Table[[#This Row],[START UNIT]],UnitMap[],2,FALSE)</f>
        <v>#N/A</v>
      </c>
      <c r="AH407" s="29" t="e">
        <f t="array" ref="AH4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7" s="29">
        <f>IF(ISNUMBER(MCC_Table[[#This Row],[SIZE]]), MCC_Table[[#This Row],[SIZE]]/6, 0)</f>
        <v>0</v>
      </c>
      <c r="AJ407" s="29" t="e">
        <f>MCC_Table[[#This Row],[START INDEX]]+MCC_Table[[#This Row],[UNITS USED]]-1</f>
        <v>#N/A</v>
      </c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</row>
    <row r="408" spans="1:57" ht="15.75" hidden="1" customHeight="1" thickTop="1" x14ac:dyDescent="0.25">
      <c r="A408" s="113"/>
      <c r="B408" s="29"/>
      <c r="C408" s="111"/>
      <c r="D408" s="28"/>
      <c r="E408" s="112"/>
      <c r="F408" s="8"/>
      <c r="G408" s="8"/>
      <c r="H408" s="82"/>
      <c r="I408" s="8"/>
      <c r="J408" s="80">
        <f>IF(ISNUMBER(MCC_Table[[#This Row],[SIZE]]), MCC_Table[[#This Row],[SIZE]]/12, 0)</f>
        <v>0</v>
      </c>
      <c r="K408" s="82"/>
      <c r="L408" s="82"/>
      <c r="M408" s="82"/>
      <c r="N408" s="82"/>
      <c r="O408" s="77"/>
      <c r="P408" s="110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225"/>
      <c r="AC408" s="225"/>
      <c r="AD408" s="225"/>
      <c r="AE408" s="29" t="e">
        <f>_xlfn.NUMBERVALUE(LEFT(MCC_Table[[#This Row],[BUCKET]],LEN(MCC_Table[[#This Row],[BUCKET]])-1))</f>
        <v>#VALUE!</v>
      </c>
      <c r="AF408" s="29" t="str">
        <f>RIGHT(MCC_Table[[#This Row],[BUCKET]],1)</f>
        <v/>
      </c>
      <c r="AG408" s="29" t="e">
        <f>VLOOKUP(MCC_Table[[#This Row],[START UNIT]],UnitMap[],2,FALSE)</f>
        <v>#N/A</v>
      </c>
      <c r="AH408" s="29" t="e">
        <f t="array" ref="AH4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8" s="29">
        <f>IF(ISNUMBER(MCC_Table[[#This Row],[SIZE]]), MCC_Table[[#This Row],[SIZE]]/6, 0)</f>
        <v>0</v>
      </c>
      <c r="AJ408" s="29" t="e">
        <f>MCC_Table[[#This Row],[START INDEX]]+MCC_Table[[#This Row],[UNITS USED]]-1</f>
        <v>#N/A</v>
      </c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</row>
    <row r="409" spans="1:57" ht="15.75" hidden="1" customHeight="1" thickTop="1" x14ac:dyDescent="0.25">
      <c r="A409" s="113"/>
      <c r="B409" s="29"/>
      <c r="C409" s="111"/>
      <c r="D409" s="28"/>
      <c r="E409" s="112"/>
      <c r="F409" s="8"/>
      <c r="G409" s="8"/>
      <c r="H409" s="82"/>
      <c r="I409" s="8"/>
      <c r="J409" s="80">
        <f>IF(ISNUMBER(MCC_Table[[#This Row],[SIZE]]), MCC_Table[[#This Row],[SIZE]]/12, 0)</f>
        <v>0</v>
      </c>
      <c r="K409" s="82"/>
      <c r="L409" s="82"/>
      <c r="M409" s="82"/>
      <c r="N409" s="82"/>
      <c r="O409" s="77"/>
      <c r="P409" s="110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225"/>
      <c r="AC409" s="225"/>
      <c r="AD409" s="225"/>
      <c r="AE409" s="29" t="e">
        <f>_xlfn.NUMBERVALUE(LEFT(MCC_Table[[#This Row],[BUCKET]],LEN(MCC_Table[[#This Row],[BUCKET]])-1))</f>
        <v>#VALUE!</v>
      </c>
      <c r="AF409" s="29" t="str">
        <f>RIGHT(MCC_Table[[#This Row],[BUCKET]],1)</f>
        <v/>
      </c>
      <c r="AG409" s="29" t="e">
        <f>VLOOKUP(MCC_Table[[#This Row],[START UNIT]],UnitMap[],2,FALSE)</f>
        <v>#N/A</v>
      </c>
      <c r="AH409" s="29" t="e">
        <f t="array" ref="AH4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09" s="29">
        <f>IF(ISNUMBER(MCC_Table[[#This Row],[SIZE]]), MCC_Table[[#This Row],[SIZE]]/6, 0)</f>
        <v>0</v>
      </c>
      <c r="AJ409" s="29" t="e">
        <f>MCC_Table[[#This Row],[START INDEX]]+MCC_Table[[#This Row],[UNITS USED]]-1</f>
        <v>#N/A</v>
      </c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</row>
    <row r="410" spans="1:57" ht="15.75" hidden="1" customHeight="1" thickTop="1" x14ac:dyDescent="0.25">
      <c r="A410" s="113"/>
      <c r="B410" s="29"/>
      <c r="C410" s="24"/>
      <c r="D410" s="28"/>
      <c r="E410" s="29"/>
      <c r="F410" s="8"/>
      <c r="G410" s="8"/>
      <c r="H410" s="82"/>
      <c r="I410" s="8"/>
      <c r="J410" s="80">
        <f>IF(ISNUMBER(MCC_Table[[#This Row],[SIZE]]), MCC_Table[[#This Row],[SIZE]]/12, 0)</f>
        <v>0</v>
      </c>
      <c r="K410" s="82"/>
      <c r="L410" s="82"/>
      <c r="M410" s="82"/>
      <c r="N410" s="82"/>
      <c r="O410" s="77"/>
      <c r="P410" s="110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225"/>
      <c r="AC410" s="225"/>
      <c r="AD410" s="225"/>
      <c r="AE410" s="29" t="e">
        <f>_xlfn.NUMBERVALUE(LEFT(MCC_Table[[#This Row],[BUCKET]],LEN(MCC_Table[[#This Row],[BUCKET]])-1))</f>
        <v>#VALUE!</v>
      </c>
      <c r="AF410" s="29" t="str">
        <f>RIGHT(MCC_Table[[#This Row],[BUCKET]],1)</f>
        <v/>
      </c>
      <c r="AG410" s="29" t="e">
        <f>VLOOKUP(MCC_Table[[#This Row],[START UNIT]],UnitMap[],2,FALSE)</f>
        <v>#N/A</v>
      </c>
      <c r="AH410" s="29" t="e">
        <f t="array" ref="AH4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10" s="29">
        <f>IF(ISNUMBER(MCC_Table[[#This Row],[SIZE]]), MCC_Table[[#This Row],[SIZE]]/6, 0)</f>
        <v>0</v>
      </c>
      <c r="AJ410" s="29" t="e">
        <f>MCC_Table[[#This Row],[START INDEX]]+MCC_Table[[#This Row],[UNITS USED]]-1</f>
        <v>#N/A</v>
      </c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</row>
    <row r="411" spans="1:57" ht="15.75" hidden="1" customHeight="1" thickTop="1" x14ac:dyDescent="0.25">
      <c r="A411" s="113"/>
      <c r="B411" s="29"/>
      <c r="C411" s="24"/>
      <c r="D411" s="28"/>
      <c r="E411" s="29"/>
      <c r="F411" s="8"/>
      <c r="G411" s="8"/>
      <c r="H411" s="82"/>
      <c r="I411" s="8"/>
      <c r="J411" s="80">
        <f>IF(ISNUMBER(MCC_Table[[#This Row],[SIZE]]), MCC_Table[[#This Row],[SIZE]]/12, 0)</f>
        <v>0</v>
      </c>
      <c r="K411" s="82"/>
      <c r="L411" s="82"/>
      <c r="M411" s="82"/>
      <c r="N411" s="82"/>
      <c r="O411" s="77"/>
      <c r="P411" s="110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225"/>
      <c r="AC411" s="225"/>
      <c r="AD411" s="225"/>
      <c r="AE411" s="29" t="e">
        <f>_xlfn.NUMBERVALUE(LEFT(MCC_Table[[#This Row],[BUCKET]],LEN(MCC_Table[[#This Row],[BUCKET]])-1))</f>
        <v>#VALUE!</v>
      </c>
      <c r="AF411" s="29" t="str">
        <f>RIGHT(MCC_Table[[#This Row],[BUCKET]],1)</f>
        <v/>
      </c>
      <c r="AG411" s="29" t="e">
        <f>VLOOKUP(MCC_Table[[#This Row],[START UNIT]],UnitMap[],2,FALSE)</f>
        <v>#N/A</v>
      </c>
      <c r="AH411" s="29" t="e">
        <f t="array" ref="AH4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>#VALUE!</v>
      </c>
      <c r="AI411" s="29">
        <f>IF(ISNUMBER(MCC_Table[[#This Row],[SIZE]]), MCC_Table[[#This Row],[SIZE]]/6, 0)</f>
        <v>0</v>
      </c>
      <c r="AJ411" s="29" t="e">
        <f>MCC_Table[[#This Row],[START INDEX]]+MCC_Table[[#This Row],[UNITS USED]]-1</f>
        <v>#N/A</v>
      </c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</row>
    <row r="412" spans="1:57" ht="15.75" hidden="1" customHeight="1" thickTop="1" x14ac:dyDescent="0.25">
      <c r="A412" s="39"/>
      <c r="B412" s="8"/>
      <c r="C412" s="24"/>
      <c r="D412" s="28"/>
      <c r="E412" s="29"/>
      <c r="F412" s="8"/>
      <c r="G412" s="8"/>
      <c r="H412" s="82"/>
      <c r="I412" s="8"/>
      <c r="J412" s="83"/>
      <c r="K412" s="82"/>
      <c r="L412" s="82"/>
      <c r="M412" s="82"/>
      <c r="N412" s="82"/>
      <c r="O412" s="77"/>
      <c r="P412" s="85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225"/>
      <c r="AC412" s="225"/>
      <c r="AD412" s="225"/>
      <c r="AE412" s="8"/>
      <c r="AF412" s="8"/>
      <c r="AG412" s="8"/>
      <c r="AH412" s="8"/>
      <c r="AI412" s="8"/>
      <c r="AJ412" s="8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</row>
    <row r="413" spans="1:57" ht="15.75" customHeight="1" thickTop="1" x14ac:dyDescent="0.25"/>
  </sheetData>
  <pageMargins left="0.7" right="0.7" top="1" bottom="0.75" header="0.3" footer="0.3"/>
  <pageSetup paperSize="3" scale="48" fitToHeight="0" orientation="landscape"/>
  <headerFooter>
    <oddHeader>&amp;L&amp;G&amp;C&amp;"Yu Gothic UI,Bold"&amp;16 RL5 MOTOR LIST&amp;R&amp;G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D10" sqref="D10"/>
    </sheetView>
  </sheetViews>
  <sheetFormatPr defaultColWidth="43.5703125" defaultRowHeight="15" x14ac:dyDescent="0.25"/>
  <cols>
    <col min="1" max="1" width="11.7109375" bestFit="1" customWidth="1"/>
    <col min="2" max="2" width="11.140625" bestFit="1" customWidth="1"/>
    <col min="3" max="3" width="19.5703125" bestFit="1" customWidth="1"/>
    <col min="4" max="4" width="33" bestFit="1" customWidth="1"/>
  </cols>
  <sheetData>
    <row r="1" spans="1:4" s="7" customFormat="1" x14ac:dyDescent="0.25">
      <c r="A1" s="8" t="s">
        <v>2073</v>
      </c>
      <c r="B1" s="8" t="s">
        <v>2694</v>
      </c>
      <c r="C1" s="8" t="s">
        <v>2695</v>
      </c>
      <c r="D1" s="221" t="s">
        <v>2696</v>
      </c>
    </row>
    <row r="2" spans="1:4" x14ac:dyDescent="0.25">
      <c r="A2" s="39" t="s">
        <v>2218</v>
      </c>
      <c r="B2" s="29" t="s">
        <v>2096</v>
      </c>
      <c r="C2" s="24" t="s">
        <v>2227</v>
      </c>
      <c r="D2" s="62" t="s">
        <v>2098</v>
      </c>
    </row>
    <row r="3" spans="1:4" ht="30" customHeight="1" x14ac:dyDescent="0.25">
      <c r="A3" s="39" t="s">
        <v>2218</v>
      </c>
      <c r="B3" s="29" t="s">
        <v>2202</v>
      </c>
      <c r="C3" s="24" t="s">
        <v>2298</v>
      </c>
      <c r="D3" s="62" t="s">
        <v>2697</v>
      </c>
    </row>
    <row r="4" spans="1:4" x14ac:dyDescent="0.25">
      <c r="A4" s="39" t="s">
        <v>2218</v>
      </c>
      <c r="B4" s="29" t="s">
        <v>2314</v>
      </c>
      <c r="C4" s="24" t="s">
        <v>2315</v>
      </c>
      <c r="D4" s="62" t="s">
        <v>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CCFF"/>
    <pageSetUpPr fitToPage="1"/>
  </sheetPr>
  <dimension ref="A1:Q92"/>
  <sheetViews>
    <sheetView zoomScaleNormal="100" zoomScaleSheetLayoutView="7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A31" sqref="A31:A60"/>
    </sheetView>
  </sheetViews>
  <sheetFormatPr defaultRowHeight="15" x14ac:dyDescent="0.25"/>
  <cols>
    <col min="1" max="1" width="18.42578125" bestFit="1" customWidth="1"/>
    <col min="2" max="2" width="9.85546875" bestFit="1" customWidth="1"/>
    <col min="3" max="3" width="42.42578125" style="3" bestFit="1" customWidth="1"/>
    <col min="4" max="4" width="32.85546875" bestFit="1" customWidth="1"/>
    <col min="5" max="5" width="16.5703125" customWidth="1"/>
    <col min="6" max="6" width="9.42578125" bestFit="1" customWidth="1"/>
    <col min="7" max="7" width="26.7109375" customWidth="1"/>
    <col min="8" max="8" width="40.5703125" style="3" bestFit="1" customWidth="1"/>
    <col min="9" max="11" width="13.7109375" style="11" hidden="1" customWidth="1"/>
    <col min="12" max="12" width="14.7109375" style="11" hidden="1" customWidth="1"/>
    <col min="13" max="17" width="13.7109375" style="11" hidden="1" customWidth="1"/>
    <col min="19" max="19" width="20.7109375" bestFit="1" customWidth="1"/>
    <col min="20" max="20" width="22.42578125" bestFit="1" customWidth="1"/>
    <col min="21" max="21" width="5.85546875" bestFit="1" customWidth="1"/>
    <col min="22" max="22" width="15.42578125" bestFit="1" customWidth="1"/>
  </cols>
  <sheetData>
    <row r="1" spans="1:17" s="7" customFormat="1" ht="45.75" customHeight="1" thickBot="1" x14ac:dyDescent="0.3">
      <c r="A1" s="23" t="s">
        <v>2698</v>
      </c>
      <c r="B1" s="21" t="s">
        <v>2699</v>
      </c>
      <c r="C1" s="21" t="s">
        <v>2700</v>
      </c>
      <c r="D1" s="20" t="s">
        <v>2701</v>
      </c>
      <c r="E1" s="20" t="s">
        <v>2702</v>
      </c>
      <c r="F1" s="20" t="s">
        <v>2703</v>
      </c>
      <c r="G1" s="21" t="s">
        <v>2704</v>
      </c>
      <c r="H1" s="22" t="s">
        <v>25</v>
      </c>
      <c r="I1" s="30" t="s">
        <v>18</v>
      </c>
      <c r="J1" s="31" t="s">
        <v>2705</v>
      </c>
      <c r="K1" s="31" t="s">
        <v>2706</v>
      </c>
      <c r="L1" s="31" t="s">
        <v>2707</v>
      </c>
      <c r="M1" s="31" t="s">
        <v>2058</v>
      </c>
      <c r="N1" s="31" t="s">
        <v>2059</v>
      </c>
      <c r="O1" s="31" t="s">
        <v>2060</v>
      </c>
      <c r="P1" s="31" t="s">
        <v>2708</v>
      </c>
      <c r="Q1" s="31" t="s">
        <v>2063</v>
      </c>
    </row>
    <row r="2" spans="1:17" x14ac:dyDescent="0.25">
      <c r="A2" s="256" t="s">
        <v>2709</v>
      </c>
      <c r="B2" s="72" t="s">
        <v>2710</v>
      </c>
      <c r="C2" s="257" t="s">
        <v>2711</v>
      </c>
      <c r="D2" s="75" t="s">
        <v>2712</v>
      </c>
      <c r="E2" s="75" t="s">
        <v>2713</v>
      </c>
      <c r="F2" s="75"/>
      <c r="G2" s="75"/>
      <c r="H2" s="258"/>
      <c r="I2" s="250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242" t="s">
        <v>2714</v>
      </c>
      <c r="B3" s="24" t="s">
        <v>2715</v>
      </c>
      <c r="C3" s="4" t="s">
        <v>2716</v>
      </c>
      <c r="D3" s="8" t="s">
        <v>2712</v>
      </c>
      <c r="E3" s="8" t="s">
        <v>2717</v>
      </c>
      <c r="F3" s="8"/>
      <c r="G3" s="8"/>
      <c r="H3" s="243" t="s">
        <v>2718</v>
      </c>
      <c r="I3" s="250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242" t="s">
        <v>2719</v>
      </c>
      <c r="B4" s="24" t="s">
        <v>2720</v>
      </c>
      <c r="C4" s="4" t="s">
        <v>2721</v>
      </c>
      <c r="D4" s="8" t="s">
        <v>2712</v>
      </c>
      <c r="E4" s="8"/>
      <c r="F4" s="8"/>
      <c r="G4" s="24"/>
      <c r="H4" s="243"/>
      <c r="I4" s="250"/>
      <c r="J4" s="16"/>
      <c r="K4" s="16"/>
      <c r="L4" s="16"/>
      <c r="M4" s="16"/>
      <c r="N4" s="16"/>
      <c r="O4" s="16"/>
      <c r="P4" s="16"/>
      <c r="Q4" s="16"/>
    </row>
    <row r="5" spans="1:17" x14ac:dyDescent="0.25">
      <c r="A5" s="242" t="s">
        <v>2722</v>
      </c>
      <c r="B5" s="24" t="s">
        <v>2723</v>
      </c>
      <c r="C5" s="4" t="s">
        <v>2724</v>
      </c>
      <c r="D5" s="8" t="s">
        <v>2712</v>
      </c>
      <c r="E5" s="8"/>
      <c r="F5" s="8"/>
      <c r="G5" s="24"/>
      <c r="H5" s="243"/>
      <c r="I5" s="250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242" t="s">
        <v>2725</v>
      </c>
      <c r="B6" s="24" t="s">
        <v>2726</v>
      </c>
      <c r="C6" s="4" t="s">
        <v>2727</v>
      </c>
      <c r="D6" s="8" t="s">
        <v>2712</v>
      </c>
      <c r="E6" s="8"/>
      <c r="F6" s="8"/>
      <c r="G6" s="24"/>
      <c r="H6" s="243"/>
      <c r="I6" s="250"/>
      <c r="J6" s="16"/>
      <c r="K6" s="16"/>
      <c r="L6" s="16"/>
      <c r="M6" s="16"/>
      <c r="N6" s="16"/>
      <c r="O6" s="16"/>
      <c r="P6" s="16"/>
      <c r="Q6" s="16"/>
    </row>
    <row r="7" spans="1:17" x14ac:dyDescent="0.25">
      <c r="A7" s="242" t="s">
        <v>2728</v>
      </c>
      <c r="B7" s="24" t="s">
        <v>2729</v>
      </c>
      <c r="C7" s="4" t="s">
        <v>2730</v>
      </c>
      <c r="D7" s="8" t="s">
        <v>2712</v>
      </c>
      <c r="E7" s="8"/>
      <c r="F7" s="8"/>
      <c r="G7" s="24"/>
      <c r="H7" s="243"/>
      <c r="I7" s="250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242" t="s">
        <v>2731</v>
      </c>
      <c r="B8" s="24" t="s">
        <v>2732</v>
      </c>
      <c r="C8" s="4" t="s">
        <v>2733</v>
      </c>
      <c r="D8" s="8" t="s">
        <v>2712</v>
      </c>
      <c r="E8" s="8"/>
      <c r="F8" s="8"/>
      <c r="G8" s="24"/>
      <c r="H8" s="243"/>
      <c r="I8" s="250"/>
      <c r="J8" s="16"/>
      <c r="K8" s="16"/>
      <c r="L8" s="16"/>
      <c r="M8" s="16"/>
      <c r="N8" s="16"/>
      <c r="O8" s="16"/>
      <c r="P8" s="16"/>
      <c r="Q8" s="16"/>
    </row>
    <row r="9" spans="1:17" x14ac:dyDescent="0.25">
      <c r="A9" s="242" t="s">
        <v>2734</v>
      </c>
      <c r="B9" s="24" t="s">
        <v>2732</v>
      </c>
      <c r="C9" s="4" t="s">
        <v>2735</v>
      </c>
      <c r="D9" s="8" t="s">
        <v>2712</v>
      </c>
      <c r="E9" s="8"/>
      <c r="F9" s="8"/>
      <c r="G9" s="24"/>
      <c r="H9" s="243"/>
      <c r="I9" s="250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242" t="s">
        <v>2736</v>
      </c>
      <c r="B10" s="24" t="s">
        <v>2710</v>
      </c>
      <c r="C10" s="4" t="s">
        <v>2737</v>
      </c>
      <c r="D10" s="8" t="s">
        <v>2712</v>
      </c>
      <c r="E10" s="8" t="s">
        <v>2713</v>
      </c>
      <c r="F10" s="8"/>
      <c r="G10" s="8"/>
      <c r="H10" s="243"/>
      <c r="I10" s="250"/>
      <c r="J10" s="16"/>
      <c r="K10" s="16"/>
      <c r="L10" s="16"/>
      <c r="M10" s="16"/>
      <c r="N10" s="16"/>
      <c r="O10" s="16"/>
      <c r="P10" s="16"/>
      <c r="Q10" s="16"/>
    </row>
    <row r="11" spans="1:17" x14ac:dyDescent="0.25">
      <c r="A11" s="242" t="s">
        <v>2738</v>
      </c>
      <c r="B11" s="24" t="s">
        <v>2715</v>
      </c>
      <c r="C11" s="4" t="s">
        <v>2739</v>
      </c>
      <c r="D11" s="8" t="s">
        <v>2712</v>
      </c>
      <c r="E11" s="8" t="s">
        <v>2717</v>
      </c>
      <c r="F11" s="8"/>
      <c r="G11" s="8"/>
      <c r="H11" s="243" t="s">
        <v>2718</v>
      </c>
      <c r="I11" s="250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242" t="s">
        <v>2740</v>
      </c>
      <c r="B12" s="24" t="s">
        <v>2720</v>
      </c>
      <c r="C12" s="4" t="s">
        <v>2741</v>
      </c>
      <c r="D12" s="8" t="s">
        <v>2712</v>
      </c>
      <c r="E12" s="8"/>
      <c r="F12" s="8"/>
      <c r="G12" s="24"/>
      <c r="H12" s="243"/>
      <c r="I12" s="250"/>
      <c r="J12" s="16"/>
      <c r="K12" s="16"/>
      <c r="L12" s="16"/>
      <c r="M12" s="16"/>
      <c r="N12" s="16"/>
      <c r="O12" s="16"/>
      <c r="P12" s="16"/>
      <c r="Q12" s="16"/>
    </row>
    <row r="13" spans="1:17" x14ac:dyDescent="0.25">
      <c r="A13" s="242" t="s">
        <v>2742</v>
      </c>
      <c r="B13" s="24" t="s">
        <v>2723</v>
      </c>
      <c r="C13" s="4" t="s">
        <v>2743</v>
      </c>
      <c r="D13" s="8" t="s">
        <v>2712</v>
      </c>
      <c r="E13" s="8"/>
      <c r="F13" s="8"/>
      <c r="G13" s="24"/>
      <c r="H13" s="243"/>
      <c r="I13" s="250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242" t="s">
        <v>2744</v>
      </c>
      <c r="B14" s="24" t="s">
        <v>2726</v>
      </c>
      <c r="C14" s="4" t="s">
        <v>2745</v>
      </c>
      <c r="D14" s="8" t="s">
        <v>2712</v>
      </c>
      <c r="E14" s="8"/>
      <c r="F14" s="8"/>
      <c r="G14" s="24"/>
      <c r="H14" s="243"/>
      <c r="I14" s="250"/>
      <c r="J14" s="16"/>
      <c r="K14" s="16"/>
      <c r="L14" s="16"/>
      <c r="M14" s="16"/>
      <c r="N14" s="16"/>
      <c r="O14" s="16"/>
      <c r="P14" s="16"/>
      <c r="Q14" s="16"/>
    </row>
    <row r="15" spans="1:17" x14ac:dyDescent="0.25">
      <c r="A15" s="242" t="s">
        <v>2746</v>
      </c>
      <c r="B15" s="24" t="s">
        <v>2729</v>
      </c>
      <c r="C15" s="4" t="s">
        <v>2747</v>
      </c>
      <c r="D15" s="8" t="s">
        <v>2712</v>
      </c>
      <c r="E15" s="8"/>
      <c r="F15" s="8"/>
      <c r="G15" s="24"/>
      <c r="H15" s="243"/>
      <c r="I15" s="250"/>
      <c r="J15" s="16"/>
      <c r="K15" s="16"/>
      <c r="L15" s="16"/>
      <c r="M15" s="16"/>
      <c r="N15" s="16"/>
      <c r="O15" s="16"/>
      <c r="P15" s="16"/>
      <c r="Q15" s="16"/>
    </row>
    <row r="16" spans="1:17" x14ac:dyDescent="0.25">
      <c r="A16" s="242" t="s">
        <v>2748</v>
      </c>
      <c r="B16" s="24" t="s">
        <v>2732</v>
      </c>
      <c r="C16" s="4" t="s">
        <v>2749</v>
      </c>
      <c r="D16" s="8" t="s">
        <v>2712</v>
      </c>
      <c r="E16" s="8"/>
      <c r="F16" s="8"/>
      <c r="G16" s="24"/>
      <c r="H16" s="243"/>
      <c r="I16" s="250"/>
      <c r="J16" s="16"/>
      <c r="K16" s="16"/>
      <c r="L16" s="16"/>
      <c r="M16" s="16"/>
      <c r="N16" s="16"/>
      <c r="O16" s="16"/>
      <c r="P16" s="16"/>
      <c r="Q16" s="16"/>
    </row>
    <row r="17" spans="1:17" x14ac:dyDescent="0.25">
      <c r="A17" s="242" t="s">
        <v>2750</v>
      </c>
      <c r="B17" s="24" t="s">
        <v>2732</v>
      </c>
      <c r="C17" s="4" t="s">
        <v>2751</v>
      </c>
      <c r="D17" s="8" t="s">
        <v>2712</v>
      </c>
      <c r="E17" s="8"/>
      <c r="F17" s="8"/>
      <c r="G17" s="24"/>
      <c r="H17" s="243"/>
      <c r="I17" s="250"/>
      <c r="J17" s="16"/>
      <c r="K17" s="16"/>
      <c r="L17" s="16"/>
      <c r="M17" s="16"/>
      <c r="N17" s="16"/>
      <c r="O17" s="16"/>
      <c r="P17" s="16"/>
      <c r="Q17" s="16"/>
    </row>
    <row r="18" spans="1:17" x14ac:dyDescent="0.25">
      <c r="A18" s="242" t="s">
        <v>2752</v>
      </c>
      <c r="B18" s="24" t="s">
        <v>2710</v>
      </c>
      <c r="C18" s="4" t="s">
        <v>2753</v>
      </c>
      <c r="D18" s="8" t="s">
        <v>2712</v>
      </c>
      <c r="E18" s="8" t="s">
        <v>2713</v>
      </c>
      <c r="F18" s="8"/>
      <c r="G18" s="8"/>
      <c r="H18" s="243"/>
      <c r="I18" s="250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242" t="s">
        <v>2754</v>
      </c>
      <c r="B19" s="24" t="s">
        <v>2715</v>
      </c>
      <c r="C19" s="4" t="s">
        <v>2755</v>
      </c>
      <c r="D19" s="8" t="s">
        <v>2712</v>
      </c>
      <c r="E19" s="8" t="s">
        <v>2717</v>
      </c>
      <c r="F19" s="8"/>
      <c r="G19" s="8"/>
      <c r="H19" s="243" t="s">
        <v>2718</v>
      </c>
      <c r="I19" s="250"/>
      <c r="J19" s="16"/>
      <c r="K19" s="16"/>
      <c r="L19" s="16"/>
      <c r="M19" s="16"/>
      <c r="N19" s="16"/>
      <c r="O19" s="16"/>
      <c r="P19" s="16"/>
      <c r="Q19" s="16"/>
    </row>
    <row r="20" spans="1:17" x14ac:dyDescent="0.25">
      <c r="A20" s="242" t="s">
        <v>2756</v>
      </c>
      <c r="B20" s="24" t="s">
        <v>2720</v>
      </c>
      <c r="C20" s="4" t="s">
        <v>2757</v>
      </c>
      <c r="D20" s="8" t="s">
        <v>2712</v>
      </c>
      <c r="E20" s="8"/>
      <c r="F20" s="8"/>
      <c r="G20" s="24"/>
      <c r="H20" s="243"/>
      <c r="I20" s="250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242" t="s">
        <v>2758</v>
      </c>
      <c r="B21" s="24" t="s">
        <v>2723</v>
      </c>
      <c r="C21" s="4" t="s">
        <v>2759</v>
      </c>
      <c r="D21" s="8" t="s">
        <v>2712</v>
      </c>
      <c r="E21" s="8"/>
      <c r="F21" s="8"/>
      <c r="G21" s="24"/>
      <c r="H21" s="243"/>
      <c r="I21" s="250"/>
      <c r="J21" s="16"/>
      <c r="K21" s="16"/>
      <c r="L21" s="16"/>
      <c r="M21" s="16"/>
      <c r="N21" s="16"/>
      <c r="O21" s="16"/>
      <c r="P21" s="16"/>
      <c r="Q21" s="16"/>
    </row>
    <row r="22" spans="1:17" x14ac:dyDescent="0.25">
      <c r="A22" s="242" t="s">
        <v>2760</v>
      </c>
      <c r="B22" s="24" t="s">
        <v>2726</v>
      </c>
      <c r="C22" s="4" t="s">
        <v>2761</v>
      </c>
      <c r="D22" s="8" t="s">
        <v>2712</v>
      </c>
      <c r="E22" s="8"/>
      <c r="F22" s="8"/>
      <c r="G22" s="24"/>
      <c r="H22" s="243"/>
      <c r="I22" s="250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242" t="s">
        <v>2762</v>
      </c>
      <c r="B23" s="24" t="s">
        <v>2729</v>
      </c>
      <c r="C23" s="4" t="s">
        <v>2763</v>
      </c>
      <c r="D23" s="8" t="s">
        <v>2712</v>
      </c>
      <c r="E23" s="8"/>
      <c r="F23" s="8"/>
      <c r="G23" s="24"/>
      <c r="H23" s="243"/>
      <c r="I23" s="250"/>
      <c r="J23" s="16"/>
      <c r="K23" s="16"/>
      <c r="L23" s="16"/>
      <c r="M23" s="16"/>
      <c r="N23" s="16"/>
      <c r="O23" s="16"/>
      <c r="P23" s="16"/>
      <c r="Q23" s="16"/>
    </row>
    <row r="24" spans="1:17" x14ac:dyDescent="0.25">
      <c r="A24" s="242" t="s">
        <v>2764</v>
      </c>
      <c r="B24" s="24" t="s">
        <v>2732</v>
      </c>
      <c r="C24" s="4" t="s">
        <v>2765</v>
      </c>
      <c r="D24" s="8" t="s">
        <v>2712</v>
      </c>
      <c r="E24" s="8"/>
      <c r="F24" s="8"/>
      <c r="G24" s="24"/>
      <c r="H24" s="243"/>
      <c r="I24" s="250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242" t="s">
        <v>2766</v>
      </c>
      <c r="B25" s="24" t="s">
        <v>2732</v>
      </c>
      <c r="C25" s="4" t="s">
        <v>2767</v>
      </c>
      <c r="D25" s="8" t="s">
        <v>2712</v>
      </c>
      <c r="E25" s="8"/>
      <c r="F25" s="8"/>
      <c r="G25" s="24"/>
      <c r="H25" s="243"/>
      <c r="I25" s="250"/>
      <c r="J25" s="16"/>
      <c r="K25" s="16"/>
      <c r="L25" s="16"/>
      <c r="M25" s="16"/>
      <c r="N25" s="16"/>
      <c r="O25" s="16"/>
      <c r="P25" s="16"/>
      <c r="Q25" s="16"/>
    </row>
    <row r="26" spans="1:17" s="7" customFormat="1" x14ac:dyDescent="0.25">
      <c r="A26" s="242" t="s">
        <v>2768</v>
      </c>
      <c r="B26" s="24" t="s">
        <v>2715</v>
      </c>
      <c r="C26" s="62" t="s">
        <v>2769</v>
      </c>
      <c r="D26" s="8" t="s">
        <v>2712</v>
      </c>
      <c r="E26" s="29"/>
      <c r="F26" s="29"/>
      <c r="G26" s="24"/>
      <c r="H26" s="244"/>
      <c r="I26" s="251"/>
      <c r="J26" s="240"/>
      <c r="K26" s="240"/>
      <c r="L26" s="240"/>
      <c r="M26" s="240"/>
      <c r="N26" s="240"/>
      <c r="O26" s="240"/>
      <c r="P26" s="240"/>
      <c r="Q26" s="240"/>
    </row>
    <row r="27" spans="1:17" s="7" customFormat="1" x14ac:dyDescent="0.25">
      <c r="A27" s="242"/>
      <c r="B27" s="24"/>
      <c r="C27" s="62"/>
      <c r="D27" s="29"/>
      <c r="E27" s="29"/>
      <c r="F27" s="29"/>
      <c r="G27" s="24"/>
      <c r="H27" s="244"/>
      <c r="I27" s="252"/>
      <c r="J27" s="241"/>
      <c r="K27" s="241"/>
      <c r="L27" s="241"/>
      <c r="M27" s="241"/>
      <c r="N27" s="241"/>
      <c r="O27" s="241"/>
      <c r="P27" s="241"/>
      <c r="Q27" s="241"/>
    </row>
    <row r="28" spans="1:17" x14ac:dyDescent="0.25">
      <c r="A28" s="242" t="s">
        <v>326</v>
      </c>
      <c r="B28" s="24" t="s">
        <v>2770</v>
      </c>
      <c r="C28" s="4" t="s">
        <v>2771</v>
      </c>
      <c r="D28" s="8" t="s">
        <v>2772</v>
      </c>
      <c r="E28" s="8" t="s">
        <v>2773</v>
      </c>
      <c r="F28" s="8" t="s">
        <v>2774</v>
      </c>
      <c r="G28" s="8"/>
      <c r="H28" s="243"/>
      <c r="I28" s="250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242" t="s">
        <v>374</v>
      </c>
      <c r="B29" s="24" t="s">
        <v>2770</v>
      </c>
      <c r="C29" s="4" t="s">
        <v>2775</v>
      </c>
      <c r="D29" s="8" t="s">
        <v>2772</v>
      </c>
      <c r="E29" s="8" t="s">
        <v>2773</v>
      </c>
      <c r="F29" s="8" t="s">
        <v>2774</v>
      </c>
      <c r="G29" s="8"/>
      <c r="H29" s="243"/>
      <c r="I29" s="250"/>
      <c r="J29" s="16"/>
      <c r="K29" s="16"/>
      <c r="L29" s="16"/>
      <c r="M29" s="16"/>
      <c r="N29" s="16"/>
      <c r="O29" s="16"/>
      <c r="P29" s="16"/>
      <c r="Q29" s="16"/>
    </row>
    <row r="30" spans="1:17" x14ac:dyDescent="0.25">
      <c r="A30" s="242" t="s">
        <v>2776</v>
      </c>
      <c r="B30" s="24" t="s">
        <v>2715</v>
      </c>
      <c r="C30" s="4" t="s">
        <v>2777</v>
      </c>
      <c r="D30" s="8" t="s">
        <v>2772</v>
      </c>
      <c r="E30" s="8" t="s">
        <v>2773</v>
      </c>
      <c r="F30" s="8" t="s">
        <v>2774</v>
      </c>
      <c r="G30" s="8"/>
      <c r="H30" s="243" t="s">
        <v>2778</v>
      </c>
      <c r="I30" s="250"/>
      <c r="J30" s="16"/>
      <c r="K30" s="16"/>
      <c r="L30" s="16"/>
      <c r="M30" s="16"/>
      <c r="N30" s="16"/>
      <c r="O30" s="16"/>
      <c r="P30" s="16"/>
      <c r="Q30" s="16"/>
    </row>
    <row r="31" spans="1:17" x14ac:dyDescent="0.25">
      <c r="A31" s="242" t="s">
        <v>266</v>
      </c>
      <c r="B31" s="24" t="s">
        <v>2770</v>
      </c>
      <c r="C31" s="4" t="s">
        <v>2779</v>
      </c>
      <c r="D31" s="8" t="s">
        <v>2772</v>
      </c>
      <c r="E31" s="8" t="s">
        <v>2780</v>
      </c>
      <c r="F31" s="8" t="s">
        <v>2774</v>
      </c>
      <c r="G31" s="8"/>
      <c r="H31" s="243" t="s">
        <v>2781</v>
      </c>
      <c r="I31" s="250"/>
      <c r="J31" s="16"/>
      <c r="K31" s="16"/>
      <c r="L31" s="16"/>
      <c r="M31" s="16"/>
      <c r="N31" s="16"/>
      <c r="O31" s="16"/>
      <c r="P31" s="16"/>
      <c r="Q31" s="16"/>
    </row>
    <row r="32" spans="1:17" x14ac:dyDescent="0.25">
      <c r="A32" s="242" t="s">
        <v>115</v>
      </c>
      <c r="B32" s="24" t="s">
        <v>2770</v>
      </c>
      <c r="C32" s="4" t="s">
        <v>2782</v>
      </c>
      <c r="D32" s="8" t="s">
        <v>2772</v>
      </c>
      <c r="E32" s="8" t="s">
        <v>2773</v>
      </c>
      <c r="F32" s="8" t="s">
        <v>2774</v>
      </c>
      <c r="G32" s="8"/>
      <c r="H32" s="243"/>
      <c r="I32" s="250"/>
      <c r="J32" s="16"/>
      <c r="K32" s="16"/>
      <c r="L32" s="16"/>
      <c r="M32" s="16"/>
      <c r="N32" s="16"/>
      <c r="O32" s="16"/>
      <c r="P32" s="16"/>
      <c r="Q32" s="16"/>
    </row>
    <row r="33" spans="1:17" x14ac:dyDescent="0.25">
      <c r="A33" s="242" t="s">
        <v>2783</v>
      </c>
      <c r="B33" s="24" t="s">
        <v>2715</v>
      </c>
      <c r="C33" s="4" t="s">
        <v>2784</v>
      </c>
      <c r="D33" s="8" t="s">
        <v>2772</v>
      </c>
      <c r="E33" s="8" t="s">
        <v>2773</v>
      </c>
      <c r="F33" s="8" t="s">
        <v>2774</v>
      </c>
      <c r="G33" s="8"/>
      <c r="H33" s="243"/>
      <c r="I33" s="250"/>
      <c r="J33" s="16"/>
      <c r="K33" s="16"/>
      <c r="L33" s="16"/>
      <c r="M33" s="16"/>
      <c r="N33" s="16"/>
      <c r="O33" s="16"/>
      <c r="P33" s="16"/>
      <c r="Q33" s="16"/>
    </row>
    <row r="34" spans="1:17" x14ac:dyDescent="0.25">
      <c r="A34" s="242" t="s">
        <v>2785</v>
      </c>
      <c r="B34" s="24" t="s">
        <v>2720</v>
      </c>
      <c r="C34" s="4" t="s">
        <v>2786</v>
      </c>
      <c r="D34" s="8" t="s">
        <v>2772</v>
      </c>
      <c r="E34" s="8" t="s">
        <v>2773</v>
      </c>
      <c r="F34" s="8" t="s">
        <v>2774</v>
      </c>
      <c r="G34" s="8"/>
      <c r="H34" s="243"/>
      <c r="I34" s="250"/>
      <c r="J34" s="16"/>
      <c r="K34" s="16"/>
      <c r="L34" s="16"/>
      <c r="M34" s="16"/>
      <c r="N34" s="16"/>
      <c r="O34" s="16"/>
      <c r="P34" s="16"/>
      <c r="Q34" s="16"/>
    </row>
    <row r="35" spans="1:17" x14ac:dyDescent="0.25">
      <c r="A35" s="242" t="s">
        <v>2787</v>
      </c>
      <c r="B35" s="24" t="s">
        <v>2720</v>
      </c>
      <c r="C35" s="4" t="s">
        <v>2788</v>
      </c>
      <c r="D35" s="8" t="s">
        <v>2772</v>
      </c>
      <c r="E35" s="8" t="s">
        <v>2773</v>
      </c>
      <c r="F35" s="8" t="s">
        <v>2774</v>
      </c>
      <c r="G35" s="8"/>
      <c r="H35" s="243"/>
      <c r="I35" s="250"/>
      <c r="J35" s="16"/>
      <c r="K35" s="16"/>
      <c r="L35" s="16"/>
      <c r="M35" s="16"/>
      <c r="N35" s="16"/>
      <c r="O35" s="16"/>
      <c r="P35" s="16"/>
      <c r="Q35" s="16"/>
    </row>
    <row r="36" spans="1:17" x14ac:dyDescent="0.25">
      <c r="A36" s="242" t="s">
        <v>2789</v>
      </c>
      <c r="B36" s="24" t="s">
        <v>2715</v>
      </c>
      <c r="C36" s="4" t="s">
        <v>2790</v>
      </c>
      <c r="D36" s="8" t="s">
        <v>2791</v>
      </c>
      <c r="E36" s="8" t="s">
        <v>2713</v>
      </c>
      <c r="F36" s="8" t="s">
        <v>2774</v>
      </c>
      <c r="G36" s="8"/>
      <c r="H36" s="243"/>
      <c r="I36" s="250"/>
      <c r="J36" s="16"/>
      <c r="K36" s="16"/>
      <c r="L36" s="16"/>
      <c r="M36" s="16"/>
      <c r="N36" s="16"/>
      <c r="O36" s="16"/>
      <c r="P36" s="16"/>
      <c r="Q36" s="16"/>
    </row>
    <row r="37" spans="1:17" x14ac:dyDescent="0.25">
      <c r="A37" s="242" t="s">
        <v>1023</v>
      </c>
      <c r="B37" s="24" t="s">
        <v>2770</v>
      </c>
      <c r="C37" s="4" t="s">
        <v>2792</v>
      </c>
      <c r="D37" s="8" t="s">
        <v>2772</v>
      </c>
      <c r="E37" s="8" t="s">
        <v>2780</v>
      </c>
      <c r="F37" s="8" t="s">
        <v>2774</v>
      </c>
      <c r="G37" s="8"/>
      <c r="H37" s="243"/>
      <c r="I37" s="250"/>
      <c r="J37" s="16"/>
      <c r="K37" s="16"/>
      <c r="L37" s="16"/>
      <c r="M37" s="16"/>
      <c r="N37" s="16"/>
      <c r="O37" s="16"/>
      <c r="P37" s="16"/>
      <c r="Q37" s="16"/>
    </row>
    <row r="38" spans="1:17" x14ac:dyDescent="0.25">
      <c r="A38" s="242" t="s">
        <v>2793</v>
      </c>
      <c r="B38" s="24" t="s">
        <v>2715</v>
      </c>
      <c r="C38" s="4" t="s">
        <v>2794</v>
      </c>
      <c r="D38" s="8" t="s">
        <v>2772</v>
      </c>
      <c r="E38" s="8" t="s">
        <v>2773</v>
      </c>
      <c r="F38" s="8" t="s">
        <v>2774</v>
      </c>
      <c r="G38" s="8"/>
      <c r="H38" s="243"/>
      <c r="I38" s="250"/>
      <c r="J38" s="16"/>
      <c r="K38" s="16"/>
      <c r="L38" s="16"/>
      <c r="M38" s="16"/>
      <c r="N38" s="16"/>
      <c r="O38" s="16"/>
      <c r="P38" s="16"/>
      <c r="Q38" s="16"/>
    </row>
    <row r="39" spans="1:17" x14ac:dyDescent="0.25">
      <c r="A39" s="242" t="s">
        <v>2795</v>
      </c>
      <c r="B39" s="24" t="s">
        <v>2720</v>
      </c>
      <c r="C39" s="4" t="s">
        <v>2796</v>
      </c>
      <c r="D39" s="8" t="s">
        <v>2772</v>
      </c>
      <c r="E39" s="8" t="s">
        <v>2773</v>
      </c>
      <c r="F39" s="8" t="s">
        <v>2774</v>
      </c>
      <c r="G39" s="8"/>
      <c r="H39" s="243"/>
      <c r="I39" s="250"/>
      <c r="J39" s="16"/>
      <c r="K39" s="16"/>
      <c r="L39" s="16"/>
      <c r="M39" s="16"/>
      <c r="N39" s="16"/>
      <c r="O39" s="16"/>
      <c r="P39" s="16"/>
      <c r="Q39" s="16"/>
    </row>
    <row r="40" spans="1:17" x14ac:dyDescent="0.25">
      <c r="A40" s="242" t="s">
        <v>127</v>
      </c>
      <c r="B40" s="24" t="s">
        <v>2770</v>
      </c>
      <c r="C40" s="4" t="s">
        <v>2797</v>
      </c>
      <c r="D40" s="8" t="s">
        <v>2772</v>
      </c>
      <c r="E40" s="8" t="s">
        <v>2780</v>
      </c>
      <c r="F40" s="8" t="s">
        <v>2774</v>
      </c>
      <c r="G40" s="8"/>
      <c r="H40" s="243"/>
      <c r="I40" s="250"/>
      <c r="J40" s="16"/>
      <c r="K40" s="16"/>
      <c r="L40" s="16"/>
      <c r="M40" s="16"/>
      <c r="N40" s="16"/>
      <c r="O40" s="16"/>
      <c r="P40" s="16"/>
      <c r="Q40" s="16"/>
    </row>
    <row r="41" spans="1:17" x14ac:dyDescent="0.25">
      <c r="A41" s="242" t="s">
        <v>2798</v>
      </c>
      <c r="B41" s="24" t="s">
        <v>2715</v>
      </c>
      <c r="C41" s="4" t="s">
        <v>2799</v>
      </c>
      <c r="D41" s="8" t="s">
        <v>2772</v>
      </c>
      <c r="E41" s="8" t="s">
        <v>2773</v>
      </c>
      <c r="F41" s="8" t="s">
        <v>2774</v>
      </c>
      <c r="G41" s="8"/>
      <c r="H41" s="243"/>
      <c r="I41" s="250"/>
      <c r="J41" s="16"/>
      <c r="K41" s="16"/>
      <c r="L41" s="16"/>
      <c r="M41" s="16"/>
      <c r="N41" s="16"/>
      <c r="O41" s="16"/>
      <c r="P41" s="16"/>
      <c r="Q41" s="16"/>
    </row>
    <row r="42" spans="1:17" x14ac:dyDescent="0.25">
      <c r="A42" s="242" t="s">
        <v>2800</v>
      </c>
      <c r="B42" s="24" t="s">
        <v>2720</v>
      </c>
      <c r="C42" s="4" t="s">
        <v>2801</v>
      </c>
      <c r="D42" s="8" t="s">
        <v>2772</v>
      </c>
      <c r="E42" s="8" t="s">
        <v>2773</v>
      </c>
      <c r="F42" s="8" t="s">
        <v>2774</v>
      </c>
      <c r="G42" s="8"/>
      <c r="H42" s="243"/>
      <c r="I42" s="250"/>
      <c r="J42" s="16"/>
      <c r="K42" s="16"/>
      <c r="L42" s="16"/>
      <c r="M42" s="16"/>
      <c r="N42" s="16"/>
      <c r="O42" s="16"/>
      <c r="P42" s="16"/>
      <c r="Q42" s="16"/>
    </row>
    <row r="43" spans="1:17" x14ac:dyDescent="0.25">
      <c r="A43" s="242" t="s">
        <v>137</v>
      </c>
      <c r="B43" s="24" t="s">
        <v>2770</v>
      </c>
      <c r="C43" s="4" t="s">
        <v>2802</v>
      </c>
      <c r="D43" s="8" t="s">
        <v>2803</v>
      </c>
      <c r="E43" s="8" t="s">
        <v>2780</v>
      </c>
      <c r="F43" s="8" t="s">
        <v>2774</v>
      </c>
      <c r="G43" s="8"/>
      <c r="H43" s="243"/>
      <c r="I43" s="250"/>
      <c r="J43" s="16"/>
      <c r="K43" s="16"/>
      <c r="L43" s="16"/>
      <c r="M43" s="16"/>
      <c r="N43" s="16"/>
      <c r="O43" s="16"/>
      <c r="P43" s="16"/>
      <c r="Q43" s="16"/>
    </row>
    <row r="44" spans="1:17" x14ac:dyDescent="0.25">
      <c r="A44" s="242" t="s">
        <v>123</v>
      </c>
      <c r="B44" s="24" t="s">
        <v>2770</v>
      </c>
      <c r="C44" s="4" t="s">
        <v>2804</v>
      </c>
      <c r="D44" s="8" t="s">
        <v>2772</v>
      </c>
      <c r="E44" s="8" t="s">
        <v>2780</v>
      </c>
      <c r="F44" s="8" t="s">
        <v>2774</v>
      </c>
      <c r="G44" s="8"/>
      <c r="H44" s="243"/>
      <c r="I44" s="250"/>
      <c r="J44" s="16"/>
      <c r="K44" s="16"/>
      <c r="L44" s="16"/>
      <c r="M44" s="16"/>
      <c r="N44" s="16"/>
      <c r="O44" s="16"/>
      <c r="P44" s="16"/>
      <c r="Q44" s="16"/>
    </row>
    <row r="45" spans="1:17" x14ac:dyDescent="0.25">
      <c r="A45" s="242" t="s">
        <v>717</v>
      </c>
      <c r="B45" s="24" t="s">
        <v>2770</v>
      </c>
      <c r="C45" s="4" t="s">
        <v>2805</v>
      </c>
      <c r="D45" s="8" t="s">
        <v>2772</v>
      </c>
      <c r="E45" s="8" t="s">
        <v>2780</v>
      </c>
      <c r="F45" s="8" t="s">
        <v>2774</v>
      </c>
      <c r="G45" s="8"/>
      <c r="H45" s="243"/>
      <c r="I45" s="250"/>
      <c r="J45" s="16"/>
      <c r="K45" s="16"/>
      <c r="L45" s="16"/>
      <c r="M45" s="16"/>
      <c r="N45" s="16"/>
      <c r="O45" s="16"/>
      <c r="P45" s="16"/>
      <c r="Q45" s="16"/>
    </row>
    <row r="46" spans="1:17" x14ac:dyDescent="0.25">
      <c r="A46" s="242" t="s">
        <v>2806</v>
      </c>
      <c r="B46" s="24" t="s">
        <v>2715</v>
      </c>
      <c r="C46" s="4" t="s">
        <v>2807</v>
      </c>
      <c r="D46" s="8" t="s">
        <v>2772</v>
      </c>
      <c r="E46" s="8" t="s">
        <v>2808</v>
      </c>
      <c r="F46" s="8" t="s">
        <v>2774</v>
      </c>
      <c r="G46" s="8"/>
      <c r="H46" s="243"/>
      <c r="I46" s="250"/>
      <c r="J46" s="16"/>
      <c r="K46" s="16"/>
      <c r="L46" s="16"/>
      <c r="M46" s="16"/>
      <c r="N46" s="16"/>
      <c r="O46" s="16"/>
      <c r="P46" s="16"/>
      <c r="Q46" s="16"/>
    </row>
    <row r="47" spans="1:17" x14ac:dyDescent="0.25">
      <c r="A47" s="242" t="s">
        <v>2809</v>
      </c>
      <c r="B47" s="24" t="s">
        <v>2723</v>
      </c>
      <c r="C47" s="4" t="s">
        <v>2810</v>
      </c>
      <c r="D47" s="8" t="s">
        <v>2772</v>
      </c>
      <c r="E47" s="8"/>
      <c r="F47" s="8" t="s">
        <v>2774</v>
      </c>
      <c r="G47" s="24"/>
      <c r="H47" s="243"/>
      <c r="I47" s="250"/>
      <c r="J47" s="16"/>
      <c r="K47" s="16"/>
      <c r="L47" s="16"/>
      <c r="M47" s="16"/>
      <c r="N47" s="16"/>
      <c r="O47" s="16"/>
      <c r="P47" s="16"/>
      <c r="Q47" s="16"/>
    </row>
    <row r="48" spans="1:17" x14ac:dyDescent="0.25">
      <c r="A48" s="242" t="s">
        <v>2811</v>
      </c>
      <c r="B48" s="24" t="s">
        <v>2770</v>
      </c>
      <c r="C48" s="4" t="s">
        <v>2812</v>
      </c>
      <c r="D48" s="8" t="s">
        <v>2813</v>
      </c>
      <c r="E48" s="8" t="s">
        <v>2713</v>
      </c>
      <c r="F48" s="8" t="s">
        <v>2774</v>
      </c>
      <c r="G48" s="8"/>
      <c r="H48" s="243"/>
      <c r="I48" s="250"/>
      <c r="J48" s="16"/>
      <c r="K48" s="16"/>
      <c r="L48" s="16"/>
      <c r="M48" s="16"/>
      <c r="N48" s="16"/>
      <c r="O48" s="16"/>
      <c r="P48" s="16"/>
      <c r="Q48" s="16"/>
    </row>
    <row r="49" spans="1:17" x14ac:dyDescent="0.25">
      <c r="A49" s="242" t="s">
        <v>2814</v>
      </c>
      <c r="B49" s="24" t="s">
        <v>2770</v>
      </c>
      <c r="C49" s="4" t="s">
        <v>2815</v>
      </c>
      <c r="D49" s="8" t="s">
        <v>2813</v>
      </c>
      <c r="E49" s="8" t="s">
        <v>2713</v>
      </c>
      <c r="F49" s="8" t="s">
        <v>2774</v>
      </c>
      <c r="G49" s="8"/>
      <c r="H49" s="243"/>
      <c r="I49" s="250"/>
      <c r="J49" s="16"/>
      <c r="K49" s="16"/>
      <c r="L49" s="16"/>
      <c r="M49" s="16"/>
      <c r="N49" s="16"/>
      <c r="O49" s="16"/>
      <c r="P49" s="16"/>
      <c r="Q49" s="16"/>
    </row>
    <row r="50" spans="1:17" x14ac:dyDescent="0.25">
      <c r="A50" s="242" t="s">
        <v>434</v>
      </c>
      <c r="B50" s="24" t="s">
        <v>2770</v>
      </c>
      <c r="C50" s="4" t="s">
        <v>2816</v>
      </c>
      <c r="D50" s="8" t="s">
        <v>2772</v>
      </c>
      <c r="E50" s="8" t="s">
        <v>2780</v>
      </c>
      <c r="F50" s="8"/>
      <c r="G50" s="8"/>
      <c r="H50" s="243" t="s">
        <v>2781</v>
      </c>
      <c r="I50" s="250"/>
      <c r="J50" s="16"/>
      <c r="K50" s="16"/>
      <c r="L50" s="16"/>
      <c r="M50" s="16"/>
      <c r="N50" s="16"/>
      <c r="O50" s="16"/>
      <c r="P50" s="16"/>
      <c r="Q50" s="16"/>
    </row>
    <row r="51" spans="1:17" x14ac:dyDescent="0.25">
      <c r="A51" s="242" t="s">
        <v>246</v>
      </c>
      <c r="B51" s="24" t="s">
        <v>2770</v>
      </c>
      <c r="C51" s="4" t="s">
        <v>2817</v>
      </c>
      <c r="D51" s="8" t="s">
        <v>2772</v>
      </c>
      <c r="E51" s="8" t="s">
        <v>2780</v>
      </c>
      <c r="F51" s="8"/>
      <c r="G51" s="8"/>
      <c r="H51" s="243" t="s">
        <v>2781</v>
      </c>
      <c r="I51" s="250"/>
      <c r="J51" s="16"/>
      <c r="K51" s="16"/>
      <c r="L51" s="16"/>
      <c r="M51" s="16"/>
      <c r="N51" s="16"/>
      <c r="O51" s="16"/>
      <c r="P51" s="16"/>
      <c r="Q51" s="16"/>
    </row>
    <row r="52" spans="1:17" x14ac:dyDescent="0.25">
      <c r="A52" s="242" t="s">
        <v>2818</v>
      </c>
      <c r="B52" s="24" t="s">
        <v>2715</v>
      </c>
      <c r="C52" s="4" t="s">
        <v>2819</v>
      </c>
      <c r="D52" s="8" t="s">
        <v>2820</v>
      </c>
      <c r="E52" s="8" t="s">
        <v>2713</v>
      </c>
      <c r="F52" s="8" t="s">
        <v>2774</v>
      </c>
      <c r="G52" s="8"/>
      <c r="H52" s="243"/>
      <c r="I52" s="250"/>
      <c r="J52" s="16"/>
      <c r="K52" s="16"/>
      <c r="L52" s="16"/>
      <c r="M52" s="16"/>
      <c r="N52" s="16"/>
      <c r="O52" s="16"/>
      <c r="P52" s="16"/>
      <c r="Q52" s="16"/>
    </row>
    <row r="53" spans="1:17" x14ac:dyDescent="0.25">
      <c r="A53" s="242" t="s">
        <v>2821</v>
      </c>
      <c r="B53" s="24" t="s">
        <v>2723</v>
      </c>
      <c r="C53" s="4" t="s">
        <v>2822</v>
      </c>
      <c r="D53" s="8" t="s">
        <v>2820</v>
      </c>
      <c r="E53" s="8"/>
      <c r="F53" s="8" t="s">
        <v>2774</v>
      </c>
      <c r="G53" s="24" t="s">
        <v>2823</v>
      </c>
      <c r="H53" s="243"/>
      <c r="I53" s="250"/>
      <c r="J53" s="16"/>
      <c r="K53" s="16"/>
      <c r="L53" s="16"/>
      <c r="M53" s="16"/>
      <c r="N53" s="16"/>
      <c r="O53" s="16"/>
      <c r="P53" s="16"/>
      <c r="Q53" s="16"/>
    </row>
    <row r="54" spans="1:17" x14ac:dyDescent="0.25">
      <c r="A54" s="242" t="s">
        <v>2824</v>
      </c>
      <c r="B54" s="24" t="s">
        <v>2732</v>
      </c>
      <c r="C54" s="4" t="s">
        <v>2825</v>
      </c>
      <c r="D54" s="8" t="s">
        <v>2820</v>
      </c>
      <c r="E54" s="8"/>
      <c r="F54" s="8" t="s">
        <v>2774</v>
      </c>
      <c r="G54" s="24"/>
      <c r="H54" s="243"/>
      <c r="I54" s="250"/>
      <c r="J54" s="16"/>
      <c r="K54" s="16"/>
      <c r="L54" s="16"/>
      <c r="M54" s="16"/>
      <c r="N54" s="16"/>
      <c r="O54" s="16"/>
      <c r="P54" s="16"/>
      <c r="Q54" s="16"/>
    </row>
    <row r="55" spans="1:17" x14ac:dyDescent="0.25">
      <c r="A55" s="242" t="s">
        <v>2826</v>
      </c>
      <c r="B55" s="24" t="s">
        <v>2715</v>
      </c>
      <c r="C55" s="4" t="s">
        <v>2827</v>
      </c>
      <c r="D55" s="8" t="s">
        <v>2772</v>
      </c>
      <c r="E55" s="8" t="s">
        <v>2828</v>
      </c>
      <c r="F55" s="8" t="s">
        <v>2774</v>
      </c>
      <c r="G55" s="8"/>
      <c r="H55" s="243"/>
      <c r="I55" s="250"/>
      <c r="J55" s="16"/>
      <c r="K55" s="16"/>
      <c r="L55" s="16"/>
      <c r="M55" s="16"/>
      <c r="N55" s="16"/>
      <c r="O55" s="16"/>
      <c r="P55" s="16"/>
      <c r="Q55" s="16"/>
    </row>
    <row r="56" spans="1:17" x14ac:dyDescent="0.25">
      <c r="A56" s="242" t="s">
        <v>2829</v>
      </c>
      <c r="B56" s="24" t="s">
        <v>2830</v>
      </c>
      <c r="C56" s="4" t="s">
        <v>2831</v>
      </c>
      <c r="D56" s="8" t="s">
        <v>2832</v>
      </c>
      <c r="E56" s="8" t="s">
        <v>2833</v>
      </c>
      <c r="F56" s="8" t="s">
        <v>2774</v>
      </c>
      <c r="G56" s="8"/>
      <c r="H56" s="243"/>
      <c r="I56" s="250"/>
      <c r="J56" s="16"/>
      <c r="K56" s="16"/>
      <c r="L56" s="16"/>
      <c r="M56" s="16"/>
      <c r="N56" s="16"/>
      <c r="O56" s="16"/>
      <c r="P56" s="16"/>
      <c r="Q56" s="16"/>
    </row>
    <row r="57" spans="1:17" x14ac:dyDescent="0.25">
      <c r="A57" s="242" t="s">
        <v>863</v>
      </c>
      <c r="B57" s="24" t="s">
        <v>2770</v>
      </c>
      <c r="C57" s="4" t="s">
        <v>2834</v>
      </c>
      <c r="D57" s="8" t="s">
        <v>2772</v>
      </c>
      <c r="E57" s="8" t="s">
        <v>2780</v>
      </c>
      <c r="F57" s="8" t="s">
        <v>2774</v>
      </c>
      <c r="G57" s="8"/>
      <c r="H57" s="243" t="s">
        <v>2835</v>
      </c>
      <c r="I57" s="250"/>
      <c r="J57" s="16"/>
      <c r="K57" s="16"/>
      <c r="L57" s="16"/>
      <c r="M57" s="16"/>
      <c r="N57" s="16"/>
      <c r="O57" s="16"/>
      <c r="P57" s="16"/>
      <c r="Q57" s="16"/>
    </row>
    <row r="58" spans="1:17" x14ac:dyDescent="0.25">
      <c r="A58" s="242" t="s">
        <v>2836</v>
      </c>
      <c r="B58" s="24" t="s">
        <v>2715</v>
      </c>
      <c r="C58" s="4" t="s">
        <v>2837</v>
      </c>
      <c r="D58" s="8" t="s">
        <v>2772</v>
      </c>
      <c r="E58" s="8" t="s">
        <v>2773</v>
      </c>
      <c r="F58" s="8" t="s">
        <v>2774</v>
      </c>
      <c r="G58" s="8"/>
      <c r="H58" s="243"/>
      <c r="I58" s="250"/>
      <c r="J58" s="16"/>
      <c r="K58" s="16"/>
      <c r="L58" s="16"/>
      <c r="M58" s="16"/>
      <c r="N58" s="16"/>
      <c r="O58" s="16"/>
      <c r="P58" s="16"/>
      <c r="Q58" s="16"/>
    </row>
    <row r="59" spans="1:17" x14ac:dyDescent="0.25">
      <c r="A59" s="242" t="s">
        <v>2838</v>
      </c>
      <c r="B59" s="24" t="s">
        <v>2720</v>
      </c>
      <c r="C59" s="4" t="s">
        <v>2839</v>
      </c>
      <c r="D59" s="8" t="s">
        <v>2772</v>
      </c>
      <c r="E59" s="8" t="s">
        <v>2773</v>
      </c>
      <c r="F59" s="8" t="s">
        <v>2774</v>
      </c>
      <c r="G59" s="24" t="s">
        <v>2840</v>
      </c>
      <c r="H59" s="243"/>
      <c r="I59" s="250"/>
      <c r="J59" s="16"/>
      <c r="K59" s="16"/>
      <c r="L59" s="16"/>
      <c r="M59" s="16"/>
      <c r="N59" s="16"/>
      <c r="O59" s="16"/>
      <c r="P59" s="16"/>
      <c r="Q59" s="16"/>
    </row>
    <row r="60" spans="1:17" x14ac:dyDescent="0.25">
      <c r="A60" s="242" t="s">
        <v>159</v>
      </c>
      <c r="B60" s="24" t="s">
        <v>2770</v>
      </c>
      <c r="C60" s="4" t="s">
        <v>2841</v>
      </c>
      <c r="D60" s="8" t="s">
        <v>2772</v>
      </c>
      <c r="E60" s="8" t="s">
        <v>2773</v>
      </c>
      <c r="F60" s="8" t="s">
        <v>2774</v>
      </c>
      <c r="G60" s="8"/>
      <c r="H60" s="243"/>
      <c r="I60" s="250"/>
      <c r="J60" s="16"/>
      <c r="K60" s="16"/>
      <c r="L60" s="16"/>
      <c r="M60" s="16"/>
      <c r="N60" s="16"/>
      <c r="O60" s="16"/>
      <c r="P60" s="16"/>
      <c r="Q60" s="16"/>
    </row>
    <row r="61" spans="1:17" x14ac:dyDescent="0.25">
      <c r="A61" s="242" t="s">
        <v>2842</v>
      </c>
      <c r="B61" s="24" t="s">
        <v>2715</v>
      </c>
      <c r="C61" s="4" t="s">
        <v>2843</v>
      </c>
      <c r="D61" s="8" t="s">
        <v>2772</v>
      </c>
      <c r="E61" s="8" t="s">
        <v>2808</v>
      </c>
      <c r="F61" s="8" t="s">
        <v>2774</v>
      </c>
      <c r="G61" s="8"/>
      <c r="H61" s="243"/>
      <c r="I61" s="250"/>
      <c r="J61" s="16"/>
      <c r="K61" s="16"/>
      <c r="L61" s="16"/>
      <c r="M61" s="16"/>
      <c r="N61" s="16"/>
      <c r="O61" s="16"/>
      <c r="P61" s="16"/>
      <c r="Q61" s="16"/>
    </row>
    <row r="62" spans="1:17" x14ac:dyDescent="0.25">
      <c r="A62" s="242" t="s">
        <v>2844</v>
      </c>
      <c r="B62" s="24" t="s">
        <v>2723</v>
      </c>
      <c r="C62" s="4" t="s">
        <v>2845</v>
      </c>
      <c r="D62" s="8" t="s">
        <v>2772</v>
      </c>
      <c r="E62" s="8"/>
      <c r="F62" s="8" t="s">
        <v>2774</v>
      </c>
      <c r="G62" s="24" t="s">
        <v>2846</v>
      </c>
      <c r="H62" s="243"/>
      <c r="I62" s="250"/>
      <c r="J62" s="16"/>
      <c r="K62" s="16"/>
      <c r="L62" s="16"/>
      <c r="M62" s="16"/>
      <c r="N62" s="16"/>
      <c r="O62" s="16"/>
      <c r="P62" s="16"/>
      <c r="Q62" s="16"/>
    </row>
    <row r="63" spans="1:17" x14ac:dyDescent="0.25">
      <c r="A63" s="242" t="s">
        <v>2847</v>
      </c>
      <c r="B63" s="24" t="s">
        <v>2715</v>
      </c>
      <c r="C63" s="28" t="s">
        <v>2848</v>
      </c>
      <c r="D63" s="8" t="s">
        <v>2849</v>
      </c>
      <c r="E63" s="8" t="s">
        <v>2717</v>
      </c>
      <c r="F63" s="8" t="s">
        <v>2774</v>
      </c>
      <c r="G63" s="8"/>
      <c r="H63" s="243" t="s">
        <v>2718</v>
      </c>
      <c r="I63" s="250"/>
      <c r="J63" s="16"/>
      <c r="K63" s="16"/>
      <c r="L63" s="16"/>
      <c r="M63" s="16"/>
      <c r="N63" s="16"/>
      <c r="O63" s="16"/>
      <c r="P63" s="16"/>
      <c r="Q63" s="16"/>
    </row>
    <row r="64" spans="1:17" x14ac:dyDescent="0.25">
      <c r="A64" s="242" t="s">
        <v>1648</v>
      </c>
      <c r="B64" s="24" t="s">
        <v>2770</v>
      </c>
      <c r="C64" s="28" t="s">
        <v>2850</v>
      </c>
      <c r="D64" s="8" t="s">
        <v>2849</v>
      </c>
      <c r="E64" s="8" t="s">
        <v>2808</v>
      </c>
      <c r="F64" s="8" t="s">
        <v>2774</v>
      </c>
      <c r="G64" s="8"/>
      <c r="H64" s="243" t="s">
        <v>2781</v>
      </c>
      <c r="I64" s="250"/>
      <c r="J64" s="16"/>
      <c r="K64" s="16"/>
      <c r="L64" s="16"/>
      <c r="M64" s="16"/>
      <c r="N64" s="16"/>
      <c r="O64" s="16"/>
      <c r="P64" s="16"/>
      <c r="Q64" s="16"/>
    </row>
    <row r="65" spans="1:17" x14ac:dyDescent="0.25">
      <c r="A65" s="242" t="s">
        <v>2851</v>
      </c>
      <c r="B65" s="24" t="s">
        <v>2715</v>
      </c>
      <c r="C65" s="4" t="s">
        <v>2852</v>
      </c>
      <c r="D65" s="8" t="s">
        <v>2803</v>
      </c>
      <c r="E65" s="8" t="s">
        <v>2808</v>
      </c>
      <c r="F65" s="8" t="s">
        <v>2774</v>
      </c>
      <c r="G65" s="8"/>
      <c r="H65" s="243"/>
      <c r="I65" s="250"/>
      <c r="J65" s="16"/>
      <c r="K65" s="16"/>
      <c r="L65" s="16"/>
      <c r="M65" s="16"/>
      <c r="N65" s="16"/>
      <c r="O65" s="16"/>
      <c r="P65" s="16"/>
      <c r="Q65" s="16"/>
    </row>
    <row r="66" spans="1:17" x14ac:dyDescent="0.25">
      <c r="A66" s="242" t="s">
        <v>2853</v>
      </c>
      <c r="B66" s="24" t="s">
        <v>2720</v>
      </c>
      <c r="C66" s="4" t="s">
        <v>2854</v>
      </c>
      <c r="D66" s="8" t="s">
        <v>2803</v>
      </c>
      <c r="E66" s="8"/>
      <c r="F66" s="8" t="s">
        <v>2774</v>
      </c>
      <c r="G66" s="24" t="s">
        <v>2855</v>
      </c>
      <c r="H66" s="243"/>
      <c r="I66" s="250"/>
      <c r="J66" s="16"/>
      <c r="K66" s="16"/>
      <c r="L66" s="16"/>
      <c r="M66" s="16"/>
      <c r="N66" s="16"/>
      <c r="O66" s="16"/>
      <c r="P66" s="16"/>
      <c r="Q66" s="16"/>
    </row>
    <row r="67" spans="1:17" x14ac:dyDescent="0.25">
      <c r="A67" s="242" t="s">
        <v>2856</v>
      </c>
      <c r="B67" s="24" t="s">
        <v>2723</v>
      </c>
      <c r="C67" s="4" t="s">
        <v>2857</v>
      </c>
      <c r="D67" s="8" t="s">
        <v>2803</v>
      </c>
      <c r="E67" s="8"/>
      <c r="F67" s="8" t="s">
        <v>2774</v>
      </c>
      <c r="G67" s="24" t="s">
        <v>2858</v>
      </c>
      <c r="H67" s="243"/>
      <c r="I67" s="250"/>
      <c r="J67" s="16"/>
      <c r="K67" s="16"/>
      <c r="L67" s="16"/>
      <c r="M67" s="16"/>
      <c r="N67" s="16"/>
      <c r="O67" s="16"/>
      <c r="P67" s="16"/>
      <c r="Q67" s="16"/>
    </row>
    <row r="68" spans="1:17" x14ac:dyDescent="0.25">
      <c r="A68" s="242" t="s">
        <v>2859</v>
      </c>
      <c r="B68" s="24" t="s">
        <v>2726</v>
      </c>
      <c r="C68" s="4" t="s">
        <v>2860</v>
      </c>
      <c r="D68" s="8" t="s">
        <v>2803</v>
      </c>
      <c r="E68" s="8"/>
      <c r="F68" s="8" t="s">
        <v>2774</v>
      </c>
      <c r="G68" s="24" t="s">
        <v>2861</v>
      </c>
      <c r="H68" s="243"/>
      <c r="I68" s="250"/>
      <c r="J68" s="16"/>
      <c r="K68" s="16"/>
      <c r="L68" s="16"/>
      <c r="M68" s="16"/>
      <c r="N68" s="16"/>
      <c r="O68" s="16"/>
      <c r="P68" s="16"/>
      <c r="Q68" s="16"/>
    </row>
    <row r="69" spans="1:17" x14ac:dyDescent="0.25">
      <c r="A69" s="242" t="s">
        <v>2862</v>
      </c>
      <c r="B69" s="24" t="s">
        <v>2729</v>
      </c>
      <c r="C69" s="4" t="s">
        <v>2863</v>
      </c>
      <c r="D69" s="8" t="s">
        <v>2803</v>
      </c>
      <c r="E69" s="8"/>
      <c r="F69" s="8" t="s">
        <v>2774</v>
      </c>
      <c r="G69" s="24" t="s">
        <v>2864</v>
      </c>
      <c r="H69" s="243"/>
      <c r="I69" s="250"/>
      <c r="J69" s="16"/>
      <c r="K69" s="16"/>
      <c r="L69" s="16"/>
      <c r="M69" s="16"/>
      <c r="N69" s="16"/>
      <c r="O69" s="16"/>
      <c r="P69" s="16"/>
      <c r="Q69" s="16"/>
    </row>
    <row r="70" spans="1:17" x14ac:dyDescent="0.25">
      <c r="A70" s="242" t="s">
        <v>148</v>
      </c>
      <c r="B70" s="24" t="s">
        <v>2770</v>
      </c>
      <c r="C70" s="4" t="s">
        <v>2865</v>
      </c>
      <c r="D70" s="8" t="s">
        <v>2803</v>
      </c>
      <c r="E70" s="8" t="s">
        <v>2808</v>
      </c>
      <c r="F70" s="8" t="s">
        <v>2774</v>
      </c>
      <c r="G70" s="8"/>
      <c r="H70" s="243"/>
      <c r="I70" s="250"/>
      <c r="J70" s="16"/>
      <c r="K70" s="16"/>
      <c r="L70" s="16"/>
      <c r="M70" s="16"/>
      <c r="N70" s="16"/>
      <c r="O70" s="16"/>
      <c r="P70" s="16"/>
      <c r="Q70" s="16"/>
    </row>
    <row r="71" spans="1:17" x14ac:dyDescent="0.25">
      <c r="A71" s="242" t="s">
        <v>1565</v>
      </c>
      <c r="B71" s="24" t="s">
        <v>2770</v>
      </c>
      <c r="C71" s="4" t="s">
        <v>2866</v>
      </c>
      <c r="D71" s="8" t="s">
        <v>2803</v>
      </c>
      <c r="E71" s="8" t="s">
        <v>2808</v>
      </c>
      <c r="F71" s="8" t="s">
        <v>2774</v>
      </c>
      <c r="G71" s="8"/>
      <c r="H71" s="243"/>
      <c r="I71" s="253"/>
      <c r="J71" s="17"/>
      <c r="K71" s="17"/>
      <c r="L71" s="17"/>
      <c r="M71" s="17"/>
      <c r="N71" s="17"/>
      <c r="O71" s="17"/>
      <c r="P71" s="17"/>
      <c r="Q71" s="17"/>
    </row>
    <row r="72" spans="1:17" x14ac:dyDescent="0.25">
      <c r="A72" s="242" t="s">
        <v>2867</v>
      </c>
      <c r="B72" s="24" t="s">
        <v>2715</v>
      </c>
      <c r="C72" s="4" t="s">
        <v>2868</v>
      </c>
      <c r="D72" s="8" t="s">
        <v>2803</v>
      </c>
      <c r="E72" s="8" t="s">
        <v>2713</v>
      </c>
      <c r="F72" s="8" t="s">
        <v>2774</v>
      </c>
      <c r="G72" s="8"/>
      <c r="H72" s="243"/>
      <c r="I72" s="250"/>
      <c r="J72" s="16"/>
      <c r="K72" s="16"/>
      <c r="L72" s="16"/>
      <c r="M72" s="16"/>
      <c r="N72" s="16"/>
      <c r="O72" s="16"/>
      <c r="P72" s="16"/>
      <c r="Q72" s="16"/>
    </row>
    <row r="73" spans="1:17" x14ac:dyDescent="0.25">
      <c r="A73" s="242" t="s">
        <v>2869</v>
      </c>
      <c r="B73" s="24" t="s">
        <v>2715</v>
      </c>
      <c r="C73" s="4" t="s">
        <v>2870</v>
      </c>
      <c r="D73" s="8" t="s">
        <v>2772</v>
      </c>
      <c r="E73" s="8" t="s">
        <v>2713</v>
      </c>
      <c r="F73" s="8" t="s">
        <v>2774</v>
      </c>
      <c r="G73" s="8"/>
      <c r="H73" s="243" t="s">
        <v>2871</v>
      </c>
      <c r="I73" s="250"/>
      <c r="J73" s="16"/>
      <c r="K73" s="16"/>
      <c r="L73" s="16"/>
      <c r="M73" s="16"/>
      <c r="N73" s="16"/>
      <c r="O73" s="16"/>
      <c r="P73" s="16"/>
      <c r="Q73" s="16"/>
    </row>
    <row r="74" spans="1:17" x14ac:dyDescent="0.25">
      <c r="A74" s="242" t="s">
        <v>2872</v>
      </c>
      <c r="B74" s="24" t="s">
        <v>2720</v>
      </c>
      <c r="C74" s="4" t="s">
        <v>2873</v>
      </c>
      <c r="D74" s="8" t="s">
        <v>2772</v>
      </c>
      <c r="E74" s="8"/>
      <c r="F74" s="8" t="s">
        <v>2774</v>
      </c>
      <c r="G74" s="24"/>
      <c r="H74" s="243" t="s">
        <v>2871</v>
      </c>
      <c r="I74" s="250"/>
      <c r="J74" s="16"/>
      <c r="K74" s="16"/>
      <c r="L74" s="16"/>
      <c r="M74" s="16"/>
      <c r="N74" s="16"/>
      <c r="O74" s="16"/>
      <c r="P74" s="16"/>
      <c r="Q74" s="16"/>
    </row>
    <row r="75" spans="1:17" x14ac:dyDescent="0.25">
      <c r="A75" s="242" t="s">
        <v>2874</v>
      </c>
      <c r="B75" s="24" t="s">
        <v>2723</v>
      </c>
      <c r="C75" s="4" t="s">
        <v>2875</v>
      </c>
      <c r="D75" s="8" t="s">
        <v>2772</v>
      </c>
      <c r="E75" s="8"/>
      <c r="F75" s="8" t="s">
        <v>2774</v>
      </c>
      <c r="G75" s="24"/>
      <c r="H75" s="243" t="s">
        <v>2871</v>
      </c>
      <c r="I75" s="250"/>
      <c r="J75" s="16"/>
      <c r="K75" s="16"/>
      <c r="L75" s="16"/>
      <c r="M75" s="16"/>
      <c r="N75" s="16"/>
      <c r="O75" s="16"/>
      <c r="P75" s="16"/>
      <c r="Q75" s="16"/>
    </row>
    <row r="76" spans="1:17" x14ac:dyDescent="0.25">
      <c r="A76" s="242" t="s">
        <v>2876</v>
      </c>
      <c r="B76" s="24" t="s">
        <v>2726</v>
      </c>
      <c r="C76" s="4" t="s">
        <v>2877</v>
      </c>
      <c r="D76" s="8" t="s">
        <v>2772</v>
      </c>
      <c r="E76" s="8"/>
      <c r="F76" s="8" t="s">
        <v>2774</v>
      </c>
      <c r="G76" s="24"/>
      <c r="H76" s="243" t="s">
        <v>2871</v>
      </c>
      <c r="I76" s="250"/>
      <c r="J76" s="16"/>
      <c r="K76" s="16"/>
      <c r="L76" s="16"/>
      <c r="M76" s="16"/>
      <c r="N76" s="16"/>
      <c r="O76" s="16"/>
      <c r="P76" s="16"/>
      <c r="Q76" s="16"/>
    </row>
    <row r="77" spans="1:17" x14ac:dyDescent="0.25">
      <c r="A77" s="242" t="s">
        <v>2878</v>
      </c>
      <c r="B77" s="24" t="s">
        <v>2729</v>
      </c>
      <c r="C77" s="4" t="s">
        <v>2879</v>
      </c>
      <c r="D77" s="8" t="s">
        <v>2772</v>
      </c>
      <c r="E77" s="8"/>
      <c r="F77" s="8" t="s">
        <v>2774</v>
      </c>
      <c r="G77" s="24"/>
      <c r="H77" s="243" t="s">
        <v>2871</v>
      </c>
      <c r="I77" s="250"/>
      <c r="J77" s="16"/>
      <c r="K77" s="16"/>
      <c r="L77" s="16"/>
      <c r="M77" s="16"/>
      <c r="N77" s="16"/>
      <c r="O77" s="16"/>
      <c r="P77" s="16"/>
      <c r="Q77" s="16"/>
    </row>
    <row r="78" spans="1:17" x14ac:dyDescent="0.25">
      <c r="A78" s="242"/>
      <c r="B78" s="24"/>
      <c r="C78" s="4"/>
      <c r="D78" s="8"/>
      <c r="E78" s="8"/>
      <c r="F78" s="8"/>
      <c r="G78" s="8"/>
      <c r="H78" s="243"/>
      <c r="I78" s="254"/>
      <c r="J78" s="18"/>
      <c r="K78" s="18"/>
      <c r="L78" s="18"/>
      <c r="M78" s="18"/>
      <c r="N78" s="18"/>
      <c r="O78" s="18"/>
      <c r="P78" s="18"/>
      <c r="Q78" s="18"/>
    </row>
    <row r="79" spans="1:17" x14ac:dyDescent="0.25">
      <c r="A79" s="242"/>
      <c r="B79" s="24"/>
      <c r="C79" s="4"/>
      <c r="D79" s="8"/>
      <c r="E79" s="8"/>
      <c r="F79" s="8"/>
      <c r="G79" s="8"/>
      <c r="H79" s="243"/>
      <c r="I79" s="250"/>
      <c r="J79" s="16"/>
      <c r="K79" s="16"/>
      <c r="L79" s="16"/>
      <c r="M79" s="16"/>
      <c r="N79" s="16"/>
      <c r="O79" s="16"/>
      <c r="P79" s="16"/>
      <c r="Q79" s="16"/>
    </row>
    <row r="80" spans="1:17" x14ac:dyDescent="0.25">
      <c r="A80" s="242" t="s">
        <v>2880</v>
      </c>
      <c r="B80" s="24" t="s">
        <v>2881</v>
      </c>
      <c r="C80" s="4" t="s">
        <v>2882</v>
      </c>
      <c r="D80" s="8" t="s">
        <v>2883</v>
      </c>
      <c r="E80" s="8" t="s">
        <v>2884</v>
      </c>
      <c r="F80" s="8" t="s">
        <v>2774</v>
      </c>
      <c r="G80" s="8" t="s">
        <v>2885</v>
      </c>
      <c r="H80" s="243"/>
      <c r="I80" s="250"/>
      <c r="J80" s="16"/>
      <c r="K80" s="16"/>
      <c r="L80" s="16"/>
      <c r="M80" s="16"/>
      <c r="N80" s="16"/>
      <c r="O80" s="16"/>
      <c r="P80" s="16"/>
      <c r="Q80" s="16"/>
    </row>
    <row r="81" spans="1:17" x14ac:dyDescent="0.25">
      <c r="A81" s="242" t="s">
        <v>2886</v>
      </c>
      <c r="B81" s="24" t="s">
        <v>2881</v>
      </c>
      <c r="C81" s="4" t="s">
        <v>2887</v>
      </c>
      <c r="D81" s="8" t="s">
        <v>2883</v>
      </c>
      <c r="E81" s="8" t="s">
        <v>2884</v>
      </c>
      <c r="F81" s="8" t="s">
        <v>2774</v>
      </c>
      <c r="G81" s="8" t="s">
        <v>2885</v>
      </c>
      <c r="H81" s="243"/>
      <c r="I81" s="250"/>
      <c r="J81" s="16"/>
      <c r="K81" s="16"/>
      <c r="L81" s="16"/>
      <c r="M81" s="16"/>
      <c r="N81" s="16"/>
      <c r="O81" s="16"/>
      <c r="P81" s="16"/>
      <c r="Q81" s="16"/>
    </row>
    <row r="82" spans="1:17" x14ac:dyDescent="0.25">
      <c r="A82" s="242" t="s">
        <v>2888</v>
      </c>
      <c r="B82" s="24" t="s">
        <v>2881</v>
      </c>
      <c r="C82" s="4" t="s">
        <v>2889</v>
      </c>
      <c r="D82" s="8" t="s">
        <v>2883</v>
      </c>
      <c r="E82" s="8" t="s">
        <v>2884</v>
      </c>
      <c r="F82" s="8" t="s">
        <v>2774</v>
      </c>
      <c r="G82" s="8" t="s">
        <v>2885</v>
      </c>
      <c r="H82" s="243"/>
      <c r="I82" s="250"/>
      <c r="J82" s="16"/>
      <c r="K82" s="16"/>
      <c r="L82" s="16"/>
      <c r="M82" s="16"/>
      <c r="N82" s="16"/>
      <c r="O82" s="16"/>
      <c r="P82" s="16"/>
      <c r="Q82" s="16"/>
    </row>
    <row r="83" spans="1:17" x14ac:dyDescent="0.25">
      <c r="A83" s="242" t="s">
        <v>2890</v>
      </c>
      <c r="B83" s="24" t="s">
        <v>2881</v>
      </c>
      <c r="C83" s="4" t="s">
        <v>2891</v>
      </c>
      <c r="D83" s="8" t="s">
        <v>2883</v>
      </c>
      <c r="E83" s="8" t="s">
        <v>2884</v>
      </c>
      <c r="F83" s="8" t="s">
        <v>2774</v>
      </c>
      <c r="G83" s="8" t="s">
        <v>2885</v>
      </c>
      <c r="H83" s="243"/>
      <c r="I83" s="250"/>
      <c r="J83" s="16"/>
      <c r="K83" s="16"/>
      <c r="L83" s="16"/>
      <c r="M83" s="16"/>
      <c r="N83" s="16"/>
      <c r="O83" s="16"/>
      <c r="P83" s="16"/>
      <c r="Q83" s="16"/>
    </row>
    <row r="84" spans="1:17" x14ac:dyDescent="0.25">
      <c r="A84" s="242" t="s">
        <v>2223</v>
      </c>
      <c r="B84" s="24" t="s">
        <v>2881</v>
      </c>
      <c r="C84" s="4" t="s">
        <v>2892</v>
      </c>
      <c r="D84" s="8" t="s">
        <v>2883</v>
      </c>
      <c r="E84" s="8" t="s">
        <v>2884</v>
      </c>
      <c r="F84" s="8" t="s">
        <v>2774</v>
      </c>
      <c r="G84" s="8" t="s">
        <v>2893</v>
      </c>
      <c r="H84" s="243"/>
      <c r="I84" s="250"/>
      <c r="J84" s="16"/>
      <c r="K84" s="16"/>
      <c r="L84" s="16"/>
      <c r="M84" s="16"/>
      <c r="N84" s="16"/>
      <c r="O84" s="16"/>
      <c r="P84" s="16"/>
      <c r="Q84" s="16"/>
    </row>
    <row r="85" spans="1:17" x14ac:dyDescent="0.25">
      <c r="A85" s="242" t="s">
        <v>2273</v>
      </c>
      <c r="B85" s="24" t="s">
        <v>2881</v>
      </c>
      <c r="C85" s="4" t="s">
        <v>2894</v>
      </c>
      <c r="D85" s="8" t="s">
        <v>2883</v>
      </c>
      <c r="E85" s="8" t="s">
        <v>2884</v>
      </c>
      <c r="F85" s="8" t="s">
        <v>2774</v>
      </c>
      <c r="G85" s="8" t="s">
        <v>2893</v>
      </c>
      <c r="H85" s="243"/>
      <c r="I85" s="250"/>
      <c r="J85" s="16"/>
      <c r="K85" s="16"/>
      <c r="L85" s="16"/>
      <c r="M85" s="16"/>
      <c r="N85" s="16"/>
      <c r="O85" s="16"/>
      <c r="P85" s="16"/>
      <c r="Q85" s="16"/>
    </row>
    <row r="86" spans="1:17" x14ac:dyDescent="0.25">
      <c r="A86" s="242" t="s">
        <v>2895</v>
      </c>
      <c r="B86" s="24" t="s">
        <v>2881</v>
      </c>
      <c r="C86" s="4" t="s">
        <v>2896</v>
      </c>
      <c r="D86" s="8" t="s">
        <v>2883</v>
      </c>
      <c r="E86" s="8" t="s">
        <v>2884</v>
      </c>
      <c r="F86" s="8" t="s">
        <v>2774</v>
      </c>
      <c r="G86" s="8" t="s">
        <v>2897</v>
      </c>
      <c r="H86" s="243"/>
      <c r="I86" s="250"/>
      <c r="J86" s="16"/>
      <c r="K86" s="16"/>
      <c r="L86" s="16"/>
      <c r="M86" s="16"/>
      <c r="N86" s="16"/>
      <c r="O86" s="16"/>
      <c r="P86" s="16"/>
      <c r="Q86" s="16"/>
    </row>
    <row r="87" spans="1:17" x14ac:dyDescent="0.25">
      <c r="A87" s="242" t="s">
        <v>2898</v>
      </c>
      <c r="B87" s="24" t="s">
        <v>2881</v>
      </c>
      <c r="C87" s="4" t="s">
        <v>2899</v>
      </c>
      <c r="D87" s="8" t="s">
        <v>2883</v>
      </c>
      <c r="E87" s="8" t="s">
        <v>2884</v>
      </c>
      <c r="F87" s="8" t="s">
        <v>2774</v>
      </c>
      <c r="G87" s="8" t="s">
        <v>2897</v>
      </c>
      <c r="H87" s="243"/>
      <c r="I87" s="250"/>
      <c r="J87" s="16"/>
      <c r="K87" s="16"/>
      <c r="L87" s="16"/>
      <c r="M87" s="16"/>
      <c r="N87" s="16"/>
      <c r="O87" s="16"/>
      <c r="P87" s="16"/>
      <c r="Q87" s="16"/>
    </row>
    <row r="88" spans="1:17" x14ac:dyDescent="0.25">
      <c r="A88" s="242" t="s">
        <v>2320</v>
      </c>
      <c r="B88" s="24" t="s">
        <v>2881</v>
      </c>
      <c r="C88" s="4" t="s">
        <v>2900</v>
      </c>
      <c r="D88" s="8" t="s">
        <v>2883</v>
      </c>
      <c r="E88" s="8" t="s">
        <v>2884</v>
      </c>
      <c r="F88" s="8" t="s">
        <v>2774</v>
      </c>
      <c r="G88" s="8" t="s">
        <v>2901</v>
      </c>
      <c r="H88" s="243"/>
      <c r="I88" s="250"/>
      <c r="J88" s="16"/>
      <c r="K88" s="16"/>
      <c r="L88" s="16"/>
      <c r="M88" s="16"/>
      <c r="N88" s="16"/>
      <c r="O88" s="16"/>
      <c r="P88" s="16"/>
      <c r="Q88" s="16"/>
    </row>
    <row r="89" spans="1:17" x14ac:dyDescent="0.25">
      <c r="A89" s="242" t="s">
        <v>2379</v>
      </c>
      <c r="B89" s="24" t="s">
        <v>2881</v>
      </c>
      <c r="C89" s="4" t="s">
        <v>2902</v>
      </c>
      <c r="D89" s="8" t="s">
        <v>2883</v>
      </c>
      <c r="E89" s="8" t="s">
        <v>2884</v>
      </c>
      <c r="F89" s="8" t="s">
        <v>2774</v>
      </c>
      <c r="G89" s="8" t="s">
        <v>2901</v>
      </c>
      <c r="H89" s="243"/>
      <c r="I89" s="250"/>
      <c r="J89" s="16"/>
      <c r="K89" s="16"/>
      <c r="L89" s="16"/>
      <c r="M89" s="16"/>
      <c r="N89" s="16"/>
      <c r="O89" s="16"/>
      <c r="P89" s="16"/>
      <c r="Q89" s="16"/>
    </row>
    <row r="90" spans="1:17" x14ac:dyDescent="0.25">
      <c r="A90" s="242"/>
      <c r="B90" s="24"/>
      <c r="C90" s="4"/>
      <c r="D90" s="8"/>
      <c r="E90" s="8"/>
      <c r="F90" s="8"/>
      <c r="G90" s="8"/>
      <c r="H90" s="243"/>
      <c r="I90" s="250"/>
      <c r="J90" s="16"/>
      <c r="K90" s="16"/>
      <c r="L90" s="16"/>
      <c r="M90" s="16"/>
      <c r="N90" s="16"/>
      <c r="O90" s="16"/>
      <c r="P90" s="16"/>
      <c r="Q90" s="16"/>
    </row>
    <row r="91" spans="1:17" x14ac:dyDescent="0.25">
      <c r="A91" s="245"/>
      <c r="B91" s="2"/>
      <c r="C91" s="4"/>
      <c r="D91" s="8"/>
      <c r="E91" s="8"/>
      <c r="F91" s="8"/>
      <c r="G91" s="8"/>
      <c r="H91" s="243"/>
      <c r="I91" s="250"/>
      <c r="J91" s="16"/>
      <c r="K91" s="16"/>
      <c r="L91" s="16"/>
      <c r="M91" s="16"/>
      <c r="N91" s="16"/>
      <c r="O91" s="16"/>
      <c r="P91" s="16"/>
      <c r="Q91" s="16"/>
    </row>
    <row r="92" spans="1:17" ht="15.75" customHeight="1" thickBot="1" x14ac:dyDescent="0.3">
      <c r="A92" s="246"/>
      <c r="B92" s="247"/>
      <c r="C92" s="248"/>
      <c r="D92" s="247"/>
      <c r="E92" s="247"/>
      <c r="F92" s="247"/>
      <c r="G92" s="247"/>
      <c r="H92" s="249"/>
      <c r="I92" s="255"/>
      <c r="J92" s="19"/>
      <c r="K92" s="19"/>
      <c r="L92" s="19"/>
      <c r="M92" s="19"/>
      <c r="N92" s="19"/>
      <c r="O92" s="19"/>
      <c r="P92" s="19"/>
      <c r="Q92" s="19"/>
    </row>
  </sheetData>
  <autoFilter ref="B1:Q98" xr:uid="{00000000-0009-0000-0000-000004000000}"/>
  <conditionalFormatting sqref="A1:Q93">
    <cfRule type="expression" dxfId="10" priority="1">
      <formula>MOD(ROW(),2)=0</formula>
    </cfRule>
  </conditionalFormatting>
  <pageMargins left="0.7" right="0.7" top="0.75" bottom="0.75" header="0.3" footer="0.3"/>
  <pageSetup paperSize="3" scale="62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L20"/>
  <sheetViews>
    <sheetView zoomScale="145" zoomScaleNormal="145" zoomScaleSheetLayoutView="100" workbookViewId="0">
      <selection activeCell="B17" sqref="B17"/>
    </sheetView>
  </sheetViews>
  <sheetFormatPr defaultColWidth="9.140625" defaultRowHeight="15" x14ac:dyDescent="0.25"/>
  <cols>
    <col min="1" max="1" width="12.7109375" style="14" customWidth="1"/>
    <col min="2" max="2" width="12.7109375" style="27" customWidth="1"/>
    <col min="3" max="12" width="12.7109375" style="14" customWidth="1"/>
    <col min="13" max="23" width="9.140625" style="14" customWidth="1"/>
    <col min="24" max="16384" width="9.140625" style="14"/>
  </cols>
  <sheetData>
    <row r="1" spans="1:12" ht="30.75" customHeight="1" thickBot="1" x14ac:dyDescent="0.3">
      <c r="A1" s="32" t="s">
        <v>2903</v>
      </c>
      <c r="B1" s="33" t="s">
        <v>2904</v>
      </c>
      <c r="C1" s="34" t="s">
        <v>15</v>
      </c>
      <c r="D1" s="34" t="s">
        <v>16</v>
      </c>
      <c r="E1" s="34" t="s">
        <v>17</v>
      </c>
      <c r="F1" s="34" t="s">
        <v>18</v>
      </c>
      <c r="G1" s="34" t="s">
        <v>19</v>
      </c>
      <c r="H1" s="34" t="s">
        <v>20</v>
      </c>
      <c r="I1" s="34" t="s">
        <v>21</v>
      </c>
      <c r="J1" s="34" t="s">
        <v>22</v>
      </c>
      <c r="K1" s="35" t="s">
        <v>23</v>
      </c>
      <c r="L1" s="36" t="s">
        <v>24</v>
      </c>
    </row>
    <row r="2" spans="1:12" x14ac:dyDescent="0.25">
      <c r="A2" s="37">
        <v>1</v>
      </c>
      <c r="B2" s="26"/>
      <c r="C2" s="13"/>
      <c r="D2" s="13"/>
      <c r="E2" s="13"/>
      <c r="F2" s="13"/>
      <c r="G2" s="13"/>
      <c r="H2" s="13"/>
      <c r="I2" s="13"/>
      <c r="J2" s="13"/>
      <c r="K2" s="13"/>
      <c r="L2" s="38"/>
    </row>
    <row r="3" spans="1:12" x14ac:dyDescent="0.25">
      <c r="A3" s="39">
        <f t="shared" ref="A3:A17" si="0">A2+1</f>
        <v>2</v>
      </c>
      <c r="B3" s="25"/>
      <c r="C3" s="12"/>
      <c r="D3" s="12"/>
      <c r="E3" s="12"/>
      <c r="F3" s="12"/>
      <c r="G3" s="12"/>
      <c r="H3" s="12"/>
      <c r="I3" s="12"/>
      <c r="J3" s="12"/>
      <c r="K3" s="12"/>
      <c r="L3" s="40"/>
    </row>
    <row r="4" spans="1:12" s="15" customFormat="1" x14ac:dyDescent="0.25">
      <c r="A4" s="39">
        <f t="shared" si="0"/>
        <v>3</v>
      </c>
      <c r="B4" s="25"/>
      <c r="C4" s="12"/>
      <c r="D4" s="12"/>
      <c r="E4" s="12"/>
      <c r="F4" s="12"/>
      <c r="G4" s="12"/>
      <c r="H4" s="12"/>
      <c r="I4" s="12"/>
      <c r="J4" s="12"/>
      <c r="K4" s="12"/>
      <c r="L4" s="40"/>
    </row>
    <row r="5" spans="1:12" x14ac:dyDescent="0.25">
      <c r="A5" s="39">
        <f t="shared" si="0"/>
        <v>4</v>
      </c>
      <c r="B5" s="25"/>
      <c r="C5" s="12"/>
      <c r="D5" s="12"/>
      <c r="E5" s="12"/>
      <c r="F5" s="12"/>
      <c r="G5" s="12"/>
      <c r="H5" s="12"/>
      <c r="I5" s="12"/>
      <c r="J5" s="12"/>
      <c r="K5" s="12"/>
      <c r="L5" s="40"/>
    </row>
    <row r="6" spans="1:12" x14ac:dyDescent="0.25">
      <c r="A6" s="39">
        <f t="shared" si="0"/>
        <v>5</v>
      </c>
      <c r="B6" s="25"/>
      <c r="C6" s="12"/>
      <c r="D6" s="12"/>
      <c r="E6" s="12"/>
      <c r="F6" s="12"/>
      <c r="G6" s="12"/>
      <c r="H6" s="12"/>
      <c r="I6" s="12"/>
      <c r="J6" s="12"/>
      <c r="K6" s="12"/>
      <c r="L6" s="40"/>
    </row>
    <row r="7" spans="1:12" x14ac:dyDescent="0.25">
      <c r="A7" s="39">
        <f t="shared" si="0"/>
        <v>6</v>
      </c>
      <c r="B7" s="25"/>
      <c r="C7" s="12"/>
      <c r="D7" s="12"/>
      <c r="E7" s="12"/>
      <c r="F7" s="12"/>
      <c r="G7" s="12"/>
      <c r="H7" s="12"/>
      <c r="I7" s="12"/>
      <c r="J7" s="12"/>
      <c r="K7" s="12"/>
      <c r="L7" s="40"/>
    </row>
    <row r="8" spans="1:12" x14ac:dyDescent="0.25">
      <c r="A8" s="39">
        <f t="shared" si="0"/>
        <v>7</v>
      </c>
      <c r="B8" s="25"/>
      <c r="C8" s="12"/>
      <c r="D8" s="12"/>
      <c r="E8" s="12"/>
      <c r="F8" s="12"/>
      <c r="G8" s="12"/>
      <c r="H8" s="12"/>
      <c r="I8" s="12"/>
      <c r="J8" s="12"/>
      <c r="K8" s="12"/>
      <c r="L8" s="40"/>
    </row>
    <row r="9" spans="1:12" x14ac:dyDescent="0.25">
      <c r="A9" s="39">
        <f t="shared" si="0"/>
        <v>8</v>
      </c>
      <c r="B9" s="25"/>
      <c r="C9" s="12"/>
      <c r="D9" s="12"/>
      <c r="E9" s="12"/>
      <c r="F9" s="12"/>
      <c r="G9" s="12"/>
      <c r="H9" s="12"/>
      <c r="I9" s="12"/>
      <c r="J9" s="12"/>
      <c r="K9" s="12"/>
      <c r="L9" s="40"/>
    </row>
    <row r="10" spans="1:12" x14ac:dyDescent="0.25">
      <c r="A10" s="39">
        <f t="shared" si="0"/>
        <v>9</v>
      </c>
      <c r="B10" s="25"/>
      <c r="C10" s="12"/>
      <c r="D10" s="12"/>
      <c r="E10" s="12"/>
      <c r="F10" s="12"/>
      <c r="G10" s="12"/>
      <c r="H10" s="12"/>
      <c r="I10" s="12"/>
      <c r="J10" s="12"/>
      <c r="K10" s="12"/>
      <c r="L10" s="40"/>
    </row>
    <row r="11" spans="1:12" x14ac:dyDescent="0.25">
      <c r="A11" s="39">
        <f t="shared" si="0"/>
        <v>10</v>
      </c>
      <c r="B11" s="25"/>
      <c r="C11" s="12"/>
      <c r="D11" s="12"/>
      <c r="E11" s="12"/>
      <c r="F11" s="12"/>
      <c r="G11" s="12"/>
      <c r="H11" s="12"/>
      <c r="I11" s="12"/>
      <c r="J11" s="12"/>
      <c r="K11" s="12"/>
      <c r="L11" s="40"/>
    </row>
    <row r="12" spans="1:12" x14ac:dyDescent="0.25">
      <c r="A12" s="39">
        <f t="shared" si="0"/>
        <v>11</v>
      </c>
      <c r="B12" s="25"/>
      <c r="C12" s="12"/>
      <c r="D12" s="12"/>
      <c r="E12" s="12"/>
      <c r="F12" s="12"/>
      <c r="G12" s="12"/>
      <c r="H12" s="12"/>
      <c r="I12" s="12"/>
      <c r="J12" s="12"/>
      <c r="K12" s="12"/>
      <c r="L12" s="40"/>
    </row>
    <row r="13" spans="1:12" x14ac:dyDescent="0.25">
      <c r="A13" s="39">
        <f t="shared" si="0"/>
        <v>12</v>
      </c>
      <c r="B13" s="25"/>
      <c r="C13" s="12"/>
      <c r="D13" s="12"/>
      <c r="E13" s="12"/>
      <c r="F13" s="12"/>
      <c r="G13" s="12"/>
      <c r="H13" s="12"/>
      <c r="I13" s="12"/>
      <c r="J13" s="12"/>
      <c r="K13" s="12"/>
      <c r="L13" s="40"/>
    </row>
    <row r="14" spans="1:12" x14ac:dyDescent="0.25">
      <c r="A14" s="39">
        <f t="shared" si="0"/>
        <v>13</v>
      </c>
      <c r="B14" s="25"/>
      <c r="C14" s="12"/>
      <c r="D14" s="12"/>
      <c r="E14" s="12"/>
      <c r="F14" s="12"/>
      <c r="G14" s="12"/>
      <c r="H14" s="12"/>
      <c r="I14" s="12"/>
      <c r="J14" s="12"/>
      <c r="K14" s="12"/>
      <c r="L14" s="40"/>
    </row>
    <row r="15" spans="1:12" x14ac:dyDescent="0.25">
      <c r="A15" s="39">
        <f t="shared" si="0"/>
        <v>14</v>
      </c>
      <c r="B15" s="25"/>
      <c r="C15" s="12"/>
      <c r="D15" s="12"/>
      <c r="E15" s="12"/>
      <c r="F15" s="12"/>
      <c r="G15" s="12"/>
      <c r="H15" s="12"/>
      <c r="I15" s="12"/>
      <c r="J15" s="12"/>
      <c r="K15" s="12"/>
      <c r="L15" s="40"/>
    </row>
    <row r="16" spans="1:12" x14ac:dyDescent="0.25">
      <c r="A16" s="39">
        <f t="shared" si="0"/>
        <v>15</v>
      </c>
      <c r="B16" s="25"/>
      <c r="C16" s="12"/>
      <c r="D16" s="12"/>
      <c r="E16" s="12"/>
      <c r="F16" s="12"/>
      <c r="G16" s="12"/>
      <c r="H16" s="12"/>
      <c r="I16" s="12"/>
      <c r="J16" s="12"/>
      <c r="K16" s="12"/>
      <c r="L16" s="40"/>
    </row>
    <row r="17" spans="1:12" x14ac:dyDescent="0.25">
      <c r="A17" s="39">
        <f t="shared" si="0"/>
        <v>16</v>
      </c>
      <c r="B17" s="25"/>
      <c r="C17" s="12"/>
      <c r="D17" s="12"/>
      <c r="E17" s="12"/>
      <c r="F17" s="12"/>
      <c r="G17" s="12"/>
      <c r="H17" s="12"/>
      <c r="I17" s="12"/>
      <c r="J17" s="12"/>
      <c r="K17" s="12"/>
      <c r="L17" s="40"/>
    </row>
    <row r="18" spans="1:12" x14ac:dyDescent="0.25">
      <c r="A18" s="39"/>
      <c r="B18" s="25"/>
      <c r="C18" s="12"/>
      <c r="D18" s="12"/>
      <c r="E18" s="12"/>
      <c r="F18" s="12"/>
      <c r="G18" s="12"/>
      <c r="H18" s="12"/>
      <c r="I18" s="12"/>
      <c r="J18" s="12"/>
      <c r="K18" s="12"/>
      <c r="L18" s="40"/>
    </row>
    <row r="19" spans="1:12" x14ac:dyDescent="0.25">
      <c r="A19" s="39"/>
      <c r="B19" s="25"/>
      <c r="C19" s="12"/>
      <c r="D19" s="12"/>
      <c r="E19" s="12"/>
      <c r="F19" s="12"/>
      <c r="G19" s="12"/>
      <c r="H19" s="12"/>
      <c r="I19" s="12"/>
      <c r="J19" s="12"/>
      <c r="K19" s="12"/>
      <c r="L19" s="40"/>
    </row>
    <row r="20" spans="1:12" ht="15.75" customHeight="1" thickBot="1" x14ac:dyDescent="0.3">
      <c r="A20" s="41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4"/>
    </row>
  </sheetData>
  <conditionalFormatting sqref="A1:XFD1048576">
    <cfRule type="expression" dxfId="9" priority="1">
      <formula>MOD(ROW(),2)</formula>
    </cfRule>
  </conditionalFormatting>
  <pageMargins left="0.25" right="0.25" top="0.75" bottom="0.75" header="0.3" footer="0.3"/>
  <pageSetup scale="87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R16"/>
  <sheetViews>
    <sheetView view="pageBreakPreview" zoomScaleNormal="100" zoomScaleSheetLayoutView="100" workbookViewId="0">
      <selection activeCell="M11" sqref="M11"/>
    </sheetView>
  </sheetViews>
  <sheetFormatPr defaultColWidth="8.85546875" defaultRowHeight="15" x14ac:dyDescent="0.25"/>
  <cols>
    <col min="1" max="6" width="15.7109375" style="1" customWidth="1"/>
    <col min="7" max="17" width="8.85546875" style="1" customWidth="1"/>
    <col min="18" max="16384" width="8.85546875" style="1"/>
  </cols>
  <sheetData>
    <row r="1" spans="1:18" x14ac:dyDescent="0.25">
      <c r="A1" s="290"/>
      <c r="B1" s="290"/>
      <c r="C1" s="290"/>
      <c r="D1" s="290"/>
      <c r="E1" s="290"/>
      <c r="F1" s="290"/>
    </row>
    <row r="10" spans="1:18" x14ac:dyDescent="0.25">
      <c r="R10" s="1" t="s">
        <v>2905</v>
      </c>
    </row>
    <row r="15" spans="1:18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S30"/>
  <sheetViews>
    <sheetView workbookViewId="0">
      <selection activeCell="J9" sqref="J9"/>
    </sheetView>
  </sheetViews>
  <sheetFormatPr defaultRowHeight="15" x14ac:dyDescent="0.25"/>
  <cols>
    <col min="1" max="1" width="14.7109375" style="1" bestFit="1" customWidth="1"/>
    <col min="2" max="2" width="14.42578125" style="1" bestFit="1" customWidth="1"/>
    <col min="3" max="3" width="11" customWidth="1"/>
    <col min="4" max="4" width="28" bestFit="1" customWidth="1"/>
    <col min="5" max="5" width="11" customWidth="1"/>
    <col min="6" max="6" width="33.140625" bestFit="1" customWidth="1"/>
    <col min="8" max="8" width="19.85546875" bestFit="1" customWidth="1"/>
    <col min="10" max="10" width="40" bestFit="1" customWidth="1"/>
    <col min="11" max="11" width="15.85546875" bestFit="1" customWidth="1"/>
    <col min="12" max="12" width="40" bestFit="1" customWidth="1"/>
  </cols>
  <sheetData>
    <row r="1" spans="1:8" x14ac:dyDescent="0.25">
      <c r="A1" s="1" t="s">
        <v>2906</v>
      </c>
      <c r="B1" s="1" t="s">
        <v>2907</v>
      </c>
      <c r="D1" s="222" t="s">
        <v>2908</v>
      </c>
      <c r="F1" s="1" t="s">
        <v>2909</v>
      </c>
      <c r="H1" s="1" t="s">
        <v>2910</v>
      </c>
    </row>
    <row r="2" spans="1:8" x14ac:dyDescent="0.25">
      <c r="A2" s="1" t="s">
        <v>2911</v>
      </c>
      <c r="B2" s="1">
        <v>1</v>
      </c>
      <c r="D2" t="s">
        <v>2094</v>
      </c>
      <c r="F2" t="s">
        <v>2912</v>
      </c>
      <c r="H2" t="s">
        <v>2913</v>
      </c>
    </row>
    <row r="3" spans="1:8" x14ac:dyDescent="0.25">
      <c r="A3" s="1" t="s">
        <v>2914</v>
      </c>
      <c r="B3" s="1">
        <v>2</v>
      </c>
      <c r="D3" t="s">
        <v>2100</v>
      </c>
      <c r="F3" t="s">
        <v>2915</v>
      </c>
      <c r="H3" t="s">
        <v>2089</v>
      </c>
    </row>
    <row r="4" spans="1:8" x14ac:dyDescent="0.25">
      <c r="A4" s="1" t="s">
        <v>2916</v>
      </c>
      <c r="B4" s="1">
        <v>3</v>
      </c>
      <c r="D4" t="s">
        <v>2105</v>
      </c>
      <c r="F4" t="s">
        <v>2101</v>
      </c>
      <c r="H4" t="s">
        <v>2917</v>
      </c>
    </row>
    <row r="5" spans="1:8" x14ac:dyDescent="0.25">
      <c r="A5" s="1" t="s">
        <v>2918</v>
      </c>
      <c r="B5" s="1">
        <v>4</v>
      </c>
      <c r="D5" t="s">
        <v>2919</v>
      </c>
      <c r="F5" t="s">
        <v>2920</v>
      </c>
      <c r="H5" t="s">
        <v>2079</v>
      </c>
    </row>
    <row r="6" spans="1:8" x14ac:dyDescent="0.25">
      <c r="A6" s="1" t="s">
        <v>2921</v>
      </c>
      <c r="B6" s="1">
        <v>5</v>
      </c>
      <c r="D6" t="s">
        <v>2922</v>
      </c>
      <c r="F6" t="s">
        <v>2923</v>
      </c>
    </row>
    <row r="7" spans="1:8" x14ac:dyDescent="0.25">
      <c r="A7" s="1" t="s">
        <v>2924</v>
      </c>
      <c r="B7" s="1">
        <v>6</v>
      </c>
      <c r="D7" t="s">
        <v>2077</v>
      </c>
      <c r="F7" t="s">
        <v>2106</v>
      </c>
    </row>
    <row r="8" spans="1:8" x14ac:dyDescent="0.25">
      <c r="A8" s="1" t="s">
        <v>2925</v>
      </c>
      <c r="B8" s="1">
        <v>7</v>
      </c>
      <c r="D8" t="s">
        <v>2087</v>
      </c>
      <c r="F8" t="s">
        <v>2926</v>
      </c>
    </row>
    <row r="9" spans="1:8" x14ac:dyDescent="0.25">
      <c r="A9" s="1" t="s">
        <v>2927</v>
      </c>
      <c r="B9" s="1">
        <v>8</v>
      </c>
      <c r="F9" t="s">
        <v>2928</v>
      </c>
    </row>
    <row r="10" spans="1:8" x14ac:dyDescent="0.25">
      <c r="A10" s="1" t="s">
        <v>2929</v>
      </c>
      <c r="B10" s="1">
        <v>9</v>
      </c>
      <c r="F10" t="s">
        <v>2930</v>
      </c>
    </row>
    <row r="11" spans="1:8" x14ac:dyDescent="0.25">
      <c r="A11" s="1" t="s">
        <v>2931</v>
      </c>
      <c r="B11" s="1">
        <v>10</v>
      </c>
      <c r="F11" t="s">
        <v>2932</v>
      </c>
    </row>
    <row r="12" spans="1:8" x14ac:dyDescent="0.25">
      <c r="A12" s="1" t="s">
        <v>2933</v>
      </c>
      <c r="B12" s="1">
        <v>11</v>
      </c>
      <c r="F12" t="s">
        <v>2934</v>
      </c>
    </row>
    <row r="13" spans="1:8" x14ac:dyDescent="0.25">
      <c r="A13" s="1" t="s">
        <v>2935</v>
      </c>
      <c r="B13" s="1">
        <v>12</v>
      </c>
      <c r="F13" t="s">
        <v>2078</v>
      </c>
    </row>
    <row r="14" spans="1:8" x14ac:dyDescent="0.25">
      <c r="F14" t="s">
        <v>2219</v>
      </c>
    </row>
    <row r="15" spans="1:8" x14ac:dyDescent="0.25">
      <c r="F15" t="s">
        <v>2936</v>
      </c>
    </row>
    <row r="16" spans="1:8" x14ac:dyDescent="0.25">
      <c r="F16" t="s">
        <v>2937</v>
      </c>
    </row>
    <row r="17" spans="6:45" s="14" customFormat="1" x14ac:dyDescent="0.25">
      <c r="F17" t="s">
        <v>2938</v>
      </c>
      <c r="J17" s="50"/>
      <c r="M17" s="54"/>
      <c r="V17" s="47"/>
      <c r="X17" s="47"/>
      <c r="Y17" s="47"/>
      <c r="Z17" s="47"/>
      <c r="AA17" s="47"/>
      <c r="AB17" s="47"/>
      <c r="AC17" s="48"/>
      <c r="AD17" s="55"/>
      <c r="AE17" s="55"/>
      <c r="AF17" s="55"/>
      <c r="AG17" s="55"/>
      <c r="AH17" s="56"/>
      <c r="AI17" s="56"/>
      <c r="AJ17" s="56"/>
      <c r="AK17" s="56"/>
      <c r="AL17" s="56"/>
      <c r="AM17" s="56"/>
      <c r="AN17" s="56"/>
      <c r="AO17" s="56"/>
      <c r="AQ17" s="48"/>
      <c r="AR17" s="48"/>
      <c r="AS17" s="48"/>
    </row>
    <row r="18" spans="6:45" s="14" customFormat="1" x14ac:dyDescent="0.25">
      <c r="F18" t="s">
        <v>2939</v>
      </c>
      <c r="J18" s="50"/>
      <c r="M18" s="54"/>
      <c r="V18" s="49"/>
      <c r="X18" s="49"/>
      <c r="Y18" s="49"/>
      <c r="Z18" s="49"/>
      <c r="AA18" s="49"/>
      <c r="AB18" s="49"/>
      <c r="AC18" s="48"/>
      <c r="AD18" s="55"/>
      <c r="AE18" s="55"/>
      <c r="AF18" s="55"/>
      <c r="AG18" s="55"/>
      <c r="AH18" s="56"/>
      <c r="AI18" s="56"/>
      <c r="AJ18" s="56"/>
      <c r="AK18" s="56"/>
      <c r="AL18" s="56"/>
      <c r="AM18" s="56"/>
      <c r="AN18" s="56"/>
      <c r="AO18" s="56"/>
      <c r="AQ18" s="48"/>
      <c r="AR18" s="48"/>
      <c r="AS18" s="48"/>
    </row>
    <row r="19" spans="6:45" s="14" customFormat="1" x14ac:dyDescent="0.25">
      <c r="F19" t="s">
        <v>2088</v>
      </c>
      <c r="J19" s="50"/>
      <c r="M19" s="54"/>
      <c r="V19" s="47"/>
      <c r="X19" s="47"/>
      <c r="Y19" s="47"/>
      <c r="Z19" s="47"/>
      <c r="AA19" s="47"/>
      <c r="AB19" s="47"/>
      <c r="AC19" s="48"/>
      <c r="AD19" s="55"/>
      <c r="AE19" s="55"/>
      <c r="AF19" s="55"/>
      <c r="AG19" s="55"/>
      <c r="AH19" s="56"/>
      <c r="AI19" s="56"/>
      <c r="AJ19" s="56"/>
      <c r="AK19" s="56"/>
      <c r="AL19" s="56"/>
      <c r="AM19" s="56"/>
      <c r="AN19" s="56"/>
      <c r="AO19" s="56"/>
      <c r="AQ19" s="48"/>
      <c r="AR19" s="48"/>
      <c r="AS19" s="48"/>
    </row>
    <row r="20" spans="6:45" s="14" customFormat="1" x14ac:dyDescent="0.25">
      <c r="F20" s="223" t="s">
        <v>2292</v>
      </c>
      <c r="J20" s="46"/>
      <c r="M20" s="47"/>
      <c r="U20" s="45"/>
      <c r="AC20" s="48"/>
      <c r="AD20" s="55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</row>
    <row r="21" spans="6:45" x14ac:dyDescent="0.25">
      <c r="F21" s="223" t="s">
        <v>2940</v>
      </c>
    </row>
    <row r="22" spans="6:45" x14ac:dyDescent="0.25">
      <c r="F22" s="223" t="s">
        <v>2941</v>
      </c>
    </row>
    <row r="23" spans="6:45" x14ac:dyDescent="0.25">
      <c r="F23" t="s">
        <v>2112</v>
      </c>
    </row>
    <row r="24" spans="6:45" x14ac:dyDescent="0.25">
      <c r="F24" t="s">
        <v>2942</v>
      </c>
    </row>
    <row r="25" spans="6:45" x14ac:dyDescent="0.25">
      <c r="F25" t="s">
        <v>2943</v>
      </c>
    </row>
    <row r="26" spans="6:45" x14ac:dyDescent="0.25">
      <c r="F26" t="s">
        <v>2944</v>
      </c>
    </row>
    <row r="27" spans="6:45" x14ac:dyDescent="0.25">
      <c r="F27" t="s">
        <v>2945</v>
      </c>
    </row>
    <row r="28" spans="6:45" x14ac:dyDescent="0.25">
      <c r="F28" t="s">
        <v>2946</v>
      </c>
    </row>
    <row r="29" spans="6:45" x14ac:dyDescent="0.25">
      <c r="F29" t="s">
        <v>2226</v>
      </c>
    </row>
    <row r="30" spans="6:45" x14ac:dyDescent="0.25">
      <c r="F30" t="s">
        <v>2095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V126"/>
  <sheetViews>
    <sheetView workbookViewId="0">
      <selection activeCell="G15" sqref="G15"/>
    </sheetView>
  </sheetViews>
  <sheetFormatPr defaultColWidth="10.7109375" defaultRowHeight="15" customHeight="1" x14ac:dyDescent="0.25"/>
  <cols>
    <col min="3" max="3" width="4.7109375" customWidth="1"/>
    <col min="4" max="22" width="15.7109375" customWidth="1"/>
  </cols>
  <sheetData>
    <row r="1" spans="1:21" ht="24.95" customHeight="1" thickBot="1" x14ac:dyDescent="0.4">
      <c r="A1" s="52" t="s">
        <v>2073</v>
      </c>
      <c r="D1" s="51">
        <v>1</v>
      </c>
      <c r="E1" s="51">
        <v>2</v>
      </c>
      <c r="F1" s="51">
        <v>3</v>
      </c>
      <c r="G1" s="51">
        <v>4</v>
      </c>
      <c r="H1" s="51">
        <v>5</v>
      </c>
      <c r="I1" s="51">
        <v>6</v>
      </c>
      <c r="J1" s="51">
        <v>7</v>
      </c>
      <c r="K1" s="51">
        <v>8</v>
      </c>
      <c r="L1" s="51">
        <v>9</v>
      </c>
      <c r="M1" s="51">
        <v>10</v>
      </c>
      <c r="N1" s="51">
        <v>11</v>
      </c>
      <c r="O1" s="51">
        <v>12</v>
      </c>
      <c r="P1" s="51">
        <v>13</v>
      </c>
      <c r="Q1" s="51">
        <v>14</v>
      </c>
      <c r="R1" s="51">
        <v>15</v>
      </c>
      <c r="S1" s="51">
        <v>16</v>
      </c>
      <c r="T1" s="51">
        <v>17</v>
      </c>
      <c r="U1" s="51">
        <v>18</v>
      </c>
    </row>
    <row r="2" spans="1:21" ht="24" customHeight="1" thickTop="1" x14ac:dyDescent="0.25">
      <c r="C2" s="53" t="s">
        <v>2911</v>
      </c>
      <c r="D2" s="302" t="s">
        <v>2947</v>
      </c>
      <c r="E2" s="294" t="s">
        <v>2948</v>
      </c>
      <c r="F2" s="294" t="s">
        <v>2949</v>
      </c>
      <c r="G2" s="294" t="s">
        <v>2950</v>
      </c>
      <c r="H2" s="294" t="s">
        <v>2951</v>
      </c>
      <c r="I2" s="294" t="s">
        <v>2952</v>
      </c>
      <c r="J2" s="294" t="s">
        <v>2953</v>
      </c>
      <c r="K2" s="294" t="s">
        <v>2954</v>
      </c>
      <c r="L2" s="294" t="s">
        <v>2955</v>
      </c>
      <c r="M2" s="294" t="s">
        <v>2956</v>
      </c>
      <c r="N2" s="294" t="s">
        <v>2957</v>
      </c>
      <c r="O2" s="294" t="s">
        <v>2958</v>
      </c>
      <c r="P2" s="294" t="s">
        <v>2959</v>
      </c>
      <c r="Q2" s="294" t="s">
        <v>2960</v>
      </c>
      <c r="R2" s="294" t="s">
        <v>2961</v>
      </c>
      <c r="S2" s="294" t="s">
        <v>2962</v>
      </c>
      <c r="T2" s="294" t="s">
        <v>2963</v>
      </c>
      <c r="U2" s="298" t="s">
        <v>2964</v>
      </c>
    </row>
    <row r="3" spans="1:21" ht="24" customHeight="1" x14ac:dyDescent="0.25">
      <c r="C3" s="53" t="s">
        <v>2914</v>
      </c>
      <c r="D3" s="296"/>
      <c r="E3" s="292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2"/>
      <c r="Q3" s="292"/>
      <c r="R3" s="293"/>
      <c r="S3" s="292"/>
      <c r="T3" s="293"/>
      <c r="U3" s="301"/>
    </row>
    <row r="4" spans="1:21" ht="24" customHeight="1" x14ac:dyDescent="0.25">
      <c r="C4" s="53" t="s">
        <v>2916</v>
      </c>
      <c r="D4" s="296"/>
      <c r="E4" s="291" t="s">
        <v>2965</v>
      </c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1" t="s">
        <v>2966</v>
      </c>
      <c r="Q4" s="291" t="s">
        <v>2967</v>
      </c>
      <c r="R4" s="293"/>
      <c r="S4" s="291" t="s">
        <v>2968</v>
      </c>
      <c r="T4" s="293"/>
      <c r="U4" s="301"/>
    </row>
    <row r="5" spans="1:21" ht="24" customHeight="1" x14ac:dyDescent="0.25">
      <c r="C5" s="53" t="s">
        <v>2918</v>
      </c>
      <c r="D5" s="296"/>
      <c r="E5" s="292"/>
      <c r="F5" s="293"/>
      <c r="G5" s="293"/>
      <c r="H5" s="293"/>
      <c r="I5" s="292"/>
      <c r="J5" s="292"/>
      <c r="K5" s="293"/>
      <c r="L5" s="293"/>
      <c r="M5" s="293"/>
      <c r="N5" s="293"/>
      <c r="O5" s="292"/>
      <c r="P5" s="293"/>
      <c r="Q5" s="292"/>
      <c r="R5" s="293"/>
      <c r="S5" s="292"/>
      <c r="T5" s="293"/>
      <c r="U5" s="301"/>
    </row>
    <row r="6" spans="1:21" ht="24" customHeight="1" x14ac:dyDescent="0.25">
      <c r="C6" s="53" t="s">
        <v>2921</v>
      </c>
      <c r="D6" s="296"/>
      <c r="E6" s="57" t="s">
        <v>2969</v>
      </c>
      <c r="F6" s="293"/>
      <c r="G6" s="293"/>
      <c r="H6" s="292"/>
      <c r="I6" s="291" t="s">
        <v>2970</v>
      </c>
      <c r="J6" s="291" t="s">
        <v>2971</v>
      </c>
      <c r="K6" s="292"/>
      <c r="L6" s="292"/>
      <c r="M6" s="292"/>
      <c r="N6" s="292"/>
      <c r="O6" s="57" t="s">
        <v>2972</v>
      </c>
      <c r="P6" s="293"/>
      <c r="Q6" s="291" t="s">
        <v>2973</v>
      </c>
      <c r="R6" s="293"/>
      <c r="S6" s="291" t="s">
        <v>2974</v>
      </c>
      <c r="T6" s="293"/>
      <c r="U6" s="301"/>
    </row>
    <row r="7" spans="1:21" ht="24" customHeight="1" x14ac:dyDescent="0.25">
      <c r="C7" s="53" t="s">
        <v>2924</v>
      </c>
      <c r="D7" s="296"/>
      <c r="E7" s="291" t="s">
        <v>2975</v>
      </c>
      <c r="F7" s="293"/>
      <c r="G7" s="293"/>
      <c r="H7" s="291" t="s">
        <v>2976</v>
      </c>
      <c r="I7" s="293"/>
      <c r="J7" s="293"/>
      <c r="K7" s="291" t="s">
        <v>2977</v>
      </c>
      <c r="L7" s="291" t="s">
        <v>2978</v>
      </c>
      <c r="M7" s="291" t="s">
        <v>2979</v>
      </c>
      <c r="N7" s="291" t="s">
        <v>2980</v>
      </c>
      <c r="O7" s="291" t="s">
        <v>2981</v>
      </c>
      <c r="P7" s="293"/>
      <c r="Q7" s="293"/>
      <c r="R7" s="292"/>
      <c r="S7" s="293"/>
      <c r="T7" s="293"/>
      <c r="U7" s="301"/>
    </row>
    <row r="8" spans="1:21" ht="24" customHeight="1" x14ac:dyDescent="0.25">
      <c r="C8" s="53" t="s">
        <v>2925</v>
      </c>
      <c r="D8" s="297"/>
      <c r="E8" s="292"/>
      <c r="F8" s="293"/>
      <c r="G8" s="293"/>
      <c r="H8" s="293"/>
      <c r="I8" s="293"/>
      <c r="J8" s="293"/>
      <c r="K8" s="292"/>
      <c r="L8" s="292"/>
      <c r="M8" s="292"/>
      <c r="N8" s="292"/>
      <c r="O8" s="293"/>
      <c r="P8" s="292"/>
      <c r="Q8" s="293"/>
      <c r="R8" s="291" t="s">
        <v>2982</v>
      </c>
      <c r="S8" s="293"/>
      <c r="T8" s="293"/>
      <c r="U8" s="301"/>
    </row>
    <row r="9" spans="1:21" ht="24" customHeight="1" x14ac:dyDescent="0.25">
      <c r="C9" s="53" t="s">
        <v>2927</v>
      </c>
      <c r="D9" s="295" t="s">
        <v>2983</v>
      </c>
      <c r="E9" s="291" t="s">
        <v>2984</v>
      </c>
      <c r="F9" s="293"/>
      <c r="G9" s="293"/>
      <c r="H9" s="293"/>
      <c r="I9" s="292"/>
      <c r="J9" s="292"/>
      <c r="K9" s="291" t="s">
        <v>2985</v>
      </c>
      <c r="L9" s="291" t="s">
        <v>2986</v>
      </c>
      <c r="M9" s="291" t="s">
        <v>2987</v>
      </c>
      <c r="N9" s="291" t="s">
        <v>2988</v>
      </c>
      <c r="O9" s="293"/>
      <c r="P9" s="57" t="s">
        <v>2989</v>
      </c>
      <c r="Q9" s="292"/>
      <c r="R9" s="293"/>
      <c r="S9" s="292"/>
      <c r="T9" s="293"/>
      <c r="U9" s="301"/>
    </row>
    <row r="10" spans="1:21" ht="24" customHeight="1" x14ac:dyDescent="0.25">
      <c r="C10" s="53" t="s">
        <v>2929</v>
      </c>
      <c r="D10" s="296"/>
      <c r="E10" s="293"/>
      <c r="F10" s="293"/>
      <c r="G10" s="293"/>
      <c r="H10" s="293"/>
      <c r="I10" s="291" t="s">
        <v>2990</v>
      </c>
      <c r="J10" s="291" t="s">
        <v>2991</v>
      </c>
      <c r="K10" s="293"/>
      <c r="L10" s="293"/>
      <c r="M10" s="293"/>
      <c r="N10" s="293"/>
      <c r="O10" s="293"/>
      <c r="P10" s="291" t="s">
        <v>2992</v>
      </c>
      <c r="Q10" s="291" t="s">
        <v>2993</v>
      </c>
      <c r="R10" s="293"/>
      <c r="S10" s="291" t="s">
        <v>2994</v>
      </c>
      <c r="T10" s="293"/>
      <c r="U10" s="301"/>
    </row>
    <row r="11" spans="1:21" ht="24" customHeight="1" x14ac:dyDescent="0.25">
      <c r="C11" s="53" t="s">
        <v>2931</v>
      </c>
      <c r="D11" s="297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301"/>
    </row>
    <row r="12" spans="1:21" ht="24" customHeight="1" x14ac:dyDescent="0.25">
      <c r="C12" s="53" t="s">
        <v>2933</v>
      </c>
      <c r="D12" s="295" t="s">
        <v>2995</v>
      </c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301"/>
    </row>
    <row r="13" spans="1:21" ht="24" customHeight="1" thickBot="1" x14ac:dyDescent="0.3">
      <c r="C13" s="53" t="s">
        <v>2935</v>
      </c>
      <c r="D13" s="297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9"/>
    </row>
    <row r="14" spans="1:21" ht="15" customHeight="1" thickTop="1" x14ac:dyDescent="0.25"/>
    <row r="17" spans="1:22" ht="24.95" customHeight="1" thickBot="1" x14ac:dyDescent="0.4">
      <c r="A17" s="52" t="s">
        <v>2218</v>
      </c>
      <c r="D17" s="51">
        <v>1</v>
      </c>
      <c r="E17" s="51">
        <v>2</v>
      </c>
      <c r="F17" s="51">
        <v>3</v>
      </c>
      <c r="G17" s="51">
        <v>4</v>
      </c>
      <c r="H17" s="51">
        <v>5</v>
      </c>
      <c r="I17" s="51">
        <v>6</v>
      </c>
      <c r="J17" s="51">
        <v>7</v>
      </c>
      <c r="K17" s="51">
        <v>8</v>
      </c>
      <c r="L17" s="51">
        <v>9</v>
      </c>
      <c r="M17" s="51">
        <v>10</v>
      </c>
      <c r="N17" s="51">
        <v>11</v>
      </c>
      <c r="O17" s="51">
        <v>12</v>
      </c>
      <c r="P17" s="51">
        <v>13</v>
      </c>
      <c r="Q17" s="51">
        <v>14</v>
      </c>
      <c r="R17" s="51">
        <v>15</v>
      </c>
      <c r="S17" s="51">
        <v>16</v>
      </c>
      <c r="T17" s="51">
        <v>17</v>
      </c>
      <c r="U17" s="51">
        <v>18</v>
      </c>
      <c r="V17" s="51">
        <v>19</v>
      </c>
    </row>
    <row r="18" spans="1:22" ht="24" customHeight="1" thickTop="1" x14ac:dyDescent="0.25">
      <c r="C18" s="53" t="s">
        <v>2911</v>
      </c>
      <c r="D18" s="302" t="s">
        <v>2947</v>
      </c>
      <c r="E18" s="294" t="s">
        <v>2996</v>
      </c>
      <c r="F18" s="294" t="s">
        <v>2997</v>
      </c>
      <c r="G18" s="294" t="s">
        <v>2998</v>
      </c>
      <c r="H18" s="294" t="s">
        <v>2999</v>
      </c>
      <c r="I18" s="294" t="s">
        <v>3000</v>
      </c>
      <c r="J18" s="294" t="s">
        <v>3001</v>
      </c>
      <c r="K18" s="294" t="s">
        <v>3002</v>
      </c>
      <c r="L18" s="294" t="s">
        <v>3003</v>
      </c>
      <c r="M18" s="294" t="s">
        <v>3004</v>
      </c>
      <c r="N18" s="294" t="s">
        <v>3005</v>
      </c>
      <c r="O18" s="294" t="s">
        <v>3006</v>
      </c>
      <c r="P18" s="294" t="s">
        <v>3007</v>
      </c>
      <c r="Q18" s="294" t="s">
        <v>3008</v>
      </c>
      <c r="R18" s="294" t="s">
        <v>3009</v>
      </c>
      <c r="S18" s="294" t="s">
        <v>3010</v>
      </c>
      <c r="T18" s="294" t="s">
        <v>3011</v>
      </c>
      <c r="U18" s="294" t="s">
        <v>3012</v>
      </c>
      <c r="V18" s="298" t="s">
        <v>3013</v>
      </c>
    </row>
    <row r="19" spans="1:22" ht="24" customHeight="1" x14ac:dyDescent="0.25">
      <c r="C19" s="53" t="s">
        <v>2914</v>
      </c>
      <c r="D19" s="296"/>
      <c r="E19" s="292"/>
      <c r="F19" s="293"/>
      <c r="G19" s="293"/>
      <c r="H19" s="293"/>
      <c r="I19" s="293"/>
      <c r="J19" s="293"/>
      <c r="K19" s="293"/>
      <c r="L19" s="293"/>
      <c r="M19" s="293"/>
      <c r="N19" s="293"/>
      <c r="O19" s="292"/>
      <c r="P19" s="293"/>
      <c r="Q19" s="293"/>
      <c r="R19" s="292"/>
      <c r="S19" s="292"/>
      <c r="T19" s="292"/>
      <c r="U19" s="292"/>
      <c r="V19" s="299"/>
    </row>
    <row r="20" spans="1:22" ht="24" customHeight="1" x14ac:dyDescent="0.25">
      <c r="C20" s="53" t="s">
        <v>2916</v>
      </c>
      <c r="D20" s="296"/>
      <c r="E20" s="291" t="s">
        <v>3014</v>
      </c>
      <c r="F20" s="293"/>
      <c r="G20" s="293"/>
      <c r="H20" s="293"/>
      <c r="I20" s="293"/>
      <c r="J20" s="293"/>
      <c r="K20" s="293"/>
      <c r="L20" s="293"/>
      <c r="M20" s="293"/>
      <c r="N20" s="292"/>
      <c r="O20" s="291" t="s">
        <v>3015</v>
      </c>
      <c r="P20" s="293"/>
      <c r="Q20" s="293"/>
      <c r="R20" s="291" t="s">
        <v>3016</v>
      </c>
      <c r="S20" s="291" t="s">
        <v>3017</v>
      </c>
      <c r="T20" s="291" t="s">
        <v>3018</v>
      </c>
      <c r="U20" s="291" t="s">
        <v>3019</v>
      </c>
      <c r="V20" s="300" t="s">
        <v>3020</v>
      </c>
    </row>
    <row r="21" spans="1:22" ht="24" customHeight="1" x14ac:dyDescent="0.25">
      <c r="C21" s="53" t="s">
        <v>2918</v>
      </c>
      <c r="D21" s="296"/>
      <c r="E21" s="292"/>
      <c r="F21" s="293"/>
      <c r="G21" s="293"/>
      <c r="H21" s="293"/>
      <c r="I21" s="293"/>
      <c r="J21" s="293"/>
      <c r="K21" s="292"/>
      <c r="L21" s="292"/>
      <c r="M21" s="292"/>
      <c r="N21" s="291" t="s">
        <v>3021</v>
      </c>
      <c r="O21" s="292"/>
      <c r="P21" s="293"/>
      <c r="Q21" s="293"/>
      <c r="R21" s="293"/>
      <c r="S21" s="293"/>
      <c r="T21" s="293"/>
      <c r="U21" s="293"/>
      <c r="V21" s="301"/>
    </row>
    <row r="22" spans="1:22" ht="24" customHeight="1" x14ac:dyDescent="0.25">
      <c r="C22" s="53" t="s">
        <v>2921</v>
      </c>
      <c r="D22" s="296"/>
      <c r="E22" s="57" t="s">
        <v>2969</v>
      </c>
      <c r="F22" s="293"/>
      <c r="G22" s="293"/>
      <c r="H22" s="293"/>
      <c r="I22" s="293"/>
      <c r="J22" s="293"/>
      <c r="K22" s="291" t="s">
        <v>3022</v>
      </c>
      <c r="L22" s="291" t="s">
        <v>3023</v>
      </c>
      <c r="M22" s="291" t="s">
        <v>3024</v>
      </c>
      <c r="N22" s="293"/>
      <c r="O22" s="291" t="s">
        <v>3025</v>
      </c>
      <c r="P22" s="293"/>
      <c r="Q22" s="293"/>
      <c r="R22" s="292"/>
      <c r="S22" s="293"/>
      <c r="T22" s="293"/>
      <c r="U22" s="293"/>
      <c r="V22" s="301"/>
    </row>
    <row r="23" spans="1:22" ht="24" customHeight="1" x14ac:dyDescent="0.25">
      <c r="C23" s="53" t="s">
        <v>2924</v>
      </c>
      <c r="D23" s="296"/>
      <c r="E23" s="291" t="s">
        <v>3026</v>
      </c>
      <c r="F23" s="293"/>
      <c r="G23" s="293"/>
      <c r="H23" s="293"/>
      <c r="I23" s="293"/>
      <c r="J23" s="293"/>
      <c r="K23" s="292"/>
      <c r="L23" s="292"/>
      <c r="M23" s="293"/>
      <c r="N23" s="293"/>
      <c r="O23" s="293"/>
      <c r="P23" s="293"/>
      <c r="Q23" s="293"/>
      <c r="R23" s="291" t="s">
        <v>3027</v>
      </c>
      <c r="S23" s="292"/>
      <c r="T23" s="292"/>
      <c r="U23" s="292"/>
      <c r="V23" s="301"/>
    </row>
    <row r="24" spans="1:22" ht="24" customHeight="1" x14ac:dyDescent="0.25">
      <c r="C24" s="53" t="s">
        <v>2925</v>
      </c>
      <c r="D24" s="297"/>
      <c r="E24" s="293"/>
      <c r="F24" s="292"/>
      <c r="G24" s="292"/>
      <c r="H24" s="292"/>
      <c r="I24" s="293"/>
      <c r="J24" s="292"/>
      <c r="K24" s="291" t="s">
        <v>3028</v>
      </c>
      <c r="L24" s="291" t="s">
        <v>3029</v>
      </c>
      <c r="M24" s="293"/>
      <c r="N24" s="292"/>
      <c r="O24" s="293"/>
      <c r="P24" s="293"/>
      <c r="Q24" s="293"/>
      <c r="R24" s="293"/>
      <c r="S24" s="291" t="s">
        <v>3030</v>
      </c>
      <c r="T24" s="291" t="s">
        <v>3031</v>
      </c>
      <c r="U24" s="291" t="s">
        <v>3032</v>
      </c>
      <c r="V24" s="299"/>
    </row>
    <row r="25" spans="1:22" ht="24" customHeight="1" x14ac:dyDescent="0.25">
      <c r="C25" s="53" t="s">
        <v>2927</v>
      </c>
      <c r="D25" s="295" t="s">
        <v>3033</v>
      </c>
      <c r="E25" s="293"/>
      <c r="F25" s="291" t="s">
        <v>3034</v>
      </c>
      <c r="G25" s="291" t="s">
        <v>3035</v>
      </c>
      <c r="H25" s="291" t="s">
        <v>3036</v>
      </c>
      <c r="I25" s="293"/>
      <c r="J25" s="291" t="s">
        <v>3037</v>
      </c>
      <c r="K25" s="293"/>
      <c r="L25" s="293"/>
      <c r="M25" s="293"/>
      <c r="N25" s="291" t="s">
        <v>3038</v>
      </c>
      <c r="O25" s="292"/>
      <c r="P25" s="293"/>
      <c r="Q25" s="293"/>
      <c r="R25" s="292"/>
      <c r="S25" s="293"/>
      <c r="T25" s="293"/>
      <c r="U25" s="293"/>
      <c r="V25" s="300" t="s">
        <v>3039</v>
      </c>
    </row>
    <row r="26" spans="1:22" ht="24" customHeight="1" x14ac:dyDescent="0.25">
      <c r="C26" s="53" t="s">
        <v>2929</v>
      </c>
      <c r="D26" s="296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1" t="s">
        <v>3040</v>
      </c>
      <c r="P26" s="293"/>
      <c r="Q26" s="293"/>
      <c r="R26" s="291" t="s">
        <v>3041</v>
      </c>
      <c r="S26" s="292"/>
      <c r="T26" s="293"/>
      <c r="U26" s="293"/>
      <c r="V26" s="301"/>
    </row>
    <row r="27" spans="1:22" ht="24" customHeight="1" x14ac:dyDescent="0.25">
      <c r="C27" s="53" t="s">
        <v>2931</v>
      </c>
      <c r="D27" s="297"/>
      <c r="E27" s="293"/>
      <c r="F27" s="293"/>
      <c r="G27" s="293"/>
      <c r="H27" s="293"/>
      <c r="I27" s="293"/>
      <c r="J27" s="293"/>
      <c r="K27" s="293"/>
      <c r="L27" s="293"/>
      <c r="M27" s="292"/>
      <c r="N27" s="293"/>
      <c r="O27" s="293"/>
      <c r="P27" s="293"/>
      <c r="Q27" s="293"/>
      <c r="R27" s="292"/>
      <c r="S27" s="291" t="s">
        <v>3042</v>
      </c>
      <c r="T27" s="293"/>
      <c r="U27" s="293"/>
      <c r="V27" s="301"/>
    </row>
    <row r="28" spans="1:22" ht="24" customHeight="1" x14ac:dyDescent="0.25">
      <c r="C28" s="53" t="s">
        <v>2933</v>
      </c>
      <c r="D28" s="295" t="s">
        <v>3043</v>
      </c>
      <c r="E28" s="293"/>
      <c r="F28" s="292"/>
      <c r="G28" s="292"/>
      <c r="H28" s="292"/>
      <c r="I28" s="293"/>
      <c r="J28" s="293"/>
      <c r="K28" s="293"/>
      <c r="L28" s="293"/>
      <c r="M28" s="291" t="s">
        <v>3044</v>
      </c>
      <c r="N28" s="293"/>
      <c r="O28" s="293"/>
      <c r="P28" s="293"/>
      <c r="Q28" s="293"/>
      <c r="R28" s="291" t="s">
        <v>3045</v>
      </c>
      <c r="S28" s="293"/>
      <c r="T28" s="292"/>
      <c r="U28" s="292"/>
      <c r="V28" s="301"/>
    </row>
    <row r="29" spans="1:22" ht="24" customHeight="1" thickBot="1" x14ac:dyDescent="0.3">
      <c r="C29" s="53" t="s">
        <v>2935</v>
      </c>
      <c r="D29" s="297"/>
      <c r="E29" s="292"/>
      <c r="F29" s="61" t="s">
        <v>3046</v>
      </c>
      <c r="G29" s="61" t="s">
        <v>3047</v>
      </c>
      <c r="H29" s="61" t="s">
        <v>3048</v>
      </c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61" t="s">
        <v>3049</v>
      </c>
      <c r="U29" s="61" t="s">
        <v>3050</v>
      </c>
      <c r="V29" s="299"/>
    </row>
    <row r="30" spans="1:22" ht="15" customHeight="1" thickTop="1" x14ac:dyDescent="0.25"/>
    <row r="33" spans="1:19" ht="24.95" customHeight="1" thickBot="1" x14ac:dyDescent="0.4">
      <c r="A33" s="52" t="s">
        <v>2318</v>
      </c>
      <c r="D33" s="51">
        <v>1</v>
      </c>
      <c r="E33" s="51">
        <v>2</v>
      </c>
      <c r="F33" s="51">
        <v>3</v>
      </c>
      <c r="G33" s="51">
        <v>4</v>
      </c>
      <c r="H33" s="51">
        <v>5</v>
      </c>
      <c r="I33" s="51">
        <v>6</v>
      </c>
      <c r="J33" s="51">
        <v>7</v>
      </c>
      <c r="K33" s="51">
        <v>8</v>
      </c>
      <c r="L33" s="51">
        <v>9</v>
      </c>
      <c r="M33" s="51">
        <v>10</v>
      </c>
      <c r="N33" s="51">
        <v>11</v>
      </c>
      <c r="O33" s="51">
        <v>12</v>
      </c>
      <c r="P33" s="51">
        <v>13</v>
      </c>
      <c r="Q33" s="51">
        <v>14</v>
      </c>
      <c r="R33" s="51">
        <v>15</v>
      </c>
      <c r="S33" s="51">
        <v>16</v>
      </c>
    </row>
    <row r="34" spans="1:19" ht="24" customHeight="1" thickTop="1" x14ac:dyDescent="0.25">
      <c r="C34" s="53" t="s">
        <v>2911</v>
      </c>
      <c r="D34" s="302" t="s">
        <v>2947</v>
      </c>
      <c r="E34" s="294" t="s">
        <v>3051</v>
      </c>
      <c r="F34" s="294" t="s">
        <v>3052</v>
      </c>
      <c r="G34" s="294" t="s">
        <v>3053</v>
      </c>
      <c r="H34" s="294" t="s">
        <v>3054</v>
      </c>
      <c r="I34" s="294" t="s">
        <v>3055</v>
      </c>
      <c r="J34" s="294" t="s">
        <v>3056</v>
      </c>
      <c r="K34" s="294" t="s">
        <v>3057</v>
      </c>
      <c r="L34" s="294" t="s">
        <v>3058</v>
      </c>
      <c r="M34" s="294" t="s">
        <v>3059</v>
      </c>
      <c r="N34" s="294" t="s">
        <v>3060</v>
      </c>
      <c r="O34" s="294" t="s">
        <v>3061</v>
      </c>
      <c r="P34" s="294" t="s">
        <v>3062</v>
      </c>
      <c r="Q34" s="294" t="s">
        <v>3063</v>
      </c>
      <c r="R34" s="294" t="s">
        <v>3064</v>
      </c>
      <c r="S34" s="298" t="s">
        <v>3065</v>
      </c>
    </row>
    <row r="35" spans="1:19" ht="24" customHeight="1" x14ac:dyDescent="0.25">
      <c r="C35" s="53" t="s">
        <v>2914</v>
      </c>
      <c r="D35" s="296"/>
      <c r="E35" s="292"/>
      <c r="F35" s="293"/>
      <c r="G35" s="293"/>
      <c r="H35" s="292"/>
      <c r="I35" s="293"/>
      <c r="J35" s="293"/>
      <c r="K35" s="293"/>
      <c r="L35" s="293"/>
      <c r="M35" s="293"/>
      <c r="N35" s="293"/>
      <c r="O35" s="293"/>
      <c r="P35" s="292"/>
      <c r="Q35" s="293"/>
      <c r="R35" s="293"/>
      <c r="S35" s="299"/>
    </row>
    <row r="36" spans="1:19" ht="24" customHeight="1" x14ac:dyDescent="0.25">
      <c r="C36" s="53" t="s">
        <v>2916</v>
      </c>
      <c r="D36" s="296"/>
      <c r="E36" s="291" t="s">
        <v>3066</v>
      </c>
      <c r="F36" s="293"/>
      <c r="G36" s="293"/>
      <c r="H36" s="291" t="s">
        <v>3067</v>
      </c>
      <c r="I36" s="293"/>
      <c r="J36" s="293"/>
      <c r="K36" s="293"/>
      <c r="L36" s="293"/>
      <c r="M36" s="293"/>
      <c r="N36" s="293"/>
      <c r="O36" s="293"/>
      <c r="P36" s="291" t="s">
        <v>3068</v>
      </c>
      <c r="Q36" s="293"/>
      <c r="R36" s="293"/>
      <c r="S36" s="300" t="s">
        <v>3069</v>
      </c>
    </row>
    <row r="37" spans="1:19" ht="24" customHeight="1" x14ac:dyDescent="0.25">
      <c r="C37" s="53" t="s">
        <v>2918</v>
      </c>
      <c r="D37" s="296"/>
      <c r="E37" s="292"/>
      <c r="F37" s="292"/>
      <c r="G37" s="292"/>
      <c r="H37" s="293"/>
      <c r="I37" s="292"/>
      <c r="J37" s="293"/>
      <c r="K37" s="293"/>
      <c r="L37" s="293"/>
      <c r="M37" s="293"/>
      <c r="N37" s="293"/>
      <c r="O37" s="293"/>
      <c r="P37" s="292"/>
      <c r="Q37" s="292"/>
      <c r="R37" s="292"/>
      <c r="S37" s="301"/>
    </row>
    <row r="38" spans="1:19" ht="24" customHeight="1" x14ac:dyDescent="0.25">
      <c r="C38" s="53" t="s">
        <v>2921</v>
      </c>
      <c r="D38" s="296"/>
      <c r="E38" s="291" t="s">
        <v>3070</v>
      </c>
      <c r="F38" s="291" t="s">
        <v>3071</v>
      </c>
      <c r="G38" s="57" t="s">
        <v>3072</v>
      </c>
      <c r="H38" s="293"/>
      <c r="I38" s="291" t="s">
        <v>3073</v>
      </c>
      <c r="J38" s="292"/>
      <c r="K38" s="293"/>
      <c r="L38" s="293"/>
      <c r="M38" s="293"/>
      <c r="N38" s="293"/>
      <c r="O38" s="293"/>
      <c r="P38" s="291" t="s">
        <v>3074</v>
      </c>
      <c r="Q38" s="291" t="s">
        <v>3075</v>
      </c>
      <c r="R38" s="291" t="s">
        <v>3076</v>
      </c>
      <c r="S38" s="301"/>
    </row>
    <row r="39" spans="1:19" ht="24" customHeight="1" x14ac:dyDescent="0.25">
      <c r="C39" s="53" t="s">
        <v>2924</v>
      </c>
      <c r="D39" s="296"/>
      <c r="E39" s="293"/>
      <c r="F39" s="293"/>
      <c r="G39" s="291" t="s">
        <v>3077</v>
      </c>
      <c r="H39" s="293"/>
      <c r="I39" s="293"/>
      <c r="J39" s="57" t="s">
        <v>3078</v>
      </c>
      <c r="K39" s="293"/>
      <c r="L39" s="293"/>
      <c r="M39" s="293"/>
      <c r="N39" s="293"/>
      <c r="O39" s="293"/>
      <c r="P39" s="293"/>
      <c r="Q39" s="293"/>
      <c r="R39" s="293"/>
      <c r="S39" s="299"/>
    </row>
    <row r="40" spans="1:19" ht="24" customHeight="1" x14ac:dyDescent="0.25">
      <c r="C40" s="53" t="s">
        <v>2925</v>
      </c>
      <c r="D40" s="297"/>
      <c r="E40" s="293"/>
      <c r="F40" s="293"/>
      <c r="G40" s="293"/>
      <c r="H40" s="292"/>
      <c r="I40" s="293"/>
      <c r="J40" s="291" t="s">
        <v>3079</v>
      </c>
      <c r="K40" s="293"/>
      <c r="L40" s="293"/>
      <c r="M40" s="293"/>
      <c r="N40" s="293"/>
      <c r="O40" s="293"/>
      <c r="P40" s="293"/>
      <c r="Q40" s="293"/>
      <c r="R40" s="293"/>
      <c r="S40" s="300" t="s">
        <v>3080</v>
      </c>
    </row>
    <row r="41" spans="1:19" ht="24" customHeight="1" x14ac:dyDescent="0.25">
      <c r="C41" s="53" t="s">
        <v>2927</v>
      </c>
      <c r="D41" s="295" t="s">
        <v>3081</v>
      </c>
      <c r="E41" s="292"/>
      <c r="F41" s="292"/>
      <c r="G41" s="293"/>
      <c r="H41" s="291" t="s">
        <v>3082</v>
      </c>
      <c r="I41" s="292"/>
      <c r="J41" s="293"/>
      <c r="K41" s="293"/>
      <c r="L41" s="293"/>
      <c r="M41" s="293"/>
      <c r="N41" s="293"/>
      <c r="O41" s="293"/>
      <c r="P41" s="292"/>
      <c r="Q41" s="292"/>
      <c r="R41" s="292"/>
      <c r="S41" s="301"/>
    </row>
    <row r="42" spans="1:19" ht="24" customHeight="1" x14ac:dyDescent="0.25">
      <c r="C42" s="53" t="s">
        <v>2929</v>
      </c>
      <c r="D42" s="296"/>
      <c r="E42" s="291" t="s">
        <v>3083</v>
      </c>
      <c r="F42" s="291" t="s">
        <v>3084</v>
      </c>
      <c r="G42" s="293"/>
      <c r="H42" s="293"/>
      <c r="I42" s="291" t="s">
        <v>3085</v>
      </c>
      <c r="J42" s="293"/>
      <c r="K42" s="293"/>
      <c r="L42" s="293"/>
      <c r="M42" s="293"/>
      <c r="N42" s="293"/>
      <c r="O42" s="293"/>
      <c r="P42" s="291" t="s">
        <v>3086</v>
      </c>
      <c r="Q42" s="291" t="s">
        <v>3087</v>
      </c>
      <c r="R42" s="291" t="s">
        <v>3088</v>
      </c>
      <c r="S42" s="301"/>
    </row>
    <row r="43" spans="1:19" ht="24" customHeight="1" x14ac:dyDescent="0.25">
      <c r="C43" s="53" t="s">
        <v>2931</v>
      </c>
      <c r="D43" s="297"/>
      <c r="E43" s="293"/>
      <c r="F43" s="293"/>
      <c r="G43" s="292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301"/>
    </row>
    <row r="44" spans="1:19" ht="24" customHeight="1" x14ac:dyDescent="0.25">
      <c r="C44" s="53" t="s">
        <v>2933</v>
      </c>
      <c r="D44" s="295" t="s">
        <v>3089</v>
      </c>
      <c r="E44" s="293"/>
      <c r="F44" s="293"/>
      <c r="G44" s="291" t="s">
        <v>3090</v>
      </c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301"/>
    </row>
    <row r="45" spans="1:19" ht="24" customHeight="1" thickBot="1" x14ac:dyDescent="0.3">
      <c r="C45" s="53" t="s">
        <v>2935</v>
      </c>
      <c r="D45" s="297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9"/>
    </row>
    <row r="46" spans="1:19" ht="15" customHeight="1" thickTop="1" x14ac:dyDescent="0.25"/>
    <row r="49" spans="1:22" ht="24.95" customHeight="1" thickBot="1" x14ac:dyDescent="0.4">
      <c r="A49" s="52" t="s">
        <v>2384</v>
      </c>
      <c r="D49" s="51">
        <v>1</v>
      </c>
      <c r="E49" s="51">
        <v>2</v>
      </c>
      <c r="F49" s="51">
        <v>3</v>
      </c>
      <c r="G49" s="51">
        <v>4</v>
      </c>
      <c r="H49" s="51">
        <v>5</v>
      </c>
      <c r="I49" s="51">
        <v>6</v>
      </c>
      <c r="J49" s="51">
        <v>7</v>
      </c>
      <c r="K49" s="51">
        <v>8</v>
      </c>
      <c r="L49" s="51">
        <v>9</v>
      </c>
      <c r="M49" s="51">
        <v>10</v>
      </c>
      <c r="N49" s="51">
        <v>11</v>
      </c>
      <c r="O49" s="51">
        <v>12</v>
      </c>
      <c r="P49" s="51">
        <v>13</v>
      </c>
      <c r="Q49" s="51">
        <v>14</v>
      </c>
      <c r="R49" s="51">
        <v>15</v>
      </c>
      <c r="S49" s="51">
        <v>16</v>
      </c>
      <c r="T49" s="51">
        <v>17</v>
      </c>
      <c r="U49" s="51">
        <v>18</v>
      </c>
      <c r="V49" s="51">
        <v>19</v>
      </c>
    </row>
    <row r="50" spans="1:22" ht="24" customHeight="1" thickTop="1" x14ac:dyDescent="0.25">
      <c r="C50" s="53" t="s">
        <v>2911</v>
      </c>
      <c r="D50" s="302" t="s">
        <v>2947</v>
      </c>
      <c r="E50" s="294" t="s">
        <v>3091</v>
      </c>
      <c r="F50" s="294" t="s">
        <v>3092</v>
      </c>
      <c r="G50" s="294" t="s">
        <v>3093</v>
      </c>
      <c r="H50" s="294" t="s">
        <v>3094</v>
      </c>
      <c r="I50" s="294" t="s">
        <v>3095</v>
      </c>
      <c r="J50" s="294" t="s">
        <v>3096</v>
      </c>
      <c r="K50" s="294" t="s">
        <v>3097</v>
      </c>
      <c r="L50" s="294" t="s">
        <v>3098</v>
      </c>
      <c r="M50" s="294" t="s">
        <v>3099</v>
      </c>
      <c r="N50" s="294" t="s">
        <v>3100</v>
      </c>
      <c r="O50" s="294" t="s">
        <v>3101</v>
      </c>
      <c r="P50" s="294" t="s">
        <v>3102</v>
      </c>
      <c r="Q50" s="294" t="s">
        <v>3103</v>
      </c>
      <c r="R50" s="294" t="s">
        <v>3104</v>
      </c>
      <c r="S50" s="294" t="s">
        <v>3105</v>
      </c>
      <c r="T50" s="294" t="s">
        <v>3106</v>
      </c>
      <c r="U50" s="294" t="s">
        <v>3107</v>
      </c>
      <c r="V50" s="298" t="s">
        <v>3108</v>
      </c>
    </row>
    <row r="51" spans="1:22" ht="24" customHeight="1" x14ac:dyDescent="0.25">
      <c r="C51" s="53" t="s">
        <v>2914</v>
      </c>
      <c r="D51" s="296"/>
      <c r="E51" s="293"/>
      <c r="F51" s="293"/>
      <c r="G51" s="293"/>
      <c r="H51" s="293"/>
      <c r="I51" s="292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301"/>
    </row>
    <row r="52" spans="1:22" ht="24" customHeight="1" x14ac:dyDescent="0.25">
      <c r="C52" s="53" t="s">
        <v>2916</v>
      </c>
      <c r="D52" s="296"/>
      <c r="E52" s="293"/>
      <c r="F52" s="293"/>
      <c r="G52" s="293"/>
      <c r="H52" s="293"/>
      <c r="I52" s="291" t="s">
        <v>3109</v>
      </c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301"/>
    </row>
    <row r="53" spans="1:22" ht="24" customHeight="1" x14ac:dyDescent="0.25">
      <c r="C53" s="53" t="s">
        <v>2918</v>
      </c>
      <c r="D53" s="296"/>
      <c r="E53" s="293"/>
      <c r="F53" s="292"/>
      <c r="G53" s="292"/>
      <c r="H53" s="292"/>
      <c r="I53" s="293"/>
      <c r="J53" s="292"/>
      <c r="K53" s="292"/>
      <c r="L53" s="292"/>
      <c r="M53" s="292"/>
      <c r="N53" s="293"/>
      <c r="O53" s="292"/>
      <c r="P53" s="292"/>
      <c r="Q53" s="293"/>
      <c r="R53" s="293"/>
      <c r="S53" s="292"/>
      <c r="T53" s="292"/>
      <c r="U53" s="292"/>
      <c r="V53" s="299"/>
    </row>
    <row r="54" spans="1:22" ht="24" customHeight="1" x14ac:dyDescent="0.25">
      <c r="C54" s="53" t="s">
        <v>2921</v>
      </c>
      <c r="D54" s="296"/>
      <c r="E54" s="293"/>
      <c r="F54" s="291" t="s">
        <v>3110</v>
      </c>
      <c r="G54" s="291" t="s">
        <v>3111</v>
      </c>
      <c r="H54" s="291" t="s">
        <v>3112</v>
      </c>
      <c r="I54" s="293"/>
      <c r="J54" s="291" t="s">
        <v>3113</v>
      </c>
      <c r="K54" s="291" t="s">
        <v>3114</v>
      </c>
      <c r="L54" s="291" t="s">
        <v>3115</v>
      </c>
      <c r="M54" s="291" t="s">
        <v>3116</v>
      </c>
      <c r="N54" s="293"/>
      <c r="O54" s="57" t="s">
        <v>2972</v>
      </c>
      <c r="P54" s="57" t="s">
        <v>3117</v>
      </c>
      <c r="Q54" s="293"/>
      <c r="R54" s="293"/>
      <c r="S54" s="291" t="s">
        <v>3118</v>
      </c>
      <c r="T54" s="291" t="s">
        <v>3119</v>
      </c>
      <c r="U54" s="291" t="s">
        <v>3120</v>
      </c>
      <c r="V54" s="300" t="s">
        <v>3121</v>
      </c>
    </row>
    <row r="55" spans="1:22" ht="24" customHeight="1" x14ac:dyDescent="0.25">
      <c r="C55" s="53" t="s">
        <v>2924</v>
      </c>
      <c r="D55" s="296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1" t="s">
        <v>3122</v>
      </c>
      <c r="P55" s="291" t="s">
        <v>3123</v>
      </c>
      <c r="Q55" s="292"/>
      <c r="R55" s="292"/>
      <c r="S55" s="293"/>
      <c r="T55" s="293"/>
      <c r="U55" s="293"/>
      <c r="V55" s="301"/>
    </row>
    <row r="56" spans="1:22" ht="24" customHeight="1" x14ac:dyDescent="0.25">
      <c r="C56" s="53" t="s">
        <v>2925</v>
      </c>
      <c r="D56" s="297"/>
      <c r="E56" s="292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1" t="s">
        <v>3124</v>
      </c>
      <c r="R56" s="57" t="s">
        <v>3125</v>
      </c>
      <c r="S56" s="293"/>
      <c r="T56" s="293"/>
      <c r="U56" s="292"/>
      <c r="V56" s="299"/>
    </row>
    <row r="57" spans="1:22" ht="24" customHeight="1" x14ac:dyDescent="0.25">
      <c r="C57" s="53" t="s">
        <v>2927</v>
      </c>
      <c r="D57" s="295" t="s">
        <v>3126</v>
      </c>
      <c r="E57" s="291" t="s">
        <v>3127</v>
      </c>
      <c r="F57" s="293"/>
      <c r="G57" s="292"/>
      <c r="H57" s="292"/>
      <c r="I57" s="293"/>
      <c r="J57" s="292"/>
      <c r="K57" s="292"/>
      <c r="L57" s="292"/>
      <c r="M57" s="292"/>
      <c r="N57" s="293"/>
      <c r="O57" s="293"/>
      <c r="P57" s="293"/>
      <c r="Q57" s="293"/>
      <c r="R57" s="291" t="s">
        <v>3128</v>
      </c>
      <c r="S57" s="292"/>
      <c r="T57" s="292"/>
      <c r="U57" s="291" t="s">
        <v>3129</v>
      </c>
      <c r="V57" s="60" t="s">
        <v>3130</v>
      </c>
    </row>
    <row r="58" spans="1:22" ht="24" customHeight="1" x14ac:dyDescent="0.25">
      <c r="C58" s="53" t="s">
        <v>2929</v>
      </c>
      <c r="D58" s="296"/>
      <c r="E58" s="293"/>
      <c r="F58" s="293"/>
      <c r="G58" s="291" t="s">
        <v>3131</v>
      </c>
      <c r="H58" s="291" t="s">
        <v>3132</v>
      </c>
      <c r="I58" s="293"/>
      <c r="J58" s="291" t="s">
        <v>3133</v>
      </c>
      <c r="K58" s="291" t="s">
        <v>3134</v>
      </c>
      <c r="L58" s="291" t="s">
        <v>3135</v>
      </c>
      <c r="M58" s="291" t="s">
        <v>3136</v>
      </c>
      <c r="N58" s="293"/>
      <c r="O58" s="293"/>
      <c r="P58" s="293"/>
      <c r="Q58" s="293"/>
      <c r="R58" s="293"/>
      <c r="S58" s="291" t="s">
        <v>3137</v>
      </c>
      <c r="T58" s="291" t="s">
        <v>3138</v>
      </c>
      <c r="U58" s="293"/>
      <c r="V58" s="300" t="s">
        <v>3139</v>
      </c>
    </row>
    <row r="59" spans="1:22" ht="24" customHeight="1" x14ac:dyDescent="0.25">
      <c r="C59" s="53" t="s">
        <v>2931</v>
      </c>
      <c r="D59" s="297"/>
      <c r="E59" s="292"/>
      <c r="F59" s="292"/>
      <c r="G59" s="293"/>
      <c r="H59" s="293"/>
      <c r="I59" s="292"/>
      <c r="J59" s="293"/>
      <c r="K59" s="293"/>
      <c r="L59" s="293"/>
      <c r="M59" s="293"/>
      <c r="N59" s="293"/>
      <c r="O59" s="293"/>
      <c r="P59" s="293"/>
      <c r="Q59" s="292"/>
      <c r="R59" s="293"/>
      <c r="S59" s="292"/>
      <c r="T59" s="293"/>
      <c r="U59" s="293"/>
      <c r="V59" s="301"/>
    </row>
    <row r="60" spans="1:22" ht="24" customHeight="1" x14ac:dyDescent="0.25">
      <c r="C60" s="53" t="s">
        <v>2933</v>
      </c>
      <c r="D60" s="295" t="s">
        <v>3089</v>
      </c>
      <c r="E60" s="291" t="s">
        <v>3140</v>
      </c>
      <c r="F60" s="291" t="s">
        <v>3141</v>
      </c>
      <c r="G60" s="293"/>
      <c r="H60" s="293"/>
      <c r="I60" s="291" t="s">
        <v>3142</v>
      </c>
      <c r="J60" s="293"/>
      <c r="K60" s="293"/>
      <c r="L60" s="293"/>
      <c r="M60" s="293"/>
      <c r="N60" s="293"/>
      <c r="O60" s="293"/>
      <c r="P60" s="293"/>
      <c r="Q60" s="291" t="s">
        <v>3143</v>
      </c>
      <c r="R60" s="293"/>
      <c r="S60" s="291" t="s">
        <v>3144</v>
      </c>
      <c r="T60" s="293"/>
      <c r="U60" s="293"/>
      <c r="V60" s="301"/>
    </row>
    <row r="61" spans="1:22" ht="24" customHeight="1" thickBot="1" x14ac:dyDescent="0.3">
      <c r="C61" s="53" t="s">
        <v>2935</v>
      </c>
      <c r="D61" s="297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9"/>
    </row>
    <row r="62" spans="1:22" ht="15" customHeight="1" thickTop="1" x14ac:dyDescent="0.25"/>
    <row r="65" spans="1:21" ht="24.95" customHeight="1" thickBot="1" x14ac:dyDescent="0.4">
      <c r="A65" s="52" t="s">
        <v>2490</v>
      </c>
      <c r="D65" s="51">
        <v>1</v>
      </c>
      <c r="E65" s="51">
        <v>2</v>
      </c>
      <c r="F65" s="51">
        <v>3</v>
      </c>
      <c r="G65" s="51">
        <v>4</v>
      </c>
      <c r="H65" s="51">
        <v>5</v>
      </c>
      <c r="I65" s="51">
        <v>6</v>
      </c>
      <c r="J65" s="51">
        <v>7</v>
      </c>
      <c r="K65" s="51">
        <v>8</v>
      </c>
      <c r="L65" s="51">
        <v>9</v>
      </c>
      <c r="M65" s="51">
        <v>10</v>
      </c>
      <c r="N65" s="51">
        <v>11</v>
      </c>
      <c r="O65" s="51">
        <v>12</v>
      </c>
      <c r="P65" s="51">
        <v>13</v>
      </c>
      <c r="Q65" s="51">
        <v>14</v>
      </c>
      <c r="R65" s="51">
        <v>15</v>
      </c>
      <c r="S65" s="51">
        <v>16</v>
      </c>
      <c r="T65" s="51">
        <v>17</v>
      </c>
      <c r="U65" s="51">
        <v>18</v>
      </c>
    </row>
    <row r="66" spans="1:21" ht="24" customHeight="1" thickTop="1" x14ac:dyDescent="0.25">
      <c r="C66" s="53" t="s">
        <v>2911</v>
      </c>
      <c r="D66" s="302" t="s">
        <v>2947</v>
      </c>
      <c r="E66" s="294" t="s">
        <v>3145</v>
      </c>
      <c r="F66" s="294" t="s">
        <v>3146</v>
      </c>
      <c r="G66" s="294" t="s">
        <v>3147</v>
      </c>
      <c r="H66" s="294" t="s">
        <v>3148</v>
      </c>
      <c r="I66" s="294" t="s">
        <v>3149</v>
      </c>
      <c r="J66" s="294" t="s">
        <v>3150</v>
      </c>
      <c r="K66" s="294" t="s">
        <v>3151</v>
      </c>
      <c r="L66" s="294" t="s">
        <v>3152</v>
      </c>
      <c r="M66" s="294" t="s">
        <v>3153</v>
      </c>
      <c r="N66" s="294" t="s">
        <v>3154</v>
      </c>
      <c r="O66" s="294" t="s">
        <v>3155</v>
      </c>
      <c r="P66" s="294" t="s">
        <v>3156</v>
      </c>
      <c r="Q66" s="294" t="s">
        <v>3157</v>
      </c>
      <c r="R66" s="294" t="s">
        <v>3158</v>
      </c>
      <c r="S66" s="294" t="s">
        <v>3159</v>
      </c>
      <c r="T66" s="294" t="s">
        <v>3160</v>
      </c>
      <c r="U66" s="298" t="s">
        <v>2216</v>
      </c>
    </row>
    <row r="67" spans="1:21" ht="24" customHeight="1" x14ac:dyDescent="0.25">
      <c r="C67" s="53" t="s">
        <v>2914</v>
      </c>
      <c r="D67" s="296"/>
      <c r="E67" s="293"/>
      <c r="F67" s="293"/>
      <c r="G67" s="293"/>
      <c r="H67" s="293"/>
      <c r="I67" s="293"/>
      <c r="J67" s="293"/>
      <c r="K67" s="293"/>
      <c r="L67" s="292"/>
      <c r="M67" s="293"/>
      <c r="N67" s="293"/>
      <c r="O67" s="293"/>
      <c r="P67" s="293"/>
      <c r="Q67" s="293"/>
      <c r="R67" s="293"/>
      <c r="S67" s="293"/>
      <c r="T67" s="293"/>
      <c r="U67" s="299"/>
    </row>
    <row r="68" spans="1:21" ht="24" customHeight="1" x14ac:dyDescent="0.25">
      <c r="C68" s="53" t="s">
        <v>2916</v>
      </c>
      <c r="D68" s="296"/>
      <c r="E68" s="293"/>
      <c r="F68" s="293"/>
      <c r="G68" s="293"/>
      <c r="H68" s="293"/>
      <c r="I68" s="293"/>
      <c r="J68" s="293"/>
      <c r="K68" s="293"/>
      <c r="L68" s="291" t="s">
        <v>3161</v>
      </c>
      <c r="M68" s="293"/>
      <c r="N68" s="293"/>
      <c r="O68" s="293"/>
      <c r="P68" s="293"/>
      <c r="Q68" s="293"/>
      <c r="R68" s="293"/>
      <c r="S68" s="293"/>
      <c r="T68" s="293"/>
      <c r="U68" s="300" t="s">
        <v>3162</v>
      </c>
    </row>
    <row r="69" spans="1:21" ht="24" customHeight="1" x14ac:dyDescent="0.25">
      <c r="C69" s="53" t="s">
        <v>2918</v>
      </c>
      <c r="D69" s="296"/>
      <c r="E69" s="293"/>
      <c r="F69" s="293"/>
      <c r="G69" s="293"/>
      <c r="H69" s="293"/>
      <c r="I69" s="292"/>
      <c r="J69" s="292"/>
      <c r="K69" s="293"/>
      <c r="L69" s="292"/>
      <c r="M69" s="293"/>
      <c r="N69" s="293"/>
      <c r="O69" s="292"/>
      <c r="P69" s="292"/>
      <c r="Q69" s="292"/>
      <c r="R69" s="292"/>
      <c r="S69" s="293"/>
      <c r="T69" s="293"/>
      <c r="U69" s="301"/>
    </row>
    <row r="70" spans="1:21" ht="24" customHeight="1" x14ac:dyDescent="0.25">
      <c r="C70" s="53" t="s">
        <v>2921</v>
      </c>
      <c r="D70" s="297"/>
      <c r="E70" s="293"/>
      <c r="F70" s="293"/>
      <c r="G70" s="293"/>
      <c r="H70" s="293"/>
      <c r="I70" s="291" t="s">
        <v>3163</v>
      </c>
      <c r="J70" s="291" t="s">
        <v>3164</v>
      </c>
      <c r="K70" s="293"/>
      <c r="L70" s="291" t="s">
        <v>3165</v>
      </c>
      <c r="M70" s="293"/>
      <c r="N70" s="293"/>
      <c r="O70" s="291" t="s">
        <v>3166</v>
      </c>
      <c r="P70" s="291" t="s">
        <v>3167</v>
      </c>
      <c r="Q70" s="291" t="s">
        <v>3168</v>
      </c>
      <c r="R70" s="291" t="s">
        <v>3169</v>
      </c>
      <c r="S70" s="293"/>
      <c r="T70" s="293"/>
      <c r="U70" s="301"/>
    </row>
    <row r="71" spans="1:21" ht="24" customHeight="1" x14ac:dyDescent="0.25">
      <c r="C71" s="53" t="s">
        <v>2924</v>
      </c>
      <c r="D71" s="295" t="s">
        <v>3170</v>
      </c>
      <c r="E71" s="292"/>
      <c r="F71" s="292"/>
      <c r="G71" s="292"/>
      <c r="H71" s="292"/>
      <c r="I71" s="293"/>
      <c r="J71" s="293"/>
      <c r="K71" s="293"/>
      <c r="L71" s="292"/>
      <c r="M71" s="293"/>
      <c r="N71" s="293"/>
      <c r="O71" s="293"/>
      <c r="P71" s="293"/>
      <c r="Q71" s="293"/>
      <c r="R71" s="293"/>
      <c r="S71" s="292"/>
      <c r="T71" s="292"/>
      <c r="U71" s="301"/>
    </row>
    <row r="72" spans="1:21" ht="24" customHeight="1" x14ac:dyDescent="0.25">
      <c r="C72" s="53" t="s">
        <v>2925</v>
      </c>
      <c r="D72" s="296"/>
      <c r="E72" s="291" t="s">
        <v>3171</v>
      </c>
      <c r="F72" s="291" t="s">
        <v>3172</v>
      </c>
      <c r="G72" s="291" t="s">
        <v>3173</v>
      </c>
      <c r="H72" s="291" t="s">
        <v>3174</v>
      </c>
      <c r="I72" s="293"/>
      <c r="J72" s="293"/>
      <c r="K72" s="292"/>
      <c r="L72" s="291" t="s">
        <v>3175</v>
      </c>
      <c r="M72" s="293"/>
      <c r="N72" s="293"/>
      <c r="O72" s="293"/>
      <c r="P72" s="293"/>
      <c r="Q72" s="293"/>
      <c r="R72" s="293"/>
      <c r="S72" s="291" t="s">
        <v>3176</v>
      </c>
      <c r="T72" s="291" t="s">
        <v>3177</v>
      </c>
      <c r="U72" s="299"/>
    </row>
    <row r="73" spans="1:21" ht="24" customHeight="1" x14ac:dyDescent="0.25">
      <c r="C73" s="53" t="s">
        <v>2927</v>
      </c>
      <c r="D73" s="297"/>
      <c r="E73" s="293"/>
      <c r="F73" s="293"/>
      <c r="G73" s="293"/>
      <c r="H73" s="293"/>
      <c r="I73" s="293"/>
      <c r="J73" s="293"/>
      <c r="K73" s="291" t="s">
        <v>3178</v>
      </c>
      <c r="L73" s="293"/>
      <c r="M73" s="293"/>
      <c r="N73" s="293"/>
      <c r="O73" s="292"/>
      <c r="P73" s="293"/>
      <c r="Q73" s="292"/>
      <c r="R73" s="292"/>
      <c r="S73" s="293"/>
      <c r="T73" s="293"/>
      <c r="U73" s="300" t="s">
        <v>3179</v>
      </c>
    </row>
    <row r="74" spans="1:21" ht="24" customHeight="1" x14ac:dyDescent="0.25">
      <c r="C74" s="53" t="s">
        <v>2929</v>
      </c>
      <c r="D74" s="59" t="s">
        <v>3180</v>
      </c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1" t="s">
        <v>3181</v>
      </c>
      <c r="P74" s="293"/>
      <c r="Q74" s="291" t="s">
        <v>3182</v>
      </c>
      <c r="R74" s="291" t="s">
        <v>3183</v>
      </c>
      <c r="S74" s="293"/>
      <c r="T74" s="293"/>
      <c r="U74" s="301"/>
    </row>
    <row r="75" spans="1:21" ht="24" customHeight="1" x14ac:dyDescent="0.25">
      <c r="C75" s="53" t="s">
        <v>2931</v>
      </c>
      <c r="D75" s="295" t="s">
        <v>3184</v>
      </c>
      <c r="E75" s="292"/>
      <c r="F75" s="293"/>
      <c r="G75" s="293"/>
      <c r="H75" s="293"/>
      <c r="I75" s="293"/>
      <c r="J75" s="293"/>
      <c r="K75" s="292"/>
      <c r="L75" s="293"/>
      <c r="M75" s="293"/>
      <c r="N75" s="293"/>
      <c r="O75" s="293"/>
      <c r="P75" s="292"/>
      <c r="Q75" s="293"/>
      <c r="R75" s="293"/>
      <c r="S75" s="293"/>
      <c r="T75" s="293"/>
      <c r="U75" s="301"/>
    </row>
    <row r="76" spans="1:21" ht="24" customHeight="1" x14ac:dyDescent="0.25">
      <c r="C76" s="53" t="s">
        <v>2933</v>
      </c>
      <c r="D76" s="296"/>
      <c r="E76" s="291" t="s">
        <v>3185</v>
      </c>
      <c r="F76" s="293"/>
      <c r="G76" s="293"/>
      <c r="H76" s="293"/>
      <c r="I76" s="293"/>
      <c r="J76" s="293"/>
      <c r="K76" s="291" t="s">
        <v>3186</v>
      </c>
      <c r="L76" s="293"/>
      <c r="M76" s="293"/>
      <c r="N76" s="293"/>
      <c r="O76" s="293"/>
      <c r="P76" s="291" t="s">
        <v>3187</v>
      </c>
      <c r="Q76" s="293"/>
      <c r="R76" s="293"/>
      <c r="S76" s="293"/>
      <c r="T76" s="293"/>
      <c r="U76" s="301"/>
    </row>
    <row r="77" spans="1:21" ht="24" customHeight="1" thickBot="1" x14ac:dyDescent="0.3">
      <c r="C77" s="53" t="s">
        <v>2935</v>
      </c>
      <c r="D77" s="297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9"/>
    </row>
    <row r="78" spans="1:21" ht="15" customHeight="1" thickTop="1" x14ac:dyDescent="0.25"/>
    <row r="81" spans="1:21" ht="24.95" customHeight="1" thickBot="1" x14ac:dyDescent="0.4">
      <c r="A81" s="52" t="s">
        <v>2574</v>
      </c>
      <c r="D81" s="51">
        <v>1</v>
      </c>
      <c r="E81" s="51">
        <v>2</v>
      </c>
      <c r="F81" s="51">
        <v>3</v>
      </c>
      <c r="G81" s="51">
        <v>4</v>
      </c>
      <c r="H81" s="51">
        <v>5</v>
      </c>
      <c r="I81" s="51">
        <v>6</v>
      </c>
      <c r="J81" s="51">
        <v>7</v>
      </c>
      <c r="K81" s="51">
        <v>8</v>
      </c>
      <c r="L81" s="51">
        <v>9</v>
      </c>
      <c r="M81" s="51">
        <v>10</v>
      </c>
      <c r="N81" s="51">
        <v>11</v>
      </c>
      <c r="O81" s="51">
        <v>12</v>
      </c>
      <c r="P81" s="51">
        <v>13</v>
      </c>
      <c r="Q81" s="51">
        <v>14</v>
      </c>
      <c r="R81" s="51">
        <v>15</v>
      </c>
      <c r="S81" s="51">
        <v>16</v>
      </c>
      <c r="T81" s="51">
        <v>17</v>
      </c>
      <c r="U81" s="51">
        <v>18</v>
      </c>
    </row>
    <row r="82" spans="1:21" ht="24" customHeight="1" thickTop="1" x14ac:dyDescent="0.25">
      <c r="C82" s="53" t="s">
        <v>2911</v>
      </c>
      <c r="D82" s="302" t="s">
        <v>2947</v>
      </c>
      <c r="E82" s="294" t="s">
        <v>3188</v>
      </c>
      <c r="F82" s="294" t="s">
        <v>3189</v>
      </c>
      <c r="G82" s="294" t="s">
        <v>3190</v>
      </c>
      <c r="H82" s="294" t="s">
        <v>3191</v>
      </c>
      <c r="I82" s="294" t="s">
        <v>3192</v>
      </c>
      <c r="J82" s="294" t="s">
        <v>3193</v>
      </c>
      <c r="K82" s="58" t="s">
        <v>3194</v>
      </c>
      <c r="L82" s="58" t="s">
        <v>3195</v>
      </c>
      <c r="M82" s="58" t="s">
        <v>3196</v>
      </c>
      <c r="N82" s="294" t="s">
        <v>3197</v>
      </c>
      <c r="O82" s="294" t="s">
        <v>3198</v>
      </c>
      <c r="P82" s="294" t="s">
        <v>3199</v>
      </c>
      <c r="Q82" s="294" t="s">
        <v>3200</v>
      </c>
      <c r="R82" s="294" t="s">
        <v>3201</v>
      </c>
      <c r="S82" s="58" t="s">
        <v>3202</v>
      </c>
      <c r="T82" s="294" t="s">
        <v>3203</v>
      </c>
      <c r="U82" s="298" t="s">
        <v>3204</v>
      </c>
    </row>
    <row r="83" spans="1:21" ht="24" customHeight="1" x14ac:dyDescent="0.25">
      <c r="C83" s="53" t="s">
        <v>2914</v>
      </c>
      <c r="D83" s="296"/>
      <c r="E83" s="292"/>
      <c r="F83" s="293"/>
      <c r="G83" s="293"/>
      <c r="H83" s="292"/>
      <c r="I83" s="293"/>
      <c r="J83" s="293"/>
      <c r="K83" s="291" t="s">
        <v>3205</v>
      </c>
      <c r="L83" s="291" t="s">
        <v>3206</v>
      </c>
      <c r="M83" s="291" t="s">
        <v>3207</v>
      </c>
      <c r="N83" s="292"/>
      <c r="O83" s="292"/>
      <c r="P83" s="292"/>
      <c r="Q83" s="293"/>
      <c r="R83" s="293"/>
      <c r="S83" s="291" t="s">
        <v>3208</v>
      </c>
      <c r="T83" s="292"/>
      <c r="U83" s="299"/>
    </row>
    <row r="84" spans="1:21" ht="24" customHeight="1" x14ac:dyDescent="0.25">
      <c r="C84" s="53" t="s">
        <v>2916</v>
      </c>
      <c r="D84" s="296"/>
      <c r="E84" s="291" t="s">
        <v>3209</v>
      </c>
      <c r="F84" s="293"/>
      <c r="G84" s="293"/>
      <c r="H84" s="291" t="s">
        <v>3210</v>
      </c>
      <c r="I84" s="293"/>
      <c r="J84" s="293"/>
      <c r="K84" s="293"/>
      <c r="L84" s="293"/>
      <c r="M84" s="293"/>
      <c r="N84" s="291" t="s">
        <v>3211</v>
      </c>
      <c r="O84" s="291" t="s">
        <v>3212</v>
      </c>
      <c r="P84" s="291" t="s">
        <v>3068</v>
      </c>
      <c r="Q84" s="292"/>
      <c r="R84" s="292"/>
      <c r="S84" s="293"/>
      <c r="T84" s="57" t="s">
        <v>3213</v>
      </c>
      <c r="U84" s="300" t="s">
        <v>3214</v>
      </c>
    </row>
    <row r="85" spans="1:21" ht="24" customHeight="1" x14ac:dyDescent="0.25">
      <c r="C85" s="53" t="s">
        <v>2918</v>
      </c>
      <c r="D85" s="296"/>
      <c r="E85" s="293"/>
      <c r="F85" s="293"/>
      <c r="G85" s="293"/>
      <c r="H85" s="292"/>
      <c r="I85" s="293"/>
      <c r="J85" s="293"/>
      <c r="K85" s="293"/>
      <c r="L85" s="293"/>
      <c r="M85" s="293"/>
      <c r="N85" s="293"/>
      <c r="O85" s="293"/>
      <c r="P85" s="292"/>
      <c r="Q85" s="291" t="s">
        <v>3215</v>
      </c>
      <c r="R85" s="291" t="s">
        <v>3216</v>
      </c>
      <c r="S85" s="293"/>
      <c r="T85" s="291" t="s">
        <v>3217</v>
      </c>
      <c r="U85" s="299"/>
    </row>
    <row r="86" spans="1:21" ht="24" customHeight="1" x14ac:dyDescent="0.25">
      <c r="C86" s="53" t="s">
        <v>2921</v>
      </c>
      <c r="D86" s="296"/>
      <c r="E86" s="292"/>
      <c r="F86" s="292"/>
      <c r="G86" s="292"/>
      <c r="H86" s="291" t="s">
        <v>3218</v>
      </c>
      <c r="I86" s="292"/>
      <c r="J86" s="292"/>
      <c r="K86" s="292"/>
      <c r="L86" s="292"/>
      <c r="M86" s="292"/>
      <c r="N86" s="292"/>
      <c r="O86" s="292"/>
      <c r="P86" s="57" t="s">
        <v>3117</v>
      </c>
      <c r="Q86" s="293"/>
      <c r="R86" s="293"/>
      <c r="S86" s="292"/>
      <c r="T86" s="293"/>
      <c r="U86" s="300" t="s">
        <v>3219</v>
      </c>
    </row>
    <row r="87" spans="1:21" ht="24" customHeight="1" x14ac:dyDescent="0.25">
      <c r="C87" s="53" t="s">
        <v>2924</v>
      </c>
      <c r="D87" s="296"/>
      <c r="E87" s="291" t="s">
        <v>3220</v>
      </c>
      <c r="F87" s="291" t="s">
        <v>3221</v>
      </c>
      <c r="G87" s="291" t="s">
        <v>3222</v>
      </c>
      <c r="H87" s="292"/>
      <c r="I87" s="291" t="s">
        <v>3223</v>
      </c>
      <c r="J87" s="291" t="s">
        <v>3224</v>
      </c>
      <c r="K87" s="291" t="s">
        <v>3225</v>
      </c>
      <c r="L87" s="291" t="s">
        <v>3226</v>
      </c>
      <c r="M87" s="291" t="s">
        <v>3227</v>
      </c>
      <c r="N87" s="291" t="s">
        <v>3228</v>
      </c>
      <c r="O87" s="291" t="s">
        <v>3229</v>
      </c>
      <c r="P87" s="291" t="s">
        <v>3230</v>
      </c>
      <c r="Q87" s="292"/>
      <c r="R87" s="292"/>
      <c r="S87" s="291" t="s">
        <v>3231</v>
      </c>
      <c r="T87" s="292"/>
      <c r="U87" s="299"/>
    </row>
    <row r="88" spans="1:21" ht="24" customHeight="1" x14ac:dyDescent="0.25">
      <c r="C88" s="53" t="s">
        <v>2925</v>
      </c>
      <c r="D88" s="297"/>
      <c r="E88" s="293"/>
      <c r="F88" s="293"/>
      <c r="G88" s="293"/>
      <c r="H88" s="291" t="s">
        <v>3232</v>
      </c>
      <c r="I88" s="293"/>
      <c r="J88" s="293"/>
      <c r="K88" s="293"/>
      <c r="L88" s="293"/>
      <c r="M88" s="293"/>
      <c r="N88" s="293"/>
      <c r="O88" s="293"/>
      <c r="P88" s="293"/>
      <c r="Q88" s="291" t="s">
        <v>3233</v>
      </c>
      <c r="R88" s="291" t="s">
        <v>3234</v>
      </c>
      <c r="S88" s="293"/>
      <c r="T88" s="291" t="s">
        <v>3235</v>
      </c>
      <c r="U88" s="300" t="s">
        <v>3236</v>
      </c>
    </row>
    <row r="89" spans="1:21" ht="24" customHeight="1" x14ac:dyDescent="0.25">
      <c r="C89" s="53" t="s">
        <v>2927</v>
      </c>
      <c r="D89" s="59" t="s">
        <v>3237</v>
      </c>
      <c r="E89" s="293"/>
      <c r="F89" s="293"/>
      <c r="G89" s="293"/>
      <c r="H89" s="292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9"/>
    </row>
    <row r="90" spans="1:21" ht="24" customHeight="1" x14ac:dyDescent="0.25">
      <c r="C90" s="53" t="s">
        <v>2929</v>
      </c>
      <c r="D90" s="295" t="s">
        <v>3238</v>
      </c>
      <c r="E90" s="293"/>
      <c r="F90" s="293"/>
      <c r="G90" s="293"/>
      <c r="H90" s="291" t="s">
        <v>3239</v>
      </c>
      <c r="I90" s="293"/>
      <c r="J90" s="293"/>
      <c r="K90" s="293"/>
      <c r="L90" s="293"/>
      <c r="M90" s="293"/>
      <c r="N90" s="293"/>
      <c r="O90" s="293"/>
      <c r="P90" s="292"/>
      <c r="Q90" s="292"/>
      <c r="R90" s="292"/>
      <c r="S90" s="293"/>
      <c r="T90" s="292"/>
      <c r="U90" s="300" t="s">
        <v>3240</v>
      </c>
    </row>
    <row r="91" spans="1:21" ht="24" customHeight="1" x14ac:dyDescent="0.25">
      <c r="C91" s="53" t="s">
        <v>2931</v>
      </c>
      <c r="D91" s="297"/>
      <c r="E91" s="293"/>
      <c r="F91" s="293"/>
      <c r="G91" s="293"/>
      <c r="H91" s="292"/>
      <c r="I91" s="293"/>
      <c r="J91" s="293"/>
      <c r="K91" s="293"/>
      <c r="L91" s="293"/>
      <c r="M91" s="293"/>
      <c r="N91" s="293"/>
      <c r="O91" s="293"/>
      <c r="P91" s="291" t="s">
        <v>3241</v>
      </c>
      <c r="Q91" s="291" t="s">
        <v>3242</v>
      </c>
      <c r="R91" s="291" t="s">
        <v>3243</v>
      </c>
      <c r="S91" s="293"/>
      <c r="T91" s="291" t="s">
        <v>3244</v>
      </c>
      <c r="U91" s="299"/>
    </row>
    <row r="92" spans="1:21" ht="24" customHeight="1" x14ac:dyDescent="0.25">
      <c r="C92" s="53" t="s">
        <v>2933</v>
      </c>
      <c r="D92" s="295" t="s">
        <v>3089</v>
      </c>
      <c r="E92" s="293"/>
      <c r="F92" s="293"/>
      <c r="G92" s="293"/>
      <c r="H92" s="291" t="s">
        <v>3245</v>
      </c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300" t="s">
        <v>3246</v>
      </c>
    </row>
    <row r="93" spans="1:21" ht="24" customHeight="1" thickBot="1" x14ac:dyDescent="0.3">
      <c r="C93" s="53" t="s">
        <v>2935</v>
      </c>
      <c r="D93" s="297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9"/>
    </row>
    <row r="94" spans="1:21" ht="15" customHeight="1" thickTop="1" x14ac:dyDescent="0.25"/>
    <row r="97" spans="1:17" ht="24.95" customHeight="1" thickBot="1" x14ac:dyDescent="0.4">
      <c r="A97" s="52" t="s">
        <v>2640</v>
      </c>
      <c r="D97" s="51">
        <v>1</v>
      </c>
      <c r="E97" s="51">
        <v>2</v>
      </c>
      <c r="F97" s="51">
        <v>3</v>
      </c>
      <c r="G97" s="51">
        <v>4</v>
      </c>
      <c r="H97" s="51">
        <v>5</v>
      </c>
      <c r="I97" s="51">
        <v>6</v>
      </c>
      <c r="J97" s="51">
        <v>7</v>
      </c>
      <c r="K97" s="51">
        <v>8</v>
      </c>
      <c r="L97" s="51">
        <v>9</v>
      </c>
      <c r="M97" s="51">
        <v>10</v>
      </c>
      <c r="N97" s="51">
        <v>11</v>
      </c>
      <c r="O97" s="51">
        <v>12</v>
      </c>
      <c r="P97" s="51">
        <v>13</v>
      </c>
      <c r="Q97" s="51">
        <v>14</v>
      </c>
    </row>
    <row r="98" spans="1:17" ht="24" customHeight="1" thickTop="1" x14ac:dyDescent="0.25">
      <c r="C98" s="53" t="s">
        <v>2911</v>
      </c>
      <c r="D98" s="302" t="s">
        <v>2947</v>
      </c>
      <c r="E98" s="294" t="s">
        <v>3188</v>
      </c>
      <c r="F98" s="294" t="s">
        <v>3247</v>
      </c>
      <c r="G98" s="294" t="s">
        <v>3248</v>
      </c>
      <c r="H98" s="294" t="s">
        <v>3249</v>
      </c>
      <c r="I98" s="294" t="s">
        <v>3250</v>
      </c>
      <c r="J98" s="294" t="s">
        <v>3251</v>
      </c>
      <c r="K98" s="294" t="s">
        <v>3252</v>
      </c>
      <c r="L98" s="294" t="s">
        <v>3253</v>
      </c>
      <c r="M98" s="294" t="s">
        <v>3254</v>
      </c>
      <c r="N98" s="294" t="s">
        <v>3255</v>
      </c>
      <c r="O98" s="294" t="s">
        <v>3256</v>
      </c>
      <c r="P98" s="294" t="s">
        <v>3062</v>
      </c>
      <c r="Q98" s="298" t="s">
        <v>3257</v>
      </c>
    </row>
    <row r="99" spans="1:17" ht="24" customHeight="1" x14ac:dyDescent="0.25">
      <c r="C99" s="53" t="s">
        <v>2914</v>
      </c>
      <c r="D99" s="296"/>
      <c r="E99" s="292"/>
      <c r="F99" s="293"/>
      <c r="G99" s="293"/>
      <c r="H99" s="292"/>
      <c r="I99" s="293"/>
      <c r="J99" s="293"/>
      <c r="K99" s="293"/>
      <c r="L99" s="293"/>
      <c r="M99" s="292"/>
      <c r="N99" s="292"/>
      <c r="O99" s="292"/>
      <c r="P99" s="292"/>
      <c r="Q99" s="301"/>
    </row>
    <row r="100" spans="1:17" ht="24" customHeight="1" x14ac:dyDescent="0.25">
      <c r="C100" s="53" t="s">
        <v>2916</v>
      </c>
      <c r="D100" s="296"/>
      <c r="E100" s="291" t="s">
        <v>3258</v>
      </c>
      <c r="F100" s="293"/>
      <c r="G100" s="293"/>
      <c r="H100" s="291" t="s">
        <v>3210</v>
      </c>
      <c r="I100" s="292"/>
      <c r="J100" s="293"/>
      <c r="K100" s="293"/>
      <c r="L100" s="292"/>
      <c r="M100" s="291" t="s">
        <v>3259</v>
      </c>
      <c r="N100" s="291" t="s">
        <v>3260</v>
      </c>
      <c r="O100" s="291" t="s">
        <v>3261</v>
      </c>
      <c r="P100" s="291" t="s">
        <v>3068</v>
      </c>
      <c r="Q100" s="301"/>
    </row>
    <row r="101" spans="1:17" ht="24" customHeight="1" x14ac:dyDescent="0.25">
      <c r="C101" s="53" t="s">
        <v>2918</v>
      </c>
      <c r="D101" s="296"/>
      <c r="E101" s="293"/>
      <c r="F101" s="293"/>
      <c r="G101" s="293"/>
      <c r="H101" s="292"/>
      <c r="I101" s="291" t="s">
        <v>3262</v>
      </c>
      <c r="J101" s="292"/>
      <c r="K101" s="293"/>
      <c r="L101" s="291" t="s">
        <v>3263</v>
      </c>
      <c r="M101" s="293"/>
      <c r="N101" s="293"/>
      <c r="O101" s="293"/>
      <c r="P101" s="292"/>
      <c r="Q101" s="301"/>
    </row>
    <row r="102" spans="1:17" ht="24" customHeight="1" x14ac:dyDescent="0.25">
      <c r="C102" s="53" t="s">
        <v>2921</v>
      </c>
      <c r="D102" s="296"/>
      <c r="E102" s="293"/>
      <c r="F102" s="292"/>
      <c r="G102" s="293"/>
      <c r="H102" s="291" t="s">
        <v>3218</v>
      </c>
      <c r="I102" s="293"/>
      <c r="J102" s="291" t="s">
        <v>3264</v>
      </c>
      <c r="K102" s="292"/>
      <c r="L102" s="293"/>
      <c r="M102" s="292"/>
      <c r="N102" s="292"/>
      <c r="O102" s="292"/>
      <c r="P102" s="291" t="s">
        <v>3265</v>
      </c>
      <c r="Q102" s="301"/>
    </row>
    <row r="103" spans="1:17" ht="24" customHeight="1" x14ac:dyDescent="0.25">
      <c r="C103" s="53" t="s">
        <v>2924</v>
      </c>
      <c r="D103" s="296"/>
      <c r="E103" s="293"/>
      <c r="F103" s="291" t="s">
        <v>3266</v>
      </c>
      <c r="G103" s="293"/>
      <c r="H103" s="292"/>
      <c r="I103" s="292"/>
      <c r="J103" s="292"/>
      <c r="K103" s="291" t="s">
        <v>3267</v>
      </c>
      <c r="L103" s="292"/>
      <c r="M103" s="57" t="s">
        <v>3268</v>
      </c>
      <c r="N103" s="291" t="s">
        <v>3269</v>
      </c>
      <c r="O103" s="291" t="s">
        <v>3270</v>
      </c>
      <c r="P103" s="292"/>
      <c r="Q103" s="301"/>
    </row>
    <row r="104" spans="1:17" ht="24" customHeight="1" x14ac:dyDescent="0.25">
      <c r="C104" s="53" t="s">
        <v>2925</v>
      </c>
      <c r="D104" s="297"/>
      <c r="E104" s="293"/>
      <c r="F104" s="293"/>
      <c r="G104" s="293"/>
      <c r="H104" s="291" t="s">
        <v>3232</v>
      </c>
      <c r="I104" s="291" t="s">
        <v>3271</v>
      </c>
      <c r="J104" s="291" t="s">
        <v>3272</v>
      </c>
      <c r="K104" s="293"/>
      <c r="L104" s="291" t="s">
        <v>3273</v>
      </c>
      <c r="M104" s="291" t="s">
        <v>3274</v>
      </c>
      <c r="N104" s="293"/>
      <c r="O104" s="293"/>
      <c r="P104" s="291" t="s">
        <v>3275</v>
      </c>
      <c r="Q104" s="301"/>
    </row>
    <row r="105" spans="1:17" ht="24" customHeight="1" x14ac:dyDescent="0.25">
      <c r="C105" s="53" t="s">
        <v>2927</v>
      </c>
      <c r="D105" s="295" t="s">
        <v>2983</v>
      </c>
      <c r="E105" s="293"/>
      <c r="F105" s="293"/>
      <c r="G105" s="293"/>
      <c r="H105" s="292"/>
      <c r="I105" s="293"/>
      <c r="J105" s="292"/>
      <c r="K105" s="293"/>
      <c r="L105" s="293"/>
      <c r="M105" s="292"/>
      <c r="N105" s="292"/>
      <c r="O105" s="293"/>
      <c r="P105" s="292"/>
      <c r="Q105" s="301"/>
    </row>
    <row r="106" spans="1:17" ht="24" customHeight="1" x14ac:dyDescent="0.25">
      <c r="C106" s="53" t="s">
        <v>2929</v>
      </c>
      <c r="D106" s="296"/>
      <c r="E106" s="293"/>
      <c r="F106" s="293"/>
      <c r="G106" s="293"/>
      <c r="H106" s="291" t="s">
        <v>3239</v>
      </c>
      <c r="I106" s="292"/>
      <c r="J106" s="291" t="s">
        <v>3276</v>
      </c>
      <c r="K106" s="293"/>
      <c r="L106" s="292"/>
      <c r="M106" s="291" t="s">
        <v>3277</v>
      </c>
      <c r="N106" s="291" t="s">
        <v>3278</v>
      </c>
      <c r="O106" s="293"/>
      <c r="P106" s="291" t="s">
        <v>3279</v>
      </c>
      <c r="Q106" s="301"/>
    </row>
    <row r="107" spans="1:17" ht="24" customHeight="1" x14ac:dyDescent="0.25">
      <c r="C107" s="53" t="s">
        <v>2931</v>
      </c>
      <c r="D107" s="297"/>
      <c r="E107" s="293"/>
      <c r="F107" s="293"/>
      <c r="G107" s="293"/>
      <c r="H107" s="292"/>
      <c r="I107" s="291" t="s">
        <v>3280</v>
      </c>
      <c r="J107" s="293"/>
      <c r="K107" s="293"/>
      <c r="L107" s="291" t="s">
        <v>3281</v>
      </c>
      <c r="M107" s="292"/>
      <c r="N107" s="293"/>
      <c r="O107" s="293"/>
      <c r="P107" s="292"/>
      <c r="Q107" s="301"/>
    </row>
    <row r="108" spans="1:17" ht="24" customHeight="1" x14ac:dyDescent="0.25">
      <c r="C108" s="53" t="s">
        <v>2933</v>
      </c>
      <c r="D108" s="295" t="s">
        <v>3089</v>
      </c>
      <c r="E108" s="293"/>
      <c r="F108" s="293"/>
      <c r="G108" s="293"/>
      <c r="H108" s="291" t="s">
        <v>3245</v>
      </c>
      <c r="I108" s="293"/>
      <c r="J108" s="293"/>
      <c r="K108" s="293"/>
      <c r="L108" s="293"/>
      <c r="M108" s="291" t="s">
        <v>3044</v>
      </c>
      <c r="N108" s="293"/>
      <c r="O108" s="293"/>
      <c r="P108" s="291" t="s">
        <v>3282</v>
      </c>
      <c r="Q108" s="301"/>
    </row>
    <row r="109" spans="1:17" ht="24" customHeight="1" thickBot="1" x14ac:dyDescent="0.3">
      <c r="C109" s="53" t="s">
        <v>2935</v>
      </c>
      <c r="D109" s="297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9"/>
    </row>
    <row r="110" spans="1:17" ht="15" customHeight="1" thickTop="1" x14ac:dyDescent="0.25"/>
    <row r="113" spans="1:4" ht="24.95" customHeight="1" thickBot="1" x14ac:dyDescent="0.4">
      <c r="A113" s="52" t="s">
        <v>2692</v>
      </c>
      <c r="D113" s="51">
        <v>1</v>
      </c>
    </row>
    <row r="114" spans="1:4" ht="24" customHeight="1" thickTop="1" x14ac:dyDescent="0.25">
      <c r="C114" s="53" t="s">
        <v>2911</v>
      </c>
      <c r="D114" s="303" t="s">
        <v>3283</v>
      </c>
    </row>
    <row r="115" spans="1:4" ht="24" customHeight="1" x14ac:dyDescent="0.25">
      <c r="C115" s="53" t="s">
        <v>2914</v>
      </c>
      <c r="D115" s="304"/>
    </row>
    <row r="116" spans="1:4" ht="24" customHeight="1" x14ac:dyDescent="0.25">
      <c r="C116" s="53" t="s">
        <v>2916</v>
      </c>
      <c r="D116" s="304"/>
    </row>
    <row r="117" spans="1:4" ht="24" customHeight="1" x14ac:dyDescent="0.25">
      <c r="C117" s="53" t="s">
        <v>2918</v>
      </c>
      <c r="D117" s="304"/>
    </row>
    <row r="118" spans="1:4" ht="24" customHeight="1" x14ac:dyDescent="0.25">
      <c r="C118" s="53" t="s">
        <v>2921</v>
      </c>
      <c r="D118" s="304"/>
    </row>
    <row r="119" spans="1:4" ht="24" customHeight="1" x14ac:dyDescent="0.25">
      <c r="C119" s="53" t="s">
        <v>2924</v>
      </c>
      <c r="D119" s="304"/>
    </row>
    <row r="120" spans="1:4" ht="24" customHeight="1" x14ac:dyDescent="0.25">
      <c r="C120" s="53" t="s">
        <v>2925</v>
      </c>
      <c r="D120" s="304"/>
    </row>
    <row r="121" spans="1:4" ht="24" customHeight="1" x14ac:dyDescent="0.25">
      <c r="C121" s="53" t="s">
        <v>2927</v>
      </c>
      <c r="D121" s="304"/>
    </row>
    <row r="122" spans="1:4" ht="24" customHeight="1" x14ac:dyDescent="0.25">
      <c r="C122" s="53" t="s">
        <v>2929</v>
      </c>
      <c r="D122" s="304"/>
    </row>
    <row r="123" spans="1:4" ht="24" customHeight="1" x14ac:dyDescent="0.25">
      <c r="C123" s="53" t="s">
        <v>2931</v>
      </c>
      <c r="D123" s="304"/>
    </row>
    <row r="124" spans="1:4" ht="24" customHeight="1" x14ac:dyDescent="0.25">
      <c r="C124" s="53" t="s">
        <v>2933</v>
      </c>
      <c r="D124" s="304"/>
    </row>
    <row r="125" spans="1:4" ht="24" customHeight="1" thickBot="1" x14ac:dyDescent="0.3">
      <c r="C125" s="53" t="s">
        <v>2935</v>
      </c>
      <c r="D125" s="305"/>
    </row>
    <row r="126" spans="1:4" ht="15" customHeight="1" thickTop="1" x14ac:dyDescent="0.25"/>
  </sheetData>
  <mergeCells count="337">
    <mergeCell ref="U92:U93"/>
    <mergeCell ref="F2:F13"/>
    <mergeCell ref="P104:P105"/>
    <mergeCell ref="D66:D70"/>
    <mergeCell ref="I6:I9"/>
    <mergeCell ref="Q98:Q109"/>
    <mergeCell ref="T85:T87"/>
    <mergeCell ref="D114:D125"/>
    <mergeCell ref="S72:S77"/>
    <mergeCell ref="N103:N105"/>
    <mergeCell ref="I107:I109"/>
    <mergeCell ref="H50:H53"/>
    <mergeCell ref="M100:M102"/>
    <mergeCell ref="O100:O102"/>
    <mergeCell ref="K66:K72"/>
    <mergeCell ref="R70:R73"/>
    <mergeCell ref="M108:M109"/>
    <mergeCell ref="Q50:Q55"/>
    <mergeCell ref="R57:R61"/>
    <mergeCell ref="S2:S3"/>
    <mergeCell ref="K2:K6"/>
    <mergeCell ref="H106:H107"/>
    <mergeCell ref="E82:E83"/>
    <mergeCell ref="O20:O21"/>
    <mergeCell ref="D71:D73"/>
    <mergeCell ref="J6:J9"/>
    <mergeCell ref="J98:J101"/>
    <mergeCell ref="G66:G71"/>
    <mergeCell ref="Q91:Q93"/>
    <mergeCell ref="N98:N99"/>
    <mergeCell ref="F98:F102"/>
    <mergeCell ref="H84:H85"/>
    <mergeCell ref="M22:M27"/>
    <mergeCell ref="H86:H87"/>
    <mergeCell ref="O70:O73"/>
    <mergeCell ref="Q70:Q73"/>
    <mergeCell ref="J87:J93"/>
    <mergeCell ref="E18:E19"/>
    <mergeCell ref="L87:L93"/>
    <mergeCell ref="R20:R22"/>
    <mergeCell ref="R85:R87"/>
    <mergeCell ref="M34:M45"/>
    <mergeCell ref="G34:G37"/>
    <mergeCell ref="H7:H13"/>
    <mergeCell ref="J10:J13"/>
    <mergeCell ref="R34:R37"/>
    <mergeCell ref="H58:H61"/>
    <mergeCell ref="J40:J45"/>
    <mergeCell ref="R82:R84"/>
    <mergeCell ref="L107:L109"/>
    <mergeCell ref="D18:D24"/>
    <mergeCell ref="D82:D88"/>
    <mergeCell ref="N100:N102"/>
    <mergeCell ref="K103:K109"/>
    <mergeCell ref="H41:H45"/>
    <mergeCell ref="H66:H71"/>
    <mergeCell ref="I10:I13"/>
    <mergeCell ref="J34:J38"/>
    <mergeCell ref="O84:O86"/>
    <mergeCell ref="H104:H105"/>
    <mergeCell ref="H36:H40"/>
    <mergeCell ref="P108:P109"/>
    <mergeCell ref="I42:I45"/>
    <mergeCell ref="E72:E75"/>
    <mergeCell ref="J2:J5"/>
    <mergeCell ref="D2:D8"/>
    <mergeCell ref="D44:D45"/>
    <mergeCell ref="P10:P13"/>
    <mergeCell ref="O98:O99"/>
    <mergeCell ref="D75:D77"/>
    <mergeCell ref="F25:F28"/>
    <mergeCell ref="D108:D109"/>
    <mergeCell ref="H25:H28"/>
    <mergeCell ref="I98:I100"/>
    <mergeCell ref="K24:K29"/>
    <mergeCell ref="H34:H35"/>
    <mergeCell ref="L101:L103"/>
    <mergeCell ref="H88:H89"/>
    <mergeCell ref="E2:E3"/>
    <mergeCell ref="H90:H91"/>
    <mergeCell ref="M18:M21"/>
    <mergeCell ref="G58:G61"/>
    <mergeCell ref="K58:K61"/>
    <mergeCell ref="G25:G28"/>
    <mergeCell ref="D57:D59"/>
    <mergeCell ref="E84:E86"/>
    <mergeCell ref="P76:P77"/>
    <mergeCell ref="U86:U87"/>
    <mergeCell ref="P98:P99"/>
    <mergeCell ref="J104:J105"/>
    <mergeCell ref="L24:L29"/>
    <mergeCell ref="L98:L100"/>
    <mergeCell ref="D28:D29"/>
    <mergeCell ref="T58:T61"/>
    <mergeCell ref="O22:O25"/>
    <mergeCell ref="P106:P107"/>
    <mergeCell ref="T91:T93"/>
    <mergeCell ref="D105:D107"/>
    <mergeCell ref="D92:D93"/>
    <mergeCell ref="F38:F41"/>
    <mergeCell ref="R50:R55"/>
    <mergeCell ref="J58:J61"/>
    <mergeCell ref="E57:E59"/>
    <mergeCell ref="E98:E99"/>
    <mergeCell ref="J25:J29"/>
    <mergeCell ref="N84:N86"/>
    <mergeCell ref="M54:M57"/>
    <mergeCell ref="I82:I86"/>
    <mergeCell ref="N66:N77"/>
    <mergeCell ref="K50:K53"/>
    <mergeCell ref="Q34:Q37"/>
    <mergeCell ref="D9:D11"/>
    <mergeCell ref="O26:O29"/>
    <mergeCell ref="K34:K45"/>
    <mergeCell ref="V25:V29"/>
    <mergeCell ref="E76:E77"/>
    <mergeCell ref="P55:P61"/>
    <mergeCell ref="P87:P90"/>
    <mergeCell ref="S27:S29"/>
    <mergeCell ref="O87:O93"/>
    <mergeCell ref="V20:V24"/>
    <mergeCell ref="U84:U85"/>
    <mergeCell ref="T82:T83"/>
    <mergeCell ref="Q85:Q87"/>
    <mergeCell ref="T88:T90"/>
    <mergeCell ref="M50:M53"/>
    <mergeCell ref="V54:V56"/>
    <mergeCell ref="F54:F59"/>
    <mergeCell ref="L18:L21"/>
    <mergeCell ref="N87:N93"/>
    <mergeCell ref="M28:M29"/>
    <mergeCell ref="U2:U13"/>
    <mergeCell ref="O74:O77"/>
    <mergeCell ref="J82:J86"/>
    <mergeCell ref="J50:J53"/>
    <mergeCell ref="U82:U83"/>
    <mergeCell ref="E23:E29"/>
    <mergeCell ref="R38:R41"/>
    <mergeCell ref="E87:E93"/>
    <mergeCell ref="G87:G93"/>
    <mergeCell ref="I87:I93"/>
    <mergeCell ref="E60:E61"/>
    <mergeCell ref="G18:G24"/>
    <mergeCell ref="H100:H101"/>
    <mergeCell ref="P66:P69"/>
    <mergeCell ref="R66:R69"/>
    <mergeCell ref="T24:T28"/>
    <mergeCell ref="G98:G109"/>
    <mergeCell ref="J106:J109"/>
    <mergeCell ref="G39:G43"/>
    <mergeCell ref="S54:S57"/>
    <mergeCell ref="S18:S19"/>
    <mergeCell ref="Q56:Q59"/>
    <mergeCell ref="P100:P101"/>
    <mergeCell ref="U90:U91"/>
    <mergeCell ref="K73:K75"/>
    <mergeCell ref="M58:M61"/>
    <mergeCell ref="K98:K102"/>
    <mergeCell ref="K22:K23"/>
    <mergeCell ref="E4:E5"/>
    <mergeCell ref="E42:E45"/>
    <mergeCell ref="T54:T57"/>
    <mergeCell ref="U68:U72"/>
    <mergeCell ref="P2:P3"/>
    <mergeCell ref="L58:L61"/>
    <mergeCell ref="L22:L23"/>
    <mergeCell ref="F66:F71"/>
    <mergeCell ref="N25:N29"/>
    <mergeCell ref="E7:E8"/>
    <mergeCell ref="N2:N6"/>
    <mergeCell ref="R2:R7"/>
    <mergeCell ref="R18:R19"/>
    <mergeCell ref="K9:K13"/>
    <mergeCell ref="T2:T13"/>
    <mergeCell ref="M9:M13"/>
    <mergeCell ref="N18:N20"/>
    <mergeCell ref="F60:F61"/>
    <mergeCell ref="H2:H6"/>
    <mergeCell ref="H54:H57"/>
    <mergeCell ref="E38:E41"/>
    <mergeCell ref="M7:M8"/>
    <mergeCell ref="Q2:Q3"/>
    <mergeCell ref="G54:G57"/>
    <mergeCell ref="H18:H24"/>
    <mergeCell ref="J18:J24"/>
    <mergeCell ref="F42:F45"/>
    <mergeCell ref="O2:O5"/>
    <mergeCell ref="I50:I51"/>
    <mergeCell ref="G44:G45"/>
    <mergeCell ref="O66:O69"/>
    <mergeCell ref="Q66:Q69"/>
    <mergeCell ref="U20:U23"/>
    <mergeCell ref="P38:P41"/>
    <mergeCell ref="L50:L53"/>
    <mergeCell ref="T66:T71"/>
    <mergeCell ref="L70:L71"/>
    <mergeCell ref="K18:K21"/>
    <mergeCell ref="I34:I37"/>
    <mergeCell ref="L7:L8"/>
    <mergeCell ref="N7:N8"/>
    <mergeCell ref="F18:F24"/>
    <mergeCell ref="O18:O19"/>
    <mergeCell ref="S66:S71"/>
    <mergeCell ref="P70:P75"/>
    <mergeCell ref="S4:S5"/>
    <mergeCell ref="K7:K8"/>
    <mergeCell ref="S24:S26"/>
    <mergeCell ref="T18:T19"/>
    <mergeCell ref="V18:V19"/>
    <mergeCell ref="I18:I29"/>
    <mergeCell ref="N9:N13"/>
    <mergeCell ref="O55:O61"/>
    <mergeCell ref="P50:P53"/>
    <mergeCell ref="K54:K57"/>
    <mergeCell ref="U66:U67"/>
    <mergeCell ref="P4:P8"/>
    <mergeCell ref="V50:V53"/>
    <mergeCell ref="V58:V61"/>
    <mergeCell ref="T50:T53"/>
    <mergeCell ref="R23:R25"/>
    <mergeCell ref="S36:S39"/>
    <mergeCell ref="S50:S53"/>
    <mergeCell ref="U50:U53"/>
    <mergeCell ref="R8:R13"/>
    <mergeCell ref="M66:M77"/>
    <mergeCell ref="S60:S61"/>
    <mergeCell ref="U57:U61"/>
    <mergeCell ref="U73:U77"/>
    <mergeCell ref="U18:U19"/>
    <mergeCell ref="I104:I106"/>
    <mergeCell ref="I38:I41"/>
    <mergeCell ref="J70:J77"/>
    <mergeCell ref="I52:I59"/>
    <mergeCell ref="P42:P45"/>
    <mergeCell ref="K76:K77"/>
    <mergeCell ref="E100:E109"/>
    <mergeCell ref="T20:T23"/>
    <mergeCell ref="I2:I5"/>
    <mergeCell ref="H108:H109"/>
    <mergeCell ref="E34:E35"/>
    <mergeCell ref="S58:S59"/>
    <mergeCell ref="L9:L13"/>
    <mergeCell ref="S87:S93"/>
    <mergeCell ref="I66:I69"/>
    <mergeCell ref="I70:I77"/>
    <mergeCell ref="Q60:Q61"/>
    <mergeCell ref="Q38:Q41"/>
    <mergeCell ref="P82:P83"/>
    <mergeCell ref="N50:N61"/>
    <mergeCell ref="I101:I103"/>
    <mergeCell ref="R88:R90"/>
    <mergeCell ref="S83:S86"/>
    <mergeCell ref="E36:E37"/>
    <mergeCell ref="U54:U56"/>
    <mergeCell ref="P36:P37"/>
    <mergeCell ref="F82:F86"/>
    <mergeCell ref="D12:D13"/>
    <mergeCell ref="M87:M93"/>
    <mergeCell ref="J66:J69"/>
    <mergeCell ref="M104:M105"/>
    <mergeCell ref="U88:U89"/>
    <mergeCell ref="P102:P103"/>
    <mergeCell ref="D34:D40"/>
    <mergeCell ref="Q88:Q90"/>
    <mergeCell ref="Q82:Q84"/>
    <mergeCell ref="G72:G77"/>
    <mergeCell ref="D90:D91"/>
    <mergeCell ref="K83:K86"/>
    <mergeCell ref="M83:M86"/>
    <mergeCell ref="E20:E21"/>
    <mergeCell ref="N21:N24"/>
    <mergeCell ref="U24:U28"/>
    <mergeCell ref="P18:P29"/>
    <mergeCell ref="R74:R77"/>
    <mergeCell ref="Q42:Q45"/>
    <mergeCell ref="E50:E56"/>
    <mergeCell ref="G2:G13"/>
    <mergeCell ref="M2:M6"/>
    <mergeCell ref="H92:H93"/>
    <mergeCell ref="O82:O83"/>
    <mergeCell ref="G82:G86"/>
    <mergeCell ref="E9:E13"/>
    <mergeCell ref="T72:T77"/>
    <mergeCell ref="L72:L77"/>
    <mergeCell ref="G50:G53"/>
    <mergeCell ref="L104:L106"/>
    <mergeCell ref="L66:L67"/>
    <mergeCell ref="L34:L45"/>
    <mergeCell ref="N34:N45"/>
    <mergeCell ref="F34:F37"/>
    <mergeCell ref="L68:L69"/>
    <mergeCell ref="N106:N109"/>
    <mergeCell ref="M106:M107"/>
    <mergeCell ref="Q4:Q5"/>
    <mergeCell ref="O50:O53"/>
    <mergeCell ref="L2:L6"/>
    <mergeCell ref="J54:J57"/>
    <mergeCell ref="R26:R27"/>
    <mergeCell ref="L54:L57"/>
    <mergeCell ref="N82:N83"/>
    <mergeCell ref="Q6:Q9"/>
    <mergeCell ref="S34:S35"/>
    <mergeCell ref="O7:O13"/>
    <mergeCell ref="Q10:Q13"/>
    <mergeCell ref="Q18:Q29"/>
    <mergeCell ref="S10:S13"/>
    <mergeCell ref="O34:O45"/>
    <mergeCell ref="K87:K93"/>
    <mergeCell ref="S40:S45"/>
    <mergeCell ref="Q74:Q77"/>
    <mergeCell ref="R42:R45"/>
    <mergeCell ref="S6:S9"/>
    <mergeCell ref="S20:S23"/>
    <mergeCell ref="P84:P85"/>
    <mergeCell ref="P91:P93"/>
    <mergeCell ref="R91:R93"/>
    <mergeCell ref="P34:P35"/>
    <mergeCell ref="D25:D27"/>
    <mergeCell ref="M98:M99"/>
    <mergeCell ref="R28:R29"/>
    <mergeCell ref="H102:H103"/>
    <mergeCell ref="J102:J103"/>
    <mergeCell ref="L83:L86"/>
    <mergeCell ref="I60:I61"/>
    <mergeCell ref="F50:F53"/>
    <mergeCell ref="F72:F77"/>
    <mergeCell ref="H72:H77"/>
    <mergeCell ref="F103:F109"/>
    <mergeCell ref="D41:D43"/>
    <mergeCell ref="E66:E71"/>
    <mergeCell ref="H98:H99"/>
    <mergeCell ref="F87:F93"/>
    <mergeCell ref="D60:D61"/>
    <mergeCell ref="H82:H83"/>
    <mergeCell ref="O103:O109"/>
    <mergeCell ref="D98:D104"/>
    <mergeCell ref="D50:D56"/>
  </mergeCells>
  <pageMargins left="0.7" right="0.7" top="0.75" bottom="0.75" header="0.3" footer="0.3"/>
  <pageSetup paperSize="3" scale="6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RL7</vt:lpstr>
      <vt:lpstr>UTIL</vt:lpstr>
      <vt:lpstr>MCC Info</vt:lpstr>
      <vt:lpstr>NP Needed</vt:lpstr>
      <vt:lpstr>PNL-DVC</vt:lpstr>
      <vt:lpstr>Prog Over Time</vt:lpstr>
      <vt:lpstr>PROGRESS</vt:lpstr>
      <vt:lpstr>Helper</vt:lpstr>
      <vt:lpstr>MCC Elevs</vt:lpstr>
      <vt:lpstr>'MCC Info'!Print_Area</vt:lpstr>
      <vt:lpstr>'Prog Over Time'!Print_Area</vt:lpstr>
      <vt:lpstr>PROGRESS!Print_Area</vt:lpstr>
      <vt:lpstr>'RL7'!Print_Area</vt:lpstr>
      <vt:lpstr>UTIL!Print_Area</vt:lpstr>
      <vt:lpstr>'MCC Info'!Print_Titles</vt:lpstr>
      <vt:lpstr>'PNL-DVC'!Print_Titles</vt:lpstr>
      <vt:lpstr>'RL7'!Print_Titles</vt:lpstr>
      <vt:lpstr>UTIL!Print_Titles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Levasseur</cp:lastModifiedBy>
  <dcterms:created xsi:type="dcterms:W3CDTF">2021-10-15T16:13:40Z</dcterms:created>
  <dcterms:modified xsi:type="dcterms:W3CDTF">2026-03-15T02:30:21Z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0x010100D7D1207991E0754FB4AFEED6910B807E</vt:lpwstr>
  </property>
  <property fmtid="{D5CDD505-2E9C-101B-9397-08002B2CF9AE}" pid="3" name="MediaServiceImageTags">
    <vt:lpwstr/>
  </property>
</Properties>
</file>